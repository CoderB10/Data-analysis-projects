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hidePivotFieldList="1" defaultThemeVersion="124226"/>
  <mc:AlternateContent xmlns:mc="http://schemas.openxmlformats.org/markup-compatibility/2006">
    <mc:Choice Requires="x15">
      <x15ac:absPath xmlns:x15ac="http://schemas.microsoft.com/office/spreadsheetml/2010/11/ac" url="C:\Users\yoggu\Downloads\Excel project\"/>
    </mc:Choice>
  </mc:AlternateContent>
  <xr:revisionPtr revIDLastSave="0" documentId="13_ncr:1_{25C39F8E-54E2-4D1C-97FC-CA4EB504A23B}" xr6:coauthVersionLast="47" xr6:coauthVersionMax="47" xr10:uidLastSave="{00000000-0000-0000-0000-000000000000}"/>
  <bookViews>
    <workbookView xWindow="-108" yWindow="-108" windowWidth="23256" windowHeight="12456" xr2:uid="{00000000-000D-0000-FFFF-FFFF00000000}"/>
  </bookViews>
  <sheets>
    <sheet name="Dashboard" sheetId="7" r:id="rId1"/>
    <sheet name="Pivot tables" sheetId="6" r:id="rId2"/>
    <sheet name="SalesData" sheetId="1" r:id="rId3"/>
    <sheet name="Products" sheetId="3" r:id="rId4"/>
    <sheet name="Stores" sheetId="2" r:id="rId5"/>
    <sheet name="SalesReps" sheetId="4" r:id="rId6"/>
    <sheet name="ProductStorePricing" sheetId="5" r:id="rId7"/>
  </sheets>
  <definedNames>
    <definedName name="_xlnm._FilterDatabase" localSheetId="6" hidden="1">ProductStorePricing!$A$1:$D$201</definedName>
    <definedName name="_xlnm._FilterDatabase" localSheetId="2" hidden="1">SalesData!$A$1:$P$1001</definedName>
    <definedName name="_xlcn.WorksheetConnection_RetailSalesData_StablePricing.xlsxTable1" hidden="1">Table1[]</definedName>
    <definedName name="Slicer_Category">#N/A</definedName>
    <definedName name="Slicer_Month_name">#N/A</definedName>
    <definedName name="Slicer_Region">#N/A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 cacheId="49" r:id="rId14"/>
    <pivotCache cacheId="52" r:id="rId15"/>
    <pivotCache cacheId="55" r:id="rId16"/>
    <pivotCache cacheId="58" r:id="rId17"/>
    <pivotCache cacheId="61" r:id="rId18"/>
    <pivotCache cacheId="64" r:id="rId19"/>
    <pivotCache cacheId="67" r:id="rId20"/>
  </pivotCaches>
  <extLst>
    <ext xmlns:x14="http://schemas.microsoft.com/office/spreadsheetml/2009/9/main" uri="{876F7934-8845-4945-9796-88D515C7AA90}">
      <x14:pivotCaches>
        <pivotCache cacheId="13"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SalesData_StablePricing.xlsx!Table1"/>
        </x15:modelTables>
        <x15:extLst>
          <ext xmlns:x16="http://schemas.microsoft.com/office/spreadsheetml/2014/11/main" uri="{9835A34E-60A6-4A7C-AAB8-D5F71C897F49}">
            <x16:modelTimeGroupings>
              <x16:modelTimeGrouping tableName="Table1" columnName="Joining date" columnId="Joining date">
                <x16:calculatedTimeColumn columnName="Joining date (Year)" columnId="Joining date (Year)" contentType="years" isSelected="1"/>
                <x16:calculatedTimeColumn columnName="Joining date (Quarter)" columnId="Joining date (Quarter)" contentType="quarters" isSelected="1"/>
                <x16:calculatedTimeColumn columnName="Joining date (Month Index)" columnId="Joining date (Month Index)" contentType="monthsindex" isSelected="1"/>
                <x16:calculatedTimeColumn columnName="Joining date (Month)" columnId="Joining date (Month)" contentType="months" isSelected="1"/>
              </x16:modelTimeGrouping>
              <x16:modelTimeGrouping tableName="Table1" columnName="Opening Date" columnId="Opening Date">
                <x16:calculatedTimeColumn columnName="Opening Date (Year)" columnId="Opening Date (Year)" contentType="years" isSelected="1"/>
                <x16:calculatedTimeColumn columnName="Opening Date (Quarter)" columnId="Opening Date (Quarter)" contentType="quarters" isSelected="1"/>
                <x16:calculatedTimeColumn columnName="Opening Date (Month Index)" columnId="Opening Date (Month Index)" contentType="monthsindex" isSelected="1"/>
                <x16:calculatedTimeColumn columnName="Opening Date (Month)" columnId="Opening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3" i="1" l="1"/>
  <c r="K394" i="1"/>
  <c r="K364" i="1"/>
  <c r="K68" i="1"/>
  <c r="K740" i="1"/>
  <c r="K607" i="1"/>
  <c r="K942" i="1"/>
  <c r="K921" i="1"/>
  <c r="K717" i="1"/>
  <c r="K61" i="1"/>
  <c r="K371" i="1"/>
  <c r="K447" i="1"/>
  <c r="K835" i="1"/>
  <c r="K688" i="1"/>
  <c r="K697" i="1"/>
  <c r="K91" i="1"/>
  <c r="K926" i="1"/>
  <c r="K987" i="1"/>
  <c r="K801" i="1"/>
  <c r="K565" i="1"/>
  <c r="K109" i="1"/>
  <c r="K92" i="1"/>
  <c r="K778" i="1"/>
  <c r="K710" i="1"/>
  <c r="K1000" i="1"/>
  <c r="K70" i="1"/>
  <c r="K283" i="1"/>
  <c r="K949" i="1"/>
  <c r="K418" i="1"/>
  <c r="K381" i="1"/>
  <c r="K864" i="1"/>
  <c r="K210" i="1"/>
  <c r="K123" i="1"/>
  <c r="K746" i="1"/>
  <c r="K237" i="1"/>
  <c r="K266" i="1"/>
  <c r="K369" i="1"/>
  <c r="K333" i="1"/>
  <c r="K881" i="1"/>
  <c r="K692" i="1"/>
  <c r="K476" i="1"/>
  <c r="K825" i="1"/>
  <c r="K246" i="1"/>
  <c r="K135" i="1"/>
  <c r="K399" i="1"/>
  <c r="K821" i="1"/>
  <c r="K910" i="1"/>
  <c r="K664" i="1"/>
  <c r="K374" i="1"/>
  <c r="K982" i="1"/>
  <c r="K25" i="1"/>
  <c r="K848" i="1"/>
  <c r="K184" i="1"/>
  <c r="K422" i="1"/>
  <c r="K273" i="1"/>
  <c r="K458" i="1"/>
  <c r="K931" i="1"/>
  <c r="K97" i="1"/>
  <c r="K841" i="1"/>
  <c r="K151" i="1"/>
  <c r="K877" i="1"/>
  <c r="K655" i="1"/>
  <c r="K531" i="1"/>
  <c r="K667" i="1"/>
  <c r="K883" i="1"/>
  <c r="K378" i="1"/>
  <c r="K621" i="1"/>
  <c r="K324" i="1"/>
  <c r="K477" i="1"/>
  <c r="K702" i="1"/>
  <c r="K957" i="1"/>
  <c r="K62" i="1"/>
  <c r="K397" i="1"/>
  <c r="K785" i="1"/>
  <c r="K155" i="1"/>
  <c r="K191" i="1"/>
  <c r="K197" i="1"/>
  <c r="K480" i="1"/>
  <c r="K79" i="1"/>
  <c r="K375" i="1"/>
  <c r="K936" i="1"/>
  <c r="K757" i="1"/>
  <c r="K408" i="1"/>
  <c r="K994" i="1"/>
  <c r="K916" i="1"/>
  <c r="K511" i="1"/>
  <c r="K415" i="1"/>
  <c r="K668" i="1"/>
  <c r="K426" i="1"/>
  <c r="K32" i="1"/>
  <c r="K899" i="1"/>
  <c r="K98" i="1"/>
  <c r="K512" i="1"/>
  <c r="K320" i="1"/>
  <c r="K497" i="1"/>
  <c r="K270" i="1"/>
  <c r="K459" i="1"/>
  <c r="K924" i="1"/>
  <c r="K771" i="1"/>
  <c r="K950" i="1"/>
  <c r="K669" i="1"/>
  <c r="K752" i="1"/>
  <c r="K712" i="1"/>
  <c r="K400" i="1"/>
  <c r="K513" i="1"/>
  <c r="K478" i="1"/>
  <c r="K116" i="1"/>
  <c r="K927" i="1"/>
  <c r="K894" i="1"/>
  <c r="K727" i="1"/>
  <c r="K882" i="1"/>
  <c r="K348" i="1"/>
  <c r="K303" i="1"/>
  <c r="K973" i="1"/>
  <c r="K774" i="1"/>
  <c r="K383" i="1"/>
  <c r="K145" i="1"/>
  <c r="K409" i="1"/>
  <c r="K558" i="1"/>
  <c r="K228" i="1"/>
  <c r="K321" i="1"/>
  <c r="K786" i="1"/>
  <c r="K741" i="1"/>
  <c r="K753" i="1"/>
  <c r="K356" i="1"/>
  <c r="K24" i="1"/>
  <c r="K827" i="1"/>
  <c r="K723" i="1"/>
  <c r="K416" i="1"/>
  <c r="K468" i="1"/>
  <c r="K602" i="1"/>
  <c r="K828" i="1"/>
  <c r="K110" i="1"/>
  <c r="K181" i="1"/>
  <c r="K572" i="1"/>
  <c r="K50" i="1"/>
  <c r="K703" i="1"/>
  <c r="K538" i="1"/>
  <c r="K869" i="1"/>
  <c r="K596" i="1"/>
  <c r="K339" i="1"/>
  <c r="K603" i="1"/>
  <c r="K256" i="1"/>
  <c r="K831" i="1"/>
  <c r="K989" i="1"/>
  <c r="K822" i="1"/>
  <c r="K836" i="1"/>
  <c r="K684" i="1"/>
  <c r="K775" i="1"/>
  <c r="K329" i="1"/>
  <c r="K685" i="1"/>
  <c r="K925" i="1"/>
  <c r="K990" i="1"/>
  <c r="K126" i="1"/>
  <c r="K713" i="1"/>
  <c r="K71" i="1"/>
  <c r="K917" i="1"/>
  <c r="K507" i="1"/>
  <c r="K966" i="1"/>
  <c r="K304" i="1"/>
  <c r="K647" i="1"/>
  <c r="K410" i="1"/>
  <c r="K251" i="1"/>
  <c r="K423" i="1"/>
  <c r="K205" i="1"/>
  <c r="K807" i="1"/>
  <c r="K791" i="1"/>
  <c r="K16" i="1"/>
  <c r="K550" i="1"/>
  <c r="K284" i="1"/>
  <c r="K928" i="1"/>
  <c r="K802" i="1"/>
  <c r="K173" i="1"/>
  <c r="K59" i="1"/>
  <c r="K711" i="1"/>
  <c r="K983" i="1"/>
  <c r="K352" i="1"/>
  <c r="K622" i="1"/>
  <c r="K779" i="1"/>
  <c r="K977" i="1"/>
  <c r="K389" i="1"/>
  <c r="K30" i="1"/>
  <c r="K390" i="1"/>
  <c r="K995" i="1"/>
  <c r="K316" i="1"/>
  <c r="K492" i="1"/>
  <c r="K74" i="1"/>
  <c r="K849" i="1"/>
  <c r="K617" i="1"/>
  <c r="K539" i="1"/>
  <c r="K730" i="1"/>
  <c r="K242" i="1"/>
  <c r="K344" i="1"/>
  <c r="K599" i="1"/>
  <c r="K322" i="1"/>
  <c r="K879" i="1"/>
  <c r="K759" i="1"/>
  <c r="K508" i="1"/>
  <c r="K485" i="1"/>
  <c r="K890" i="1"/>
  <c r="K285" i="1"/>
  <c r="K764" i="1"/>
  <c r="K248" i="1"/>
  <c r="K169" i="1"/>
  <c r="K577" i="1"/>
  <c r="K327" i="1"/>
  <c r="K267" i="1"/>
  <c r="K435" i="1"/>
  <c r="K780" i="1"/>
  <c r="K532" i="1"/>
  <c r="K527" i="1"/>
  <c r="K37" i="1"/>
  <c r="K183" i="1"/>
  <c r="K735" i="1"/>
  <c r="K481" i="1"/>
  <c r="K540" i="1"/>
  <c r="K401" i="1"/>
  <c r="K309" i="1"/>
  <c r="K157" i="1"/>
  <c r="K431" i="1"/>
  <c r="K644" i="1"/>
  <c r="K376" i="1"/>
  <c r="K101" i="1"/>
  <c r="K608" i="1"/>
  <c r="K424" i="1"/>
  <c r="K755" i="1"/>
  <c r="K812" i="1"/>
  <c r="K411" i="1"/>
  <c r="K943" i="1"/>
  <c r="K152" i="1"/>
  <c r="K235" i="1"/>
  <c r="K115" i="1"/>
  <c r="K452" i="1"/>
  <c r="K305" i="1"/>
  <c r="K971" i="1"/>
  <c r="K689" i="1"/>
  <c r="K837" i="1"/>
  <c r="K161" i="1"/>
  <c r="K405" i="1"/>
  <c r="K439" i="1"/>
  <c r="K632" i="1"/>
  <c r="K26" i="1"/>
  <c r="K918" i="1"/>
  <c r="K224" i="1"/>
  <c r="K588" i="1"/>
  <c r="K729" i="1"/>
  <c r="K756" i="1"/>
  <c r="K80" i="1"/>
  <c r="K947" i="1"/>
  <c r="K707" i="1"/>
  <c r="K955" i="1"/>
  <c r="K290" i="1"/>
  <c r="K65" i="1"/>
  <c r="K479" i="1"/>
  <c r="K748" i="1"/>
  <c r="K41" i="1"/>
  <c r="K143" i="1"/>
  <c r="K637" i="1"/>
  <c r="K561" i="1"/>
  <c r="K514" i="1"/>
  <c r="K787" i="1"/>
  <c r="K198" i="1"/>
  <c r="K29" i="1"/>
  <c r="K906" i="1"/>
  <c r="K731" i="1"/>
  <c r="K900" i="1"/>
  <c r="K897" i="1"/>
  <c r="K698" i="1"/>
  <c r="K291" i="1"/>
  <c r="K725" i="1"/>
  <c r="K436" i="1"/>
  <c r="K425" i="1"/>
  <c r="K297" i="1"/>
  <c r="K384" i="1"/>
  <c r="K310" i="1"/>
  <c r="K349" i="1"/>
  <c r="K350" i="1"/>
  <c r="K257" i="1"/>
  <c r="K781" i="1"/>
  <c r="K645" i="1"/>
  <c r="K489" i="1"/>
  <c r="K945" i="1"/>
  <c r="K99" i="1"/>
  <c r="K437" i="1"/>
  <c r="K875" i="1"/>
  <c r="K833" i="1"/>
  <c r="K412" i="1"/>
  <c r="K895" i="1"/>
  <c r="K726" i="1"/>
  <c r="K903" i="1"/>
  <c r="K54" i="1"/>
  <c r="K448" i="1"/>
  <c r="K503" i="1"/>
  <c r="K751" i="1"/>
  <c r="K815" i="1"/>
  <c r="K754" i="1"/>
  <c r="K417" i="1"/>
  <c r="K170" i="1"/>
  <c r="K317" i="1"/>
  <c r="K650" i="1"/>
  <c r="K365" i="1"/>
  <c r="K580" i="1"/>
  <c r="K42" i="1"/>
  <c r="K443" i="1"/>
  <c r="K694" i="1"/>
  <c r="K129" i="1"/>
  <c r="K252" i="1"/>
  <c r="K323" i="1"/>
  <c r="K719" i="1"/>
  <c r="K961" i="1"/>
  <c r="K884" i="1"/>
  <c r="K559" i="1"/>
  <c r="K372" i="1"/>
  <c r="K932" i="1"/>
  <c r="K956" i="1"/>
  <c r="K334" i="1"/>
  <c r="K724" i="1"/>
  <c r="K318" i="1"/>
  <c r="K515" i="1"/>
  <c r="K427" i="1"/>
  <c r="K551" i="1"/>
  <c r="K63" i="1"/>
  <c r="K892" i="1"/>
  <c r="K19" i="1"/>
  <c r="K225" i="1"/>
  <c r="K93" i="1"/>
  <c r="K366" i="1"/>
  <c r="K306" i="1"/>
  <c r="K298" i="1"/>
  <c r="K562" i="1"/>
  <c r="K82" i="1"/>
  <c r="K146" i="1"/>
  <c r="K482" i="1"/>
  <c r="K464" i="1"/>
  <c r="K39" i="1"/>
  <c r="K663" i="1"/>
  <c r="K933" i="1"/>
  <c r="K700" i="1"/>
  <c r="K708" i="1"/>
  <c r="K12" i="1"/>
  <c r="K419" i="1"/>
  <c r="K850" i="1"/>
  <c r="K788" i="1"/>
  <c r="K750" i="1"/>
  <c r="K521" i="1"/>
  <c r="K253" i="1"/>
  <c r="K829" i="1"/>
  <c r="K268" i="1"/>
  <c r="K201" i="1"/>
  <c r="K261" i="1"/>
  <c r="K147" i="1"/>
  <c r="K798" i="1"/>
  <c r="K509" i="1"/>
  <c r="K453" i="1"/>
  <c r="K49" i="1"/>
  <c r="K211" i="1"/>
  <c r="K87" i="1"/>
  <c r="K844" i="1"/>
  <c r="K391" i="1"/>
  <c r="K830" i="1"/>
  <c r="K195" i="1"/>
  <c r="K299" i="1"/>
  <c r="K680" i="1"/>
  <c r="K834" i="1"/>
  <c r="K544" i="1"/>
  <c r="K325" i="1"/>
  <c r="K269" i="1"/>
  <c r="K623" i="1"/>
  <c r="K413" i="1"/>
  <c r="K962" i="1"/>
  <c r="K20" i="1"/>
  <c r="K633" i="1"/>
  <c r="K846" i="1"/>
  <c r="K653" i="1"/>
  <c r="K589" i="1"/>
  <c r="K922" i="1"/>
  <c r="K904" i="1"/>
  <c r="K127" i="1"/>
  <c r="K545" i="1"/>
  <c r="K69" i="1"/>
  <c r="K120" i="1"/>
  <c r="K958" i="1"/>
  <c r="K887" i="1"/>
  <c r="K816" i="1"/>
  <c r="K888" i="1"/>
  <c r="K174" i="1"/>
  <c r="K340" i="1"/>
  <c r="K765" i="1"/>
  <c r="K905" i="1"/>
  <c r="K217" i="1"/>
  <c r="K795" i="1"/>
  <c r="K493" i="1"/>
  <c r="K406" i="1"/>
  <c r="K896" i="1"/>
  <c r="K353" i="1"/>
  <c r="K651" i="1"/>
  <c r="K609" i="1"/>
  <c r="K4" i="1"/>
  <c r="K177" i="1"/>
  <c r="K72" i="1"/>
  <c r="K946" i="1"/>
  <c r="K8" i="1"/>
  <c r="K279" i="1"/>
  <c r="K319" i="1"/>
  <c r="K178" i="1"/>
  <c r="K357" i="1"/>
  <c r="K18" i="1"/>
  <c r="K208" i="1"/>
  <c r="K776" i="1"/>
  <c r="K528" i="1"/>
  <c r="K578" i="1"/>
  <c r="K276" i="1"/>
  <c r="K681" i="1"/>
  <c r="K182" i="1"/>
  <c r="K292" i="1"/>
  <c r="K938" i="1"/>
  <c r="K817" i="1"/>
  <c r="K555" i="1"/>
  <c r="K670" i="1"/>
  <c r="K221" i="1"/>
  <c r="K963" i="1"/>
  <c r="K552" i="1"/>
  <c r="K851" i="1"/>
  <c r="K136" i="1"/>
  <c r="K222" i="1"/>
  <c r="K658" i="1"/>
  <c r="K792" i="1"/>
  <c r="K199" i="1"/>
  <c r="K189" i="1"/>
  <c r="K465" i="1"/>
  <c r="K738" i="1"/>
  <c r="K171" i="1"/>
  <c r="K654" i="1"/>
  <c r="K15" i="1"/>
  <c r="K185" i="1"/>
  <c r="K796" i="1"/>
  <c r="K236" i="1"/>
  <c r="K302" i="1"/>
  <c r="K573" i="1"/>
  <c r="K522" i="1"/>
  <c r="K638" i="1"/>
  <c r="K782" i="1"/>
  <c r="K581" i="1"/>
  <c r="K230" i="1"/>
  <c r="K767" i="1"/>
  <c r="K604" i="1"/>
  <c r="K845" i="1"/>
  <c r="K373" i="1"/>
  <c r="K231" i="1"/>
  <c r="K190" i="1"/>
  <c r="K618" i="1"/>
  <c r="K103" i="1"/>
  <c r="K280" i="1"/>
  <c r="K444" i="1"/>
  <c r="K742" i="1"/>
  <c r="K695" i="1"/>
  <c r="K3" i="1"/>
  <c r="K11" i="1"/>
  <c r="K53" i="1"/>
  <c r="K196" i="1"/>
  <c r="K535" i="1"/>
  <c r="K22" i="1"/>
  <c r="K574" i="1"/>
  <c r="K967" i="1"/>
  <c r="K582" i="1"/>
  <c r="K823" i="1"/>
  <c r="K23" i="1"/>
  <c r="K523" i="1"/>
  <c r="K48" i="1"/>
  <c r="K804" i="1"/>
  <c r="K239" i="1"/>
  <c r="K728" i="1"/>
  <c r="K469" i="1"/>
  <c r="K212" i="1"/>
  <c r="K117" i="1"/>
  <c r="K121" i="1"/>
  <c r="K758" i="1"/>
  <c r="K597" i="1"/>
  <c r="K233" i="1"/>
  <c r="K172" i="1"/>
  <c r="K330" i="1"/>
  <c r="K335" i="1"/>
  <c r="K470" i="1"/>
  <c r="K395" i="1"/>
  <c r="K466" i="1"/>
  <c r="K541" i="1"/>
  <c r="K504" i="1"/>
  <c r="K648" i="1"/>
  <c r="K274" i="1"/>
  <c r="K124" i="1"/>
  <c r="K179" i="1"/>
  <c r="K467" i="1"/>
  <c r="K75" i="1"/>
  <c r="K718" i="1"/>
  <c r="K998" i="1"/>
  <c r="K872" i="1"/>
  <c r="K249" i="1"/>
  <c r="K536" i="1"/>
  <c r="K747" i="1"/>
  <c r="K777" i="1"/>
  <c r="K766" i="1"/>
  <c r="K494" i="1"/>
  <c r="K254" i="1"/>
  <c r="K46" i="1"/>
  <c r="K553" i="1"/>
  <c r="K105" i="1"/>
  <c r="K277" i="1"/>
  <c r="K808" i="1"/>
  <c r="K483" i="1"/>
  <c r="K586" i="1"/>
  <c r="K783" i="1"/>
  <c r="K978" i="1"/>
  <c r="K286" i="1"/>
  <c r="K673" i="1"/>
  <c r="K772" i="1"/>
  <c r="K605" i="1"/>
  <c r="K546" i="1"/>
  <c r="K293" i="1"/>
  <c r="K35" i="1"/>
  <c r="K486" i="1"/>
  <c r="K238" i="1"/>
  <c r="K213" i="1"/>
  <c r="K307" i="1"/>
  <c r="K125" i="1"/>
  <c r="K149" i="1"/>
  <c r="K287" i="1"/>
  <c r="K460" i="1"/>
  <c r="K749" i="1"/>
  <c r="K471" i="1"/>
  <c r="K440" i="1"/>
  <c r="K137" i="1"/>
  <c r="K616" i="1"/>
  <c r="K429" i="1"/>
  <c r="K583" i="1"/>
  <c r="K784" i="1"/>
  <c r="K141" i="1"/>
  <c r="K14" i="1"/>
  <c r="K57" i="1"/>
  <c r="K968" i="1"/>
  <c r="K964" i="1"/>
  <c r="K354" i="1"/>
  <c r="K336" i="1"/>
  <c r="K278" i="1"/>
  <c r="K385" i="1"/>
  <c r="K659" i="1"/>
  <c r="K407" i="1"/>
  <c r="K649" i="1"/>
  <c r="K271" i="1"/>
  <c r="K639" i="1"/>
  <c r="K264" i="1"/>
  <c r="K592" i="1"/>
  <c r="K709" i="1"/>
  <c r="K156" i="1"/>
  <c r="K969" i="1"/>
  <c r="K432" i="1"/>
  <c r="K674" i="1"/>
  <c r="K73" i="1"/>
  <c r="K556" i="1"/>
  <c r="K988" i="1"/>
  <c r="K487" i="1"/>
  <c r="K600" i="1"/>
  <c r="K36" i="1"/>
  <c r="K640" i="1"/>
  <c r="K355" i="1"/>
  <c r="K646" i="1"/>
  <c r="K133" i="1"/>
  <c r="K76" i="1"/>
  <c r="K386" i="1"/>
  <c r="K842" i="1"/>
  <c r="K878" i="1"/>
  <c r="K885" i="1"/>
  <c r="K472" i="1"/>
  <c r="K64" i="1"/>
  <c r="K288" i="1"/>
  <c r="K911" i="1"/>
  <c r="K175" i="1"/>
  <c r="K275" i="1"/>
  <c r="K226" i="1"/>
  <c r="K209" i="1"/>
  <c r="K974" i="1"/>
  <c r="K818" i="1"/>
  <c r="K94" i="1"/>
  <c r="K428" i="1"/>
  <c r="K970" i="1"/>
  <c r="K220" i="1"/>
  <c r="K699" i="1"/>
  <c r="K886" i="1"/>
  <c r="K313" i="1"/>
  <c r="K180" i="1"/>
  <c r="K876" i="1"/>
  <c r="K524" i="1"/>
  <c r="K215" i="1"/>
  <c r="K693" i="1"/>
  <c r="K119" i="1"/>
  <c r="K675" i="1"/>
  <c r="K984" i="1"/>
  <c r="K613" i="1"/>
  <c r="K107" i="1"/>
  <c r="K891" i="1"/>
  <c r="K614" i="1"/>
  <c r="K232" i="1"/>
  <c r="K176" i="1"/>
  <c r="K445" i="1"/>
  <c r="K187" i="1"/>
  <c r="K542" i="1"/>
  <c r="K852" i="1"/>
  <c r="K696" i="1"/>
  <c r="K420" i="1"/>
  <c r="K337" i="1"/>
  <c r="K108" i="1"/>
  <c r="K88" i="1"/>
  <c r="K167" i="1"/>
  <c r="K370" i="1"/>
  <c r="K379" i="1"/>
  <c r="K516" i="1"/>
  <c r="K498" i="1"/>
  <c r="K387" i="1"/>
  <c r="K345" i="1"/>
  <c r="K861" i="1"/>
  <c r="K227" i="1"/>
  <c r="K954" i="1"/>
  <c r="K499" i="1"/>
  <c r="K557" i="1"/>
  <c r="K853" i="1"/>
  <c r="K716" i="1"/>
  <c r="K294" i="1"/>
  <c r="K996" i="1"/>
  <c r="K768" i="1"/>
  <c r="K402" i="1"/>
  <c r="K593" i="1"/>
  <c r="K392" i="1"/>
  <c r="K690" i="1"/>
  <c r="K517" i="1"/>
  <c r="K873" i="1"/>
  <c r="K362" i="1"/>
  <c r="K789" i="1"/>
  <c r="K769" i="1"/>
  <c r="K100" i="1"/>
  <c r="K388" i="1"/>
  <c r="K81" i="1"/>
  <c r="K898" i="1"/>
  <c r="K714" i="1"/>
  <c r="K919" i="1"/>
  <c r="K351" i="1"/>
  <c r="K979" i="1"/>
  <c r="K21" i="1"/>
  <c r="K90" i="1"/>
  <c r="K682" i="1"/>
  <c r="K505" i="1"/>
  <c r="K243" i="1"/>
  <c r="K166" i="1"/>
  <c r="K85" i="1"/>
  <c r="K203" i="1"/>
  <c r="K590" i="1"/>
  <c r="K934" i="1"/>
  <c r="K139" i="1"/>
  <c r="K244" i="1"/>
  <c r="K67" i="1"/>
  <c r="K206" i="1"/>
  <c r="K328" i="1"/>
  <c r="K686" i="1"/>
  <c r="K295" i="1"/>
  <c r="K289" i="1"/>
  <c r="K518" i="1"/>
  <c r="K912" i="1"/>
  <c r="K810" i="1"/>
  <c r="K134" i="1"/>
  <c r="K461" i="1"/>
  <c r="K454" i="1"/>
  <c r="K743" i="1"/>
  <c r="K813" i="1"/>
  <c r="K164" i="1"/>
  <c r="K843" i="1"/>
  <c r="K433" i="1"/>
  <c r="K245" i="1"/>
  <c r="K462" i="1"/>
  <c r="K870" i="1"/>
  <c r="K250" i="1"/>
  <c r="K991" i="1"/>
  <c r="K760" i="1"/>
  <c r="K701" i="1"/>
  <c r="K314" i="1"/>
  <c r="K797" i="1"/>
  <c r="K55" i="1"/>
  <c r="K144" i="1"/>
  <c r="K569" i="1"/>
  <c r="K281" i="1"/>
  <c r="K358" i="1"/>
  <c r="K819" i="1"/>
  <c r="K615" i="1"/>
  <c r="K258" i="1"/>
  <c r="K598" i="1"/>
  <c r="K907" i="1"/>
  <c r="K414" i="1"/>
  <c r="K858" i="1"/>
  <c r="K799" i="1"/>
  <c r="K611" i="1"/>
  <c r="K441" i="1"/>
  <c r="K27" i="1"/>
  <c r="K570" i="1"/>
  <c r="K83" i="1"/>
  <c r="K495" i="1"/>
  <c r="K643" i="1"/>
  <c r="K160" i="1"/>
  <c r="K800" i="1"/>
  <c r="K111" i="1"/>
  <c r="K359" i="1"/>
  <c r="K914" i="1"/>
  <c r="K311" i="1"/>
  <c r="K455" i="1"/>
  <c r="K606" i="1"/>
  <c r="K948" i="1"/>
  <c r="K584" i="1"/>
  <c r="K7" i="1"/>
  <c r="K380" i="1"/>
  <c r="K38" i="1"/>
  <c r="K262" i="1"/>
  <c r="K1001" i="1"/>
  <c r="K745" i="1"/>
  <c r="K992" i="1"/>
  <c r="K624" i="1"/>
  <c r="K997" i="1"/>
  <c r="K543" i="1"/>
  <c r="K720" i="1"/>
  <c r="K430" i="1"/>
  <c r="K438" i="1"/>
  <c r="K579" i="1"/>
  <c r="K315" i="1"/>
  <c r="K153" i="1"/>
  <c r="K300" i="1"/>
  <c r="K363" i="1"/>
  <c r="K301" i="1"/>
  <c r="K456" i="1"/>
  <c r="K150" i="1"/>
  <c r="K610" i="1"/>
  <c r="K547" i="1"/>
  <c r="K360" i="1"/>
  <c r="K601" i="1"/>
  <c r="K128" i="1"/>
  <c r="K398" i="1"/>
  <c r="K865" i="1"/>
  <c r="K34" i="1"/>
  <c r="K838" i="1"/>
  <c r="K803" i="1"/>
  <c r="K296" i="1"/>
  <c r="K96" i="1"/>
  <c r="K571" i="1"/>
  <c r="K761" i="1"/>
  <c r="K671" i="1"/>
  <c r="K434" i="1"/>
  <c r="K341" i="1"/>
  <c r="K138" i="1"/>
  <c r="K186" i="1"/>
  <c r="K908" i="1"/>
  <c r="K641" i="1"/>
  <c r="K219" i="1"/>
  <c r="K95" i="1"/>
  <c r="K537" i="1"/>
  <c r="K847" i="1"/>
  <c r="K805" i="1"/>
  <c r="K721" i="1"/>
  <c r="K866" i="1"/>
  <c r="K457" i="1"/>
  <c r="K733" i="1"/>
  <c r="K634" i="1"/>
  <c r="K84" i="1"/>
  <c r="K490" i="1"/>
  <c r="K2" i="1"/>
  <c r="K240" i="1"/>
  <c r="K51" i="1"/>
  <c r="K944" i="1"/>
  <c r="K635" i="1"/>
  <c r="K367" i="1"/>
  <c r="K811" i="1"/>
  <c r="K980" i="1"/>
  <c r="K130" i="1"/>
  <c r="K563" i="1"/>
  <c r="K346" i="1"/>
  <c r="K158" i="1"/>
  <c r="K331" i="1"/>
  <c r="K259" i="1"/>
  <c r="K519" i="1"/>
  <c r="K223" i="1"/>
  <c r="K854" i="1"/>
  <c r="K500" i="1"/>
  <c r="K619" i="1"/>
  <c r="K202" i="1"/>
  <c r="K734" i="1"/>
  <c r="K241" i="1"/>
  <c r="K793" i="1"/>
  <c r="K564" i="1"/>
  <c r="K393" i="1"/>
  <c r="K985" i="1"/>
  <c r="K263" i="1"/>
  <c r="K45" i="1"/>
  <c r="K965" i="1"/>
  <c r="K229" i="1"/>
  <c r="K704" i="1"/>
  <c r="K272" i="1"/>
  <c r="K520" i="1"/>
  <c r="K106" i="1"/>
  <c r="K28" i="1"/>
  <c r="K473" i="1"/>
  <c r="K131" i="1"/>
  <c r="K214" i="1"/>
  <c r="K10" i="1"/>
  <c r="K548" i="1"/>
  <c r="K216" i="1"/>
  <c r="K496" i="1"/>
  <c r="K463" i="1"/>
  <c r="K52" i="1"/>
  <c r="K200" i="1"/>
  <c r="K549" i="1"/>
  <c r="K652" i="1"/>
  <c r="K265" i="1"/>
  <c r="K940" i="1"/>
  <c r="K506" i="1"/>
  <c r="K981" i="1"/>
  <c r="K491" i="1"/>
  <c r="K89" i="1"/>
  <c r="K820" i="1"/>
  <c r="K560" i="1"/>
  <c r="K937" i="1"/>
  <c r="K859" i="1"/>
  <c r="K642" i="1"/>
  <c r="K9" i="1"/>
  <c r="K449" i="1"/>
  <c r="K308" i="1"/>
  <c r="K929" i="1"/>
  <c r="K192" i="1"/>
  <c r="K839" i="1"/>
  <c r="K762" i="1"/>
  <c r="K403" i="1"/>
  <c r="K660" i="1"/>
  <c r="K687" i="1"/>
  <c r="K790" i="1"/>
  <c r="K628" i="1"/>
  <c r="K591" i="1"/>
  <c r="K44" i="1"/>
  <c r="K446" i="1"/>
  <c r="K860" i="1"/>
  <c r="K722" i="1"/>
  <c r="K951" i="1"/>
  <c r="K665" i="1"/>
  <c r="K332" i="1"/>
  <c r="K525" i="1"/>
  <c r="K501" i="1"/>
  <c r="K893" i="1"/>
  <c r="K566" i="1"/>
  <c r="K909" i="1"/>
  <c r="K193" i="1"/>
  <c r="K856" i="1"/>
  <c r="K58" i="1"/>
  <c r="K132" i="1"/>
  <c r="K874" i="1"/>
  <c r="K86" i="1"/>
  <c r="K706" i="1"/>
  <c r="K575" i="1"/>
  <c r="K13" i="1"/>
  <c r="K794" i="1"/>
  <c r="K862" i="1"/>
  <c r="K204" i="1"/>
  <c r="K33" i="1"/>
  <c r="K165" i="1"/>
  <c r="K510" i="1"/>
  <c r="K736" i="1"/>
  <c r="K326" i="1"/>
  <c r="K959" i="1"/>
  <c r="K102" i="1"/>
  <c r="K17" i="1"/>
  <c r="K122" i="1"/>
  <c r="K901" i="1"/>
  <c r="K676" i="1"/>
  <c r="K672" i="1"/>
  <c r="K66" i="1"/>
  <c r="K234" i="1"/>
  <c r="K567" i="1"/>
  <c r="K705" i="1"/>
  <c r="K347" i="1"/>
  <c r="K952" i="1"/>
  <c r="K629" i="1"/>
  <c r="K656" i="1"/>
  <c r="K867" i="1"/>
  <c r="K715" i="1"/>
  <c r="K677" i="1"/>
  <c r="K809" i="1"/>
  <c r="K739" i="1"/>
  <c r="K377" i="1"/>
  <c r="K935" i="1"/>
  <c r="K113" i="1"/>
  <c r="K194" i="1"/>
  <c r="K939" i="1"/>
  <c r="K972" i="1"/>
  <c r="K678" i="1"/>
  <c r="K975" i="1"/>
  <c r="K868" i="1"/>
  <c r="K47" i="1"/>
  <c r="K993" i="1"/>
  <c r="K625" i="1"/>
  <c r="K913" i="1"/>
  <c r="K630" i="1"/>
  <c r="K626" i="1"/>
  <c r="K77" i="1"/>
  <c r="K421" i="1"/>
  <c r="K118" i="1"/>
  <c r="K533" i="1"/>
  <c r="K488" i="1"/>
  <c r="K840" i="1"/>
  <c r="K40" i="1"/>
  <c r="K594" i="1"/>
  <c r="K312" i="1"/>
  <c r="K824" i="1"/>
  <c r="K218" i="1"/>
  <c r="K636" i="1"/>
  <c r="K976" i="1"/>
  <c r="K554" i="1"/>
  <c r="K5" i="1"/>
  <c r="K140" i="1"/>
  <c r="K832" i="1"/>
  <c r="K56" i="1"/>
  <c r="K450" i="1"/>
  <c r="K902" i="1"/>
  <c r="K526" i="1"/>
  <c r="K657" i="1"/>
  <c r="K451" i="1"/>
  <c r="K474" i="1"/>
  <c r="K661" i="1"/>
  <c r="K188" i="1"/>
  <c r="K631" i="1"/>
  <c r="K770" i="1"/>
  <c r="K587" i="1"/>
  <c r="K960" i="1"/>
  <c r="K595" i="1"/>
  <c r="K142" i="1"/>
  <c r="K484" i="1"/>
  <c r="K930" i="1"/>
  <c r="K662" i="1"/>
  <c r="K666" i="1"/>
  <c r="K342" i="1"/>
  <c r="K60" i="1"/>
  <c r="K732" i="1"/>
  <c r="K627" i="1"/>
  <c r="K114" i="1"/>
  <c r="K773" i="1"/>
  <c r="K43" i="1"/>
  <c r="K953" i="1"/>
  <c r="K255" i="1"/>
  <c r="K941" i="1"/>
  <c r="K857" i="1"/>
  <c r="K612" i="1"/>
  <c r="K260" i="1"/>
  <c r="K683" i="1"/>
  <c r="K361" i="1"/>
  <c r="K382" i="1"/>
  <c r="K207" i="1"/>
  <c r="K855" i="1"/>
  <c r="K6" i="1"/>
  <c r="K502" i="1"/>
  <c r="K871" i="1"/>
  <c r="K923" i="1"/>
  <c r="K159" i="1"/>
  <c r="K679" i="1"/>
  <c r="K568" i="1"/>
  <c r="K737" i="1"/>
  <c r="K915" i="1"/>
  <c r="K529" i="1"/>
  <c r="K78" i="1"/>
  <c r="K343" i="1"/>
  <c r="K620" i="1"/>
  <c r="K986" i="1"/>
  <c r="K744" i="1"/>
  <c r="K826" i="1"/>
  <c r="K863" i="1"/>
  <c r="K889" i="1"/>
  <c r="K691" i="1"/>
  <c r="K880" i="1"/>
  <c r="K154" i="1"/>
  <c r="K763" i="1"/>
  <c r="K104" i="1"/>
  <c r="K31" i="1"/>
  <c r="K396" i="1"/>
  <c r="K530" i="1"/>
  <c r="K338" i="1"/>
  <c r="K442" i="1"/>
  <c r="K475" i="1"/>
  <c r="K576" i="1"/>
  <c r="K534" i="1"/>
  <c r="K368" i="1"/>
  <c r="K162" i="1"/>
  <c r="K999" i="1"/>
  <c r="K806" i="1"/>
  <c r="K247" i="1"/>
  <c r="K282" i="1"/>
  <c r="K585" i="1"/>
  <c r="K112" i="1"/>
  <c r="K148" i="1"/>
  <c r="K814" i="1"/>
  <c r="K168" i="1"/>
  <c r="K920" i="1"/>
  <c r="K404" i="1"/>
  <c r="I163" i="1"/>
  <c r="I394" i="1"/>
  <c r="I364" i="1"/>
  <c r="I68" i="1"/>
  <c r="I740" i="1"/>
  <c r="I607" i="1"/>
  <c r="I942" i="1"/>
  <c r="I921" i="1"/>
  <c r="I717" i="1"/>
  <c r="I61" i="1"/>
  <c r="I371" i="1"/>
  <c r="I447" i="1"/>
  <c r="I835" i="1"/>
  <c r="I688" i="1"/>
  <c r="I697" i="1"/>
  <c r="I91" i="1"/>
  <c r="I926" i="1"/>
  <c r="I987" i="1"/>
  <c r="I801" i="1"/>
  <c r="I565" i="1"/>
  <c r="I109" i="1"/>
  <c r="I92" i="1"/>
  <c r="I778" i="1"/>
  <c r="I710" i="1"/>
  <c r="I1000" i="1"/>
  <c r="I70" i="1"/>
  <c r="I283" i="1"/>
  <c r="I949" i="1"/>
  <c r="I418" i="1"/>
  <c r="I381" i="1"/>
  <c r="I864" i="1"/>
  <c r="I210" i="1"/>
  <c r="I123" i="1"/>
  <c r="I746" i="1"/>
  <c r="I237" i="1"/>
  <c r="I266" i="1"/>
  <c r="I369" i="1"/>
  <c r="I333" i="1"/>
  <c r="I881" i="1"/>
  <c r="I692" i="1"/>
  <c r="I476" i="1"/>
  <c r="I825" i="1"/>
  <c r="I246" i="1"/>
  <c r="I135" i="1"/>
  <c r="I399" i="1"/>
  <c r="I821" i="1"/>
  <c r="I910" i="1"/>
  <c r="I664" i="1"/>
  <c r="I374" i="1"/>
  <c r="I982" i="1"/>
  <c r="I25" i="1"/>
  <c r="I848" i="1"/>
  <c r="I184" i="1"/>
  <c r="I422" i="1"/>
  <c r="I273" i="1"/>
  <c r="I458" i="1"/>
  <c r="I931" i="1"/>
  <c r="I97" i="1"/>
  <c r="I841" i="1"/>
  <c r="I151" i="1"/>
  <c r="I877" i="1"/>
  <c r="I655" i="1"/>
  <c r="I531" i="1"/>
  <c r="I667" i="1"/>
  <c r="I883" i="1"/>
  <c r="I378" i="1"/>
  <c r="I621" i="1"/>
  <c r="I324" i="1"/>
  <c r="I477" i="1"/>
  <c r="I702" i="1"/>
  <c r="I957" i="1"/>
  <c r="I62" i="1"/>
  <c r="I397" i="1"/>
  <c r="I785" i="1"/>
  <c r="I155" i="1"/>
  <c r="I191" i="1"/>
  <c r="I197" i="1"/>
  <c r="I480" i="1"/>
  <c r="I79" i="1"/>
  <c r="I375" i="1"/>
  <c r="I936" i="1"/>
  <c r="I757" i="1"/>
  <c r="I408" i="1"/>
  <c r="I994" i="1"/>
  <c r="I916" i="1"/>
  <c r="I511" i="1"/>
  <c r="I415" i="1"/>
  <c r="I668" i="1"/>
  <c r="I426" i="1"/>
  <c r="I32" i="1"/>
  <c r="I899" i="1"/>
  <c r="I98" i="1"/>
  <c r="I512" i="1"/>
  <c r="I320" i="1"/>
  <c r="I497" i="1"/>
  <c r="I270" i="1"/>
  <c r="I459" i="1"/>
  <c r="I924" i="1"/>
  <c r="I771" i="1"/>
  <c r="I950" i="1"/>
  <c r="I669" i="1"/>
  <c r="I752" i="1"/>
  <c r="I712" i="1"/>
  <c r="I400" i="1"/>
  <c r="I513" i="1"/>
  <c r="I478" i="1"/>
  <c r="I116" i="1"/>
  <c r="I927" i="1"/>
  <c r="I894" i="1"/>
  <c r="I727" i="1"/>
  <c r="I882" i="1"/>
  <c r="I348" i="1"/>
  <c r="I303" i="1"/>
  <c r="I973" i="1"/>
  <c r="I774" i="1"/>
  <c r="I383" i="1"/>
  <c r="I145" i="1"/>
  <c r="I409" i="1"/>
  <c r="I558" i="1"/>
  <c r="I228" i="1"/>
  <c r="I321" i="1"/>
  <c r="I786" i="1"/>
  <c r="I741" i="1"/>
  <c r="I753" i="1"/>
  <c r="I356" i="1"/>
  <c r="I24" i="1"/>
  <c r="I827" i="1"/>
  <c r="I723" i="1"/>
  <c r="I416" i="1"/>
  <c r="I468" i="1"/>
  <c r="I602" i="1"/>
  <c r="I828" i="1"/>
  <c r="I110" i="1"/>
  <c r="I181" i="1"/>
  <c r="I572" i="1"/>
  <c r="I50" i="1"/>
  <c r="I703" i="1"/>
  <c r="I538" i="1"/>
  <c r="I869" i="1"/>
  <c r="I596" i="1"/>
  <c r="I339" i="1"/>
  <c r="I603" i="1"/>
  <c r="I256" i="1"/>
  <c r="I831" i="1"/>
  <c r="I989" i="1"/>
  <c r="I822" i="1"/>
  <c r="I836" i="1"/>
  <c r="I684" i="1"/>
  <c r="I775" i="1"/>
  <c r="I329" i="1"/>
  <c r="I685" i="1"/>
  <c r="I925" i="1"/>
  <c r="I990" i="1"/>
  <c r="I126" i="1"/>
  <c r="I713" i="1"/>
  <c r="I71" i="1"/>
  <c r="I917" i="1"/>
  <c r="I507" i="1"/>
  <c r="I966" i="1"/>
  <c r="I304" i="1"/>
  <c r="I647" i="1"/>
  <c r="I410" i="1"/>
  <c r="I251" i="1"/>
  <c r="I423" i="1"/>
  <c r="I205" i="1"/>
  <c r="I807" i="1"/>
  <c r="I791" i="1"/>
  <c r="I16" i="1"/>
  <c r="I550" i="1"/>
  <c r="I284" i="1"/>
  <c r="I928" i="1"/>
  <c r="I802" i="1"/>
  <c r="I173" i="1"/>
  <c r="I59" i="1"/>
  <c r="I711" i="1"/>
  <c r="I983" i="1"/>
  <c r="I352" i="1"/>
  <c r="I622" i="1"/>
  <c r="I779" i="1"/>
  <c r="I977" i="1"/>
  <c r="I389" i="1"/>
  <c r="I30" i="1"/>
  <c r="I390" i="1"/>
  <c r="I995" i="1"/>
  <c r="I316" i="1"/>
  <c r="I492" i="1"/>
  <c r="I74" i="1"/>
  <c r="I849" i="1"/>
  <c r="I617" i="1"/>
  <c r="I539" i="1"/>
  <c r="I730" i="1"/>
  <c r="I242" i="1"/>
  <c r="I344" i="1"/>
  <c r="I599" i="1"/>
  <c r="I322" i="1"/>
  <c r="I879" i="1"/>
  <c r="I759" i="1"/>
  <c r="I508" i="1"/>
  <c r="I485" i="1"/>
  <c r="I890" i="1"/>
  <c r="I285" i="1"/>
  <c r="I764" i="1"/>
  <c r="I248" i="1"/>
  <c r="I169" i="1"/>
  <c r="I577" i="1"/>
  <c r="I327" i="1"/>
  <c r="I267" i="1"/>
  <c r="I435" i="1"/>
  <c r="I780" i="1"/>
  <c r="I532" i="1"/>
  <c r="I527" i="1"/>
  <c r="I37" i="1"/>
  <c r="I183" i="1"/>
  <c r="I735" i="1"/>
  <c r="I481" i="1"/>
  <c r="I540" i="1"/>
  <c r="I401" i="1"/>
  <c r="I309" i="1"/>
  <c r="I157" i="1"/>
  <c r="I431" i="1"/>
  <c r="I644" i="1"/>
  <c r="I376" i="1"/>
  <c r="I101" i="1"/>
  <c r="I608" i="1"/>
  <c r="I424" i="1"/>
  <c r="I755" i="1"/>
  <c r="I812" i="1"/>
  <c r="I411" i="1"/>
  <c r="I943" i="1"/>
  <c r="I152" i="1"/>
  <c r="I235" i="1"/>
  <c r="I115" i="1"/>
  <c r="I452" i="1"/>
  <c r="I305" i="1"/>
  <c r="I971" i="1"/>
  <c r="I689" i="1"/>
  <c r="I837" i="1"/>
  <c r="I161" i="1"/>
  <c r="I405" i="1"/>
  <c r="I439" i="1"/>
  <c r="I632" i="1"/>
  <c r="I26" i="1"/>
  <c r="I918" i="1"/>
  <c r="I224" i="1"/>
  <c r="I588" i="1"/>
  <c r="I729" i="1"/>
  <c r="I756" i="1"/>
  <c r="I80" i="1"/>
  <c r="I947" i="1"/>
  <c r="I707" i="1"/>
  <c r="I955" i="1"/>
  <c r="I290" i="1"/>
  <c r="I65" i="1"/>
  <c r="I479" i="1"/>
  <c r="I748" i="1"/>
  <c r="I41" i="1"/>
  <c r="I143" i="1"/>
  <c r="I637" i="1"/>
  <c r="I561" i="1"/>
  <c r="I514" i="1"/>
  <c r="I787" i="1"/>
  <c r="I198" i="1"/>
  <c r="I29" i="1"/>
  <c r="I906" i="1"/>
  <c r="I731" i="1"/>
  <c r="I900" i="1"/>
  <c r="I897" i="1"/>
  <c r="I698" i="1"/>
  <c r="I291" i="1"/>
  <c r="I725" i="1"/>
  <c r="I436" i="1"/>
  <c r="I425" i="1"/>
  <c r="I297" i="1"/>
  <c r="I384" i="1"/>
  <c r="I310" i="1"/>
  <c r="I349" i="1"/>
  <c r="I350" i="1"/>
  <c r="I257" i="1"/>
  <c r="I781" i="1"/>
  <c r="I645" i="1"/>
  <c r="I489" i="1"/>
  <c r="I945" i="1"/>
  <c r="I99" i="1"/>
  <c r="I437" i="1"/>
  <c r="I875" i="1"/>
  <c r="I833" i="1"/>
  <c r="I412" i="1"/>
  <c r="I895" i="1"/>
  <c r="I726" i="1"/>
  <c r="I903" i="1"/>
  <c r="I54" i="1"/>
  <c r="I448" i="1"/>
  <c r="I503" i="1"/>
  <c r="I751" i="1"/>
  <c r="I815" i="1"/>
  <c r="I754" i="1"/>
  <c r="I417" i="1"/>
  <c r="I170" i="1"/>
  <c r="I317" i="1"/>
  <c r="I650" i="1"/>
  <c r="I365" i="1"/>
  <c r="I580" i="1"/>
  <c r="I42" i="1"/>
  <c r="I443" i="1"/>
  <c r="I694" i="1"/>
  <c r="I129" i="1"/>
  <c r="I252" i="1"/>
  <c r="I323" i="1"/>
  <c r="I719" i="1"/>
  <c r="I961" i="1"/>
  <c r="I884" i="1"/>
  <c r="I559" i="1"/>
  <c r="I372" i="1"/>
  <c r="I932" i="1"/>
  <c r="I956" i="1"/>
  <c r="I334" i="1"/>
  <c r="I724" i="1"/>
  <c r="I318" i="1"/>
  <c r="I515" i="1"/>
  <c r="I427" i="1"/>
  <c r="I551" i="1"/>
  <c r="I63" i="1"/>
  <c r="I892" i="1"/>
  <c r="I19" i="1"/>
  <c r="I225" i="1"/>
  <c r="I93" i="1"/>
  <c r="I366" i="1"/>
  <c r="I306" i="1"/>
  <c r="I298" i="1"/>
  <c r="I562" i="1"/>
  <c r="I82" i="1"/>
  <c r="I146" i="1"/>
  <c r="I482" i="1"/>
  <c r="I464" i="1"/>
  <c r="I39" i="1"/>
  <c r="I663" i="1"/>
  <c r="I933" i="1"/>
  <c r="I700" i="1"/>
  <c r="I708" i="1"/>
  <c r="I12" i="1"/>
  <c r="I419" i="1"/>
  <c r="I850" i="1"/>
  <c r="I788" i="1"/>
  <c r="I750" i="1"/>
  <c r="I521" i="1"/>
  <c r="I253" i="1"/>
  <c r="I829" i="1"/>
  <c r="I268" i="1"/>
  <c r="I201" i="1"/>
  <c r="I261" i="1"/>
  <c r="I147" i="1"/>
  <c r="I798" i="1"/>
  <c r="I509" i="1"/>
  <c r="I453" i="1"/>
  <c r="I49" i="1"/>
  <c r="I211" i="1"/>
  <c r="I87" i="1"/>
  <c r="I844" i="1"/>
  <c r="I391" i="1"/>
  <c r="I830" i="1"/>
  <c r="I195" i="1"/>
  <c r="I299" i="1"/>
  <c r="I680" i="1"/>
  <c r="I834" i="1"/>
  <c r="I544" i="1"/>
  <c r="I325" i="1"/>
  <c r="I269" i="1"/>
  <c r="I623" i="1"/>
  <c r="I413" i="1"/>
  <c r="I962" i="1"/>
  <c r="I20" i="1"/>
  <c r="I633" i="1"/>
  <c r="I846" i="1"/>
  <c r="I653" i="1"/>
  <c r="I589" i="1"/>
  <c r="I922" i="1"/>
  <c r="I904" i="1"/>
  <c r="I127" i="1"/>
  <c r="I545" i="1"/>
  <c r="I69" i="1"/>
  <c r="I120" i="1"/>
  <c r="I958" i="1"/>
  <c r="I887" i="1"/>
  <c r="I816" i="1"/>
  <c r="I888" i="1"/>
  <c r="I174" i="1"/>
  <c r="I340" i="1"/>
  <c r="I765" i="1"/>
  <c r="I905" i="1"/>
  <c r="I217" i="1"/>
  <c r="I795" i="1"/>
  <c r="I493" i="1"/>
  <c r="I406" i="1"/>
  <c r="I896" i="1"/>
  <c r="I353" i="1"/>
  <c r="I651" i="1"/>
  <c r="I609" i="1"/>
  <c r="I4" i="1"/>
  <c r="I177" i="1"/>
  <c r="I72" i="1"/>
  <c r="I946" i="1"/>
  <c r="I8" i="1"/>
  <c r="I279" i="1"/>
  <c r="I319" i="1"/>
  <c r="I178" i="1"/>
  <c r="I357" i="1"/>
  <c r="I18" i="1"/>
  <c r="I208" i="1"/>
  <c r="I776" i="1"/>
  <c r="I528" i="1"/>
  <c r="I578" i="1"/>
  <c r="I276" i="1"/>
  <c r="I681" i="1"/>
  <c r="I182" i="1"/>
  <c r="I292" i="1"/>
  <c r="I938" i="1"/>
  <c r="I817" i="1"/>
  <c r="I555" i="1"/>
  <c r="I670" i="1"/>
  <c r="I221" i="1"/>
  <c r="I963" i="1"/>
  <c r="I552" i="1"/>
  <c r="I851" i="1"/>
  <c r="I136" i="1"/>
  <c r="I222" i="1"/>
  <c r="I658" i="1"/>
  <c r="I792" i="1"/>
  <c r="I199" i="1"/>
  <c r="I189" i="1"/>
  <c r="I465" i="1"/>
  <c r="I738" i="1"/>
  <c r="I171" i="1"/>
  <c r="I654" i="1"/>
  <c r="I15" i="1"/>
  <c r="I185" i="1"/>
  <c r="I796" i="1"/>
  <c r="I236" i="1"/>
  <c r="I302" i="1"/>
  <c r="I573" i="1"/>
  <c r="I522" i="1"/>
  <c r="I638" i="1"/>
  <c r="I782" i="1"/>
  <c r="I581" i="1"/>
  <c r="I230" i="1"/>
  <c r="I767" i="1"/>
  <c r="I604" i="1"/>
  <c r="I845" i="1"/>
  <c r="I373" i="1"/>
  <c r="I231" i="1"/>
  <c r="I190" i="1"/>
  <c r="I618" i="1"/>
  <c r="I103" i="1"/>
  <c r="I280" i="1"/>
  <c r="I444" i="1"/>
  <c r="I742" i="1"/>
  <c r="I695" i="1"/>
  <c r="I3" i="1"/>
  <c r="I11" i="1"/>
  <c r="I53" i="1"/>
  <c r="I196" i="1"/>
  <c r="I535" i="1"/>
  <c r="I22" i="1"/>
  <c r="I574" i="1"/>
  <c r="I967" i="1"/>
  <c r="I582" i="1"/>
  <c r="I823" i="1"/>
  <c r="I23" i="1"/>
  <c r="I523" i="1"/>
  <c r="I48" i="1"/>
  <c r="I804" i="1"/>
  <c r="I239" i="1"/>
  <c r="I728" i="1"/>
  <c r="I469" i="1"/>
  <c r="I212" i="1"/>
  <c r="I117" i="1"/>
  <c r="I121" i="1"/>
  <c r="I758" i="1"/>
  <c r="I597" i="1"/>
  <c r="I233" i="1"/>
  <c r="I172" i="1"/>
  <c r="I330" i="1"/>
  <c r="I335" i="1"/>
  <c r="I470" i="1"/>
  <c r="I395" i="1"/>
  <c r="I466" i="1"/>
  <c r="I541" i="1"/>
  <c r="I504" i="1"/>
  <c r="I648" i="1"/>
  <c r="I274" i="1"/>
  <c r="I124" i="1"/>
  <c r="I179" i="1"/>
  <c r="I467" i="1"/>
  <c r="I75" i="1"/>
  <c r="I718" i="1"/>
  <c r="I998" i="1"/>
  <c r="I872" i="1"/>
  <c r="I249" i="1"/>
  <c r="I536" i="1"/>
  <c r="I747" i="1"/>
  <c r="I777" i="1"/>
  <c r="I766" i="1"/>
  <c r="I494" i="1"/>
  <c r="I254" i="1"/>
  <c r="I46" i="1"/>
  <c r="I553" i="1"/>
  <c r="I105" i="1"/>
  <c r="I277" i="1"/>
  <c r="I808" i="1"/>
  <c r="I483" i="1"/>
  <c r="I586" i="1"/>
  <c r="I783" i="1"/>
  <c r="I978" i="1"/>
  <c r="I286" i="1"/>
  <c r="I673" i="1"/>
  <c r="I772" i="1"/>
  <c r="I605" i="1"/>
  <c r="I546" i="1"/>
  <c r="I293" i="1"/>
  <c r="I35" i="1"/>
  <c r="I486" i="1"/>
  <c r="I238" i="1"/>
  <c r="I213" i="1"/>
  <c r="I307" i="1"/>
  <c r="I125" i="1"/>
  <c r="I149" i="1"/>
  <c r="I287" i="1"/>
  <c r="I460" i="1"/>
  <c r="I749" i="1"/>
  <c r="I471" i="1"/>
  <c r="I440" i="1"/>
  <c r="I137" i="1"/>
  <c r="I616" i="1"/>
  <c r="I429" i="1"/>
  <c r="I583" i="1"/>
  <c r="I784" i="1"/>
  <c r="I141" i="1"/>
  <c r="I14" i="1"/>
  <c r="I57" i="1"/>
  <c r="I968" i="1"/>
  <c r="I964" i="1"/>
  <c r="I354" i="1"/>
  <c r="I336" i="1"/>
  <c r="I278" i="1"/>
  <c r="I385" i="1"/>
  <c r="I659" i="1"/>
  <c r="I407" i="1"/>
  <c r="I649" i="1"/>
  <c r="I271" i="1"/>
  <c r="I639" i="1"/>
  <c r="I264" i="1"/>
  <c r="I592" i="1"/>
  <c r="I709" i="1"/>
  <c r="I156" i="1"/>
  <c r="I969" i="1"/>
  <c r="I432" i="1"/>
  <c r="I674" i="1"/>
  <c r="I73" i="1"/>
  <c r="I556" i="1"/>
  <c r="I988" i="1"/>
  <c r="I487" i="1"/>
  <c r="I600" i="1"/>
  <c r="I36" i="1"/>
  <c r="I640" i="1"/>
  <c r="I355" i="1"/>
  <c r="I646" i="1"/>
  <c r="I133" i="1"/>
  <c r="I76" i="1"/>
  <c r="I386" i="1"/>
  <c r="I842" i="1"/>
  <c r="I878" i="1"/>
  <c r="I885" i="1"/>
  <c r="I472" i="1"/>
  <c r="I64" i="1"/>
  <c r="I288" i="1"/>
  <c r="I911" i="1"/>
  <c r="I175" i="1"/>
  <c r="I275" i="1"/>
  <c r="I226" i="1"/>
  <c r="I209" i="1"/>
  <c r="I974" i="1"/>
  <c r="I818" i="1"/>
  <c r="I94" i="1"/>
  <c r="I428" i="1"/>
  <c r="I970" i="1"/>
  <c r="I220" i="1"/>
  <c r="I699" i="1"/>
  <c r="I886" i="1"/>
  <c r="I313" i="1"/>
  <c r="I180" i="1"/>
  <c r="I876" i="1"/>
  <c r="I524" i="1"/>
  <c r="I215" i="1"/>
  <c r="I693" i="1"/>
  <c r="I119" i="1"/>
  <c r="I675" i="1"/>
  <c r="I984" i="1"/>
  <c r="I613" i="1"/>
  <c r="I107" i="1"/>
  <c r="I891" i="1"/>
  <c r="I614" i="1"/>
  <c r="I232" i="1"/>
  <c r="I176" i="1"/>
  <c r="I445" i="1"/>
  <c r="I187" i="1"/>
  <c r="I542" i="1"/>
  <c r="I852" i="1"/>
  <c r="I696" i="1"/>
  <c r="I420" i="1"/>
  <c r="I337" i="1"/>
  <c r="I108" i="1"/>
  <c r="I88" i="1"/>
  <c r="I167" i="1"/>
  <c r="I370" i="1"/>
  <c r="I379" i="1"/>
  <c r="I516" i="1"/>
  <c r="I498" i="1"/>
  <c r="I387" i="1"/>
  <c r="I345" i="1"/>
  <c r="I861" i="1"/>
  <c r="I227" i="1"/>
  <c r="I954" i="1"/>
  <c r="I499" i="1"/>
  <c r="I557" i="1"/>
  <c r="I853" i="1"/>
  <c r="I716" i="1"/>
  <c r="I294" i="1"/>
  <c r="I996" i="1"/>
  <c r="I768" i="1"/>
  <c r="I402" i="1"/>
  <c r="I593" i="1"/>
  <c r="I392" i="1"/>
  <c r="I690" i="1"/>
  <c r="I517" i="1"/>
  <c r="I873" i="1"/>
  <c r="I362" i="1"/>
  <c r="I789" i="1"/>
  <c r="I769" i="1"/>
  <c r="I100" i="1"/>
  <c r="I388" i="1"/>
  <c r="I81" i="1"/>
  <c r="I898" i="1"/>
  <c r="I714" i="1"/>
  <c r="I919" i="1"/>
  <c r="I351" i="1"/>
  <c r="I979" i="1"/>
  <c r="I21" i="1"/>
  <c r="I90" i="1"/>
  <c r="I682" i="1"/>
  <c r="I505" i="1"/>
  <c r="I243" i="1"/>
  <c r="I166" i="1"/>
  <c r="I85" i="1"/>
  <c r="I203" i="1"/>
  <c r="I590" i="1"/>
  <c r="I934" i="1"/>
  <c r="I139" i="1"/>
  <c r="I244" i="1"/>
  <c r="I67" i="1"/>
  <c r="I206" i="1"/>
  <c r="I328" i="1"/>
  <c r="I686" i="1"/>
  <c r="I295" i="1"/>
  <c r="I289" i="1"/>
  <c r="I518" i="1"/>
  <c r="I912" i="1"/>
  <c r="I810" i="1"/>
  <c r="I134" i="1"/>
  <c r="I461" i="1"/>
  <c r="I454" i="1"/>
  <c r="I743" i="1"/>
  <c r="I813" i="1"/>
  <c r="I164" i="1"/>
  <c r="I843" i="1"/>
  <c r="I433" i="1"/>
  <c r="I245" i="1"/>
  <c r="I462" i="1"/>
  <c r="I870" i="1"/>
  <c r="I250" i="1"/>
  <c r="I991" i="1"/>
  <c r="I760" i="1"/>
  <c r="I701" i="1"/>
  <c r="I314" i="1"/>
  <c r="I797" i="1"/>
  <c r="I55" i="1"/>
  <c r="I144" i="1"/>
  <c r="I569" i="1"/>
  <c r="I281" i="1"/>
  <c r="I358" i="1"/>
  <c r="I819" i="1"/>
  <c r="I615" i="1"/>
  <c r="I258" i="1"/>
  <c r="I598" i="1"/>
  <c r="I907" i="1"/>
  <c r="I414" i="1"/>
  <c r="I858" i="1"/>
  <c r="I799" i="1"/>
  <c r="I611" i="1"/>
  <c r="I441" i="1"/>
  <c r="I27" i="1"/>
  <c r="I570" i="1"/>
  <c r="I83" i="1"/>
  <c r="I495" i="1"/>
  <c r="I643" i="1"/>
  <c r="I160" i="1"/>
  <c r="I800" i="1"/>
  <c r="I111" i="1"/>
  <c r="I359" i="1"/>
  <c r="I914" i="1"/>
  <c r="I311" i="1"/>
  <c r="I455" i="1"/>
  <c r="I606" i="1"/>
  <c r="I948" i="1"/>
  <c r="I584" i="1"/>
  <c r="I7" i="1"/>
  <c r="I380" i="1"/>
  <c r="I38" i="1"/>
  <c r="I262" i="1"/>
  <c r="I1001" i="1"/>
  <c r="I745" i="1"/>
  <c r="I992" i="1"/>
  <c r="I624" i="1"/>
  <c r="I997" i="1"/>
  <c r="I543" i="1"/>
  <c r="I720" i="1"/>
  <c r="I430" i="1"/>
  <c r="I438" i="1"/>
  <c r="I579" i="1"/>
  <c r="I315" i="1"/>
  <c r="I153" i="1"/>
  <c r="I300" i="1"/>
  <c r="I363" i="1"/>
  <c r="I301" i="1"/>
  <c r="I456" i="1"/>
  <c r="I150" i="1"/>
  <c r="I610" i="1"/>
  <c r="I547" i="1"/>
  <c r="I360" i="1"/>
  <c r="I601" i="1"/>
  <c r="I128" i="1"/>
  <c r="I398" i="1"/>
  <c r="I865" i="1"/>
  <c r="I34" i="1"/>
  <c r="I838" i="1"/>
  <c r="I803" i="1"/>
  <c r="I296" i="1"/>
  <c r="I96" i="1"/>
  <c r="I571" i="1"/>
  <c r="I761" i="1"/>
  <c r="I671" i="1"/>
  <c r="I434" i="1"/>
  <c r="I341" i="1"/>
  <c r="I138" i="1"/>
  <c r="I186" i="1"/>
  <c r="I908" i="1"/>
  <c r="I641" i="1"/>
  <c r="I219" i="1"/>
  <c r="I95" i="1"/>
  <c r="I537" i="1"/>
  <c r="I847" i="1"/>
  <c r="I805" i="1"/>
  <c r="I721" i="1"/>
  <c r="I866" i="1"/>
  <c r="I457" i="1"/>
  <c r="I733" i="1"/>
  <c r="I634" i="1"/>
  <c r="I84" i="1"/>
  <c r="I490" i="1"/>
  <c r="I2" i="1"/>
  <c r="I240" i="1"/>
  <c r="I51" i="1"/>
  <c r="I944" i="1"/>
  <c r="I635" i="1"/>
  <c r="I367" i="1"/>
  <c r="I811" i="1"/>
  <c r="I980" i="1"/>
  <c r="I130" i="1"/>
  <c r="I563" i="1"/>
  <c r="I346" i="1"/>
  <c r="I158" i="1"/>
  <c r="I331" i="1"/>
  <c r="I259" i="1"/>
  <c r="I519" i="1"/>
  <c r="I223" i="1"/>
  <c r="I854" i="1"/>
  <c r="I500" i="1"/>
  <c r="I619" i="1"/>
  <c r="I202" i="1"/>
  <c r="I734" i="1"/>
  <c r="I241" i="1"/>
  <c r="I793" i="1"/>
  <c r="I564" i="1"/>
  <c r="I393" i="1"/>
  <c r="I985" i="1"/>
  <c r="I263" i="1"/>
  <c r="I45" i="1"/>
  <c r="I965" i="1"/>
  <c r="I229" i="1"/>
  <c r="I704" i="1"/>
  <c r="I272" i="1"/>
  <c r="I520" i="1"/>
  <c r="I106" i="1"/>
  <c r="I28" i="1"/>
  <c r="I473" i="1"/>
  <c r="I131" i="1"/>
  <c r="I214" i="1"/>
  <c r="I10" i="1"/>
  <c r="I548" i="1"/>
  <c r="I216" i="1"/>
  <c r="I496" i="1"/>
  <c r="I463" i="1"/>
  <c r="I52" i="1"/>
  <c r="I200" i="1"/>
  <c r="I549" i="1"/>
  <c r="I652" i="1"/>
  <c r="I265" i="1"/>
  <c r="I940" i="1"/>
  <c r="I506" i="1"/>
  <c r="I981" i="1"/>
  <c r="I491" i="1"/>
  <c r="I89" i="1"/>
  <c r="I820" i="1"/>
  <c r="I560" i="1"/>
  <c r="I937" i="1"/>
  <c r="I859" i="1"/>
  <c r="I642" i="1"/>
  <c r="I9" i="1"/>
  <c r="I449" i="1"/>
  <c r="I308" i="1"/>
  <c r="I929" i="1"/>
  <c r="I192" i="1"/>
  <c r="I839" i="1"/>
  <c r="I762" i="1"/>
  <c r="I403" i="1"/>
  <c r="I660" i="1"/>
  <c r="I687" i="1"/>
  <c r="I790" i="1"/>
  <c r="I628" i="1"/>
  <c r="I591" i="1"/>
  <c r="I44" i="1"/>
  <c r="I446" i="1"/>
  <c r="I860" i="1"/>
  <c r="I722" i="1"/>
  <c r="I951" i="1"/>
  <c r="I665" i="1"/>
  <c r="I332" i="1"/>
  <c r="I525" i="1"/>
  <c r="I501" i="1"/>
  <c r="I893" i="1"/>
  <c r="I566" i="1"/>
  <c r="I909" i="1"/>
  <c r="I193" i="1"/>
  <c r="I856" i="1"/>
  <c r="I58" i="1"/>
  <c r="I132" i="1"/>
  <c r="I874" i="1"/>
  <c r="I86" i="1"/>
  <c r="I706" i="1"/>
  <c r="I575" i="1"/>
  <c r="I13" i="1"/>
  <c r="I794" i="1"/>
  <c r="I862" i="1"/>
  <c r="I204" i="1"/>
  <c r="I33" i="1"/>
  <c r="I165" i="1"/>
  <c r="I510" i="1"/>
  <c r="I736" i="1"/>
  <c r="I326" i="1"/>
  <c r="I959" i="1"/>
  <c r="I102" i="1"/>
  <c r="I17" i="1"/>
  <c r="I122" i="1"/>
  <c r="I901" i="1"/>
  <c r="I676" i="1"/>
  <c r="I672" i="1"/>
  <c r="I66" i="1"/>
  <c r="I234" i="1"/>
  <c r="I567" i="1"/>
  <c r="I705" i="1"/>
  <c r="I347" i="1"/>
  <c r="I952" i="1"/>
  <c r="I629" i="1"/>
  <c r="I656" i="1"/>
  <c r="I867" i="1"/>
  <c r="I715" i="1"/>
  <c r="I677" i="1"/>
  <c r="I809" i="1"/>
  <c r="I739" i="1"/>
  <c r="I377" i="1"/>
  <c r="I935" i="1"/>
  <c r="I113" i="1"/>
  <c r="I194" i="1"/>
  <c r="I939" i="1"/>
  <c r="I972" i="1"/>
  <c r="I678" i="1"/>
  <c r="I975" i="1"/>
  <c r="I868" i="1"/>
  <c r="I47" i="1"/>
  <c r="I993" i="1"/>
  <c r="I625" i="1"/>
  <c r="I913" i="1"/>
  <c r="I630" i="1"/>
  <c r="I626" i="1"/>
  <c r="I77" i="1"/>
  <c r="I421" i="1"/>
  <c r="I118" i="1"/>
  <c r="I533" i="1"/>
  <c r="I488" i="1"/>
  <c r="I840" i="1"/>
  <c r="I40" i="1"/>
  <c r="I594" i="1"/>
  <c r="I312" i="1"/>
  <c r="I824" i="1"/>
  <c r="I218" i="1"/>
  <c r="I636" i="1"/>
  <c r="I976" i="1"/>
  <c r="I554" i="1"/>
  <c r="I5" i="1"/>
  <c r="I140" i="1"/>
  <c r="I832" i="1"/>
  <c r="I56" i="1"/>
  <c r="I450" i="1"/>
  <c r="I902" i="1"/>
  <c r="I526" i="1"/>
  <c r="I657" i="1"/>
  <c r="I451" i="1"/>
  <c r="I474" i="1"/>
  <c r="I661" i="1"/>
  <c r="I188" i="1"/>
  <c r="I631" i="1"/>
  <c r="I770" i="1"/>
  <c r="I587" i="1"/>
  <c r="I960" i="1"/>
  <c r="I595" i="1"/>
  <c r="I142" i="1"/>
  <c r="I484" i="1"/>
  <c r="I930" i="1"/>
  <c r="I662" i="1"/>
  <c r="I666" i="1"/>
  <c r="I342" i="1"/>
  <c r="I60" i="1"/>
  <c r="I732" i="1"/>
  <c r="I627" i="1"/>
  <c r="I114" i="1"/>
  <c r="I773" i="1"/>
  <c r="I43" i="1"/>
  <c r="I953" i="1"/>
  <c r="I255" i="1"/>
  <c r="I941" i="1"/>
  <c r="I857" i="1"/>
  <c r="I612" i="1"/>
  <c r="I260" i="1"/>
  <c r="I683" i="1"/>
  <c r="I361" i="1"/>
  <c r="I382" i="1"/>
  <c r="I207" i="1"/>
  <c r="I855" i="1"/>
  <c r="I6" i="1"/>
  <c r="I502" i="1"/>
  <c r="I871" i="1"/>
  <c r="I923" i="1"/>
  <c r="I159" i="1"/>
  <c r="I679" i="1"/>
  <c r="I568" i="1"/>
  <c r="I737" i="1"/>
  <c r="I915" i="1"/>
  <c r="I529" i="1"/>
  <c r="I78" i="1"/>
  <c r="I343" i="1"/>
  <c r="I620" i="1"/>
  <c r="I986" i="1"/>
  <c r="I744" i="1"/>
  <c r="I826" i="1"/>
  <c r="I863" i="1"/>
  <c r="I889" i="1"/>
  <c r="I691" i="1"/>
  <c r="I880" i="1"/>
  <c r="I154" i="1"/>
  <c r="I763" i="1"/>
  <c r="I104" i="1"/>
  <c r="I31" i="1"/>
  <c r="I396" i="1"/>
  <c r="I530" i="1"/>
  <c r="I338" i="1"/>
  <c r="I442" i="1"/>
  <c r="I475" i="1"/>
  <c r="I576" i="1"/>
  <c r="I534" i="1"/>
  <c r="I368" i="1"/>
  <c r="I162" i="1"/>
  <c r="I999" i="1"/>
  <c r="I806" i="1"/>
  <c r="I247" i="1"/>
  <c r="I282" i="1"/>
  <c r="I585" i="1"/>
  <c r="I112" i="1"/>
  <c r="I148" i="1"/>
  <c r="I814" i="1"/>
  <c r="I168" i="1"/>
  <c r="I920" i="1"/>
  <c r="I404" i="1"/>
  <c r="H163" i="1"/>
  <c r="H394" i="1"/>
  <c r="H364" i="1"/>
  <c r="H68" i="1"/>
  <c r="H740" i="1"/>
  <c r="H607" i="1"/>
  <c r="H942" i="1"/>
  <c r="H921" i="1"/>
  <c r="H717" i="1"/>
  <c r="H61" i="1"/>
  <c r="H371" i="1"/>
  <c r="H447" i="1"/>
  <c r="H835" i="1"/>
  <c r="H688" i="1"/>
  <c r="H697" i="1"/>
  <c r="H91" i="1"/>
  <c r="H926" i="1"/>
  <c r="H987" i="1"/>
  <c r="H801" i="1"/>
  <c r="H565" i="1"/>
  <c r="H109" i="1"/>
  <c r="H92" i="1"/>
  <c r="H778" i="1"/>
  <c r="H710" i="1"/>
  <c r="H1000" i="1"/>
  <c r="H70" i="1"/>
  <c r="H283" i="1"/>
  <c r="H949" i="1"/>
  <c r="H418" i="1"/>
  <c r="H381" i="1"/>
  <c r="H864" i="1"/>
  <c r="H210" i="1"/>
  <c r="H123" i="1"/>
  <c r="H746" i="1"/>
  <c r="H237" i="1"/>
  <c r="H266" i="1"/>
  <c r="H369" i="1"/>
  <c r="H333" i="1"/>
  <c r="H881" i="1"/>
  <c r="H692" i="1"/>
  <c r="H476" i="1"/>
  <c r="H825" i="1"/>
  <c r="H246" i="1"/>
  <c r="H135" i="1"/>
  <c r="H399" i="1"/>
  <c r="H821" i="1"/>
  <c r="H910" i="1"/>
  <c r="H664" i="1"/>
  <c r="H374" i="1"/>
  <c r="H982" i="1"/>
  <c r="H25" i="1"/>
  <c r="H848" i="1"/>
  <c r="H184" i="1"/>
  <c r="H422" i="1"/>
  <c r="H273" i="1"/>
  <c r="H458" i="1"/>
  <c r="H931" i="1"/>
  <c r="H97" i="1"/>
  <c r="H841" i="1"/>
  <c r="H151" i="1"/>
  <c r="H877" i="1"/>
  <c r="H655" i="1"/>
  <c r="H531" i="1"/>
  <c r="H667" i="1"/>
  <c r="H883" i="1"/>
  <c r="H378" i="1"/>
  <c r="H621" i="1"/>
  <c r="H324" i="1"/>
  <c r="H477" i="1"/>
  <c r="H702" i="1"/>
  <c r="H957" i="1"/>
  <c r="H62" i="1"/>
  <c r="H397" i="1"/>
  <c r="H785" i="1"/>
  <c r="H155" i="1"/>
  <c r="H191" i="1"/>
  <c r="H197" i="1"/>
  <c r="H480" i="1"/>
  <c r="H79" i="1"/>
  <c r="H375" i="1"/>
  <c r="H936" i="1"/>
  <c r="H757" i="1"/>
  <c r="H408" i="1"/>
  <c r="H994" i="1"/>
  <c r="H916" i="1"/>
  <c r="H511" i="1"/>
  <c r="H415" i="1"/>
  <c r="H668" i="1"/>
  <c r="H426" i="1"/>
  <c r="H32" i="1"/>
  <c r="H899" i="1"/>
  <c r="H98" i="1"/>
  <c r="H512" i="1"/>
  <c r="H320" i="1"/>
  <c r="H497" i="1"/>
  <c r="H270" i="1"/>
  <c r="H459" i="1"/>
  <c r="H924" i="1"/>
  <c r="H771" i="1"/>
  <c r="H950" i="1"/>
  <c r="H669" i="1"/>
  <c r="H752" i="1"/>
  <c r="H712" i="1"/>
  <c r="H400" i="1"/>
  <c r="H513" i="1"/>
  <c r="H478" i="1"/>
  <c r="H116" i="1"/>
  <c r="H927" i="1"/>
  <c r="H894" i="1"/>
  <c r="H727" i="1"/>
  <c r="H882" i="1"/>
  <c r="H348" i="1"/>
  <c r="H303" i="1"/>
  <c r="H973" i="1"/>
  <c r="H774" i="1"/>
  <c r="H383" i="1"/>
  <c r="H145" i="1"/>
  <c r="H409" i="1"/>
  <c r="H558" i="1"/>
  <c r="H228" i="1"/>
  <c r="H321" i="1"/>
  <c r="H786" i="1"/>
  <c r="H741" i="1"/>
  <c r="H753" i="1"/>
  <c r="H356" i="1"/>
  <c r="H24" i="1"/>
  <c r="H827" i="1"/>
  <c r="H723" i="1"/>
  <c r="H416" i="1"/>
  <c r="H468" i="1"/>
  <c r="H602" i="1"/>
  <c r="H828" i="1"/>
  <c r="H110" i="1"/>
  <c r="H181" i="1"/>
  <c r="H572" i="1"/>
  <c r="H50" i="1"/>
  <c r="H703" i="1"/>
  <c r="H538" i="1"/>
  <c r="H869" i="1"/>
  <c r="H596" i="1"/>
  <c r="H339" i="1"/>
  <c r="H603" i="1"/>
  <c r="H256" i="1"/>
  <c r="H831" i="1"/>
  <c r="H989" i="1"/>
  <c r="H822" i="1"/>
  <c r="H836" i="1"/>
  <c r="H684" i="1"/>
  <c r="H775" i="1"/>
  <c r="H329" i="1"/>
  <c r="H685" i="1"/>
  <c r="H925" i="1"/>
  <c r="H990" i="1"/>
  <c r="H126" i="1"/>
  <c r="H713" i="1"/>
  <c r="H71" i="1"/>
  <c r="H917" i="1"/>
  <c r="H507" i="1"/>
  <c r="H966" i="1"/>
  <c r="H304" i="1"/>
  <c r="H647" i="1"/>
  <c r="H410" i="1"/>
  <c r="H251" i="1"/>
  <c r="H423" i="1"/>
  <c r="H205" i="1"/>
  <c r="H807" i="1"/>
  <c r="H791" i="1"/>
  <c r="H16" i="1"/>
  <c r="H550" i="1"/>
  <c r="H284" i="1"/>
  <c r="H928" i="1"/>
  <c r="H802" i="1"/>
  <c r="H173" i="1"/>
  <c r="H59" i="1"/>
  <c r="H711" i="1"/>
  <c r="H983" i="1"/>
  <c r="H352" i="1"/>
  <c r="H622" i="1"/>
  <c r="H779" i="1"/>
  <c r="H977" i="1"/>
  <c r="H389" i="1"/>
  <c r="H30" i="1"/>
  <c r="H390" i="1"/>
  <c r="H995" i="1"/>
  <c r="H316" i="1"/>
  <c r="H492" i="1"/>
  <c r="H74" i="1"/>
  <c r="H849" i="1"/>
  <c r="H617" i="1"/>
  <c r="H539" i="1"/>
  <c r="H730" i="1"/>
  <c r="H242" i="1"/>
  <c r="H344" i="1"/>
  <c r="H599" i="1"/>
  <c r="H322" i="1"/>
  <c r="H879" i="1"/>
  <c r="H759" i="1"/>
  <c r="H508" i="1"/>
  <c r="H485" i="1"/>
  <c r="H890" i="1"/>
  <c r="H285" i="1"/>
  <c r="H764" i="1"/>
  <c r="H248" i="1"/>
  <c r="H169" i="1"/>
  <c r="H577" i="1"/>
  <c r="H327" i="1"/>
  <c r="H267" i="1"/>
  <c r="H435" i="1"/>
  <c r="H780" i="1"/>
  <c r="H532" i="1"/>
  <c r="H527" i="1"/>
  <c r="H37" i="1"/>
  <c r="H183" i="1"/>
  <c r="H735" i="1"/>
  <c r="H481" i="1"/>
  <c r="H540" i="1"/>
  <c r="H401" i="1"/>
  <c r="H309" i="1"/>
  <c r="H157" i="1"/>
  <c r="H431" i="1"/>
  <c r="H644" i="1"/>
  <c r="H376" i="1"/>
  <c r="H101" i="1"/>
  <c r="H608" i="1"/>
  <c r="H424" i="1"/>
  <c r="H755" i="1"/>
  <c r="H812" i="1"/>
  <c r="H411" i="1"/>
  <c r="H943" i="1"/>
  <c r="H152" i="1"/>
  <c r="H235" i="1"/>
  <c r="H115" i="1"/>
  <c r="H452" i="1"/>
  <c r="H305" i="1"/>
  <c r="H971" i="1"/>
  <c r="H689" i="1"/>
  <c r="H837" i="1"/>
  <c r="H161" i="1"/>
  <c r="H405" i="1"/>
  <c r="H439" i="1"/>
  <c r="H632" i="1"/>
  <c r="H26" i="1"/>
  <c r="H918" i="1"/>
  <c r="H224" i="1"/>
  <c r="H588" i="1"/>
  <c r="H729" i="1"/>
  <c r="H756" i="1"/>
  <c r="H80" i="1"/>
  <c r="H947" i="1"/>
  <c r="H707" i="1"/>
  <c r="H955" i="1"/>
  <c r="H290" i="1"/>
  <c r="H65" i="1"/>
  <c r="H479" i="1"/>
  <c r="H748" i="1"/>
  <c r="H41" i="1"/>
  <c r="H143" i="1"/>
  <c r="H637" i="1"/>
  <c r="H561" i="1"/>
  <c r="H514" i="1"/>
  <c r="H787" i="1"/>
  <c r="H198" i="1"/>
  <c r="H29" i="1"/>
  <c r="H906" i="1"/>
  <c r="H731" i="1"/>
  <c r="H900" i="1"/>
  <c r="H897" i="1"/>
  <c r="H698" i="1"/>
  <c r="H291" i="1"/>
  <c r="H725" i="1"/>
  <c r="H436" i="1"/>
  <c r="H425" i="1"/>
  <c r="H297" i="1"/>
  <c r="H384" i="1"/>
  <c r="H310" i="1"/>
  <c r="H349" i="1"/>
  <c r="H350" i="1"/>
  <c r="H257" i="1"/>
  <c r="H781" i="1"/>
  <c r="H645" i="1"/>
  <c r="H489" i="1"/>
  <c r="H945" i="1"/>
  <c r="H99" i="1"/>
  <c r="H437" i="1"/>
  <c r="H875" i="1"/>
  <c r="H833" i="1"/>
  <c r="H412" i="1"/>
  <c r="H895" i="1"/>
  <c r="H726" i="1"/>
  <c r="H903" i="1"/>
  <c r="H54" i="1"/>
  <c r="H448" i="1"/>
  <c r="H503" i="1"/>
  <c r="H751" i="1"/>
  <c r="H815" i="1"/>
  <c r="H754" i="1"/>
  <c r="H417" i="1"/>
  <c r="H170" i="1"/>
  <c r="H317" i="1"/>
  <c r="H650" i="1"/>
  <c r="H365" i="1"/>
  <c r="H580" i="1"/>
  <c r="H42" i="1"/>
  <c r="H443" i="1"/>
  <c r="H694" i="1"/>
  <c r="H129" i="1"/>
  <c r="H252" i="1"/>
  <c r="H323" i="1"/>
  <c r="H719" i="1"/>
  <c r="H961" i="1"/>
  <c r="H884" i="1"/>
  <c r="H559" i="1"/>
  <c r="H372" i="1"/>
  <c r="H932" i="1"/>
  <c r="H956" i="1"/>
  <c r="H334" i="1"/>
  <c r="H724" i="1"/>
  <c r="H318" i="1"/>
  <c r="H515" i="1"/>
  <c r="H427" i="1"/>
  <c r="H551" i="1"/>
  <c r="H63" i="1"/>
  <c r="H892" i="1"/>
  <c r="H19" i="1"/>
  <c r="H225" i="1"/>
  <c r="H93" i="1"/>
  <c r="H366" i="1"/>
  <c r="H306" i="1"/>
  <c r="H298" i="1"/>
  <c r="H562" i="1"/>
  <c r="H82" i="1"/>
  <c r="H146" i="1"/>
  <c r="H482" i="1"/>
  <c r="H464" i="1"/>
  <c r="H39" i="1"/>
  <c r="H663" i="1"/>
  <c r="H933" i="1"/>
  <c r="H700" i="1"/>
  <c r="H708" i="1"/>
  <c r="H12" i="1"/>
  <c r="H419" i="1"/>
  <c r="H850" i="1"/>
  <c r="H788" i="1"/>
  <c r="H750" i="1"/>
  <c r="H521" i="1"/>
  <c r="H253" i="1"/>
  <c r="H829" i="1"/>
  <c r="H268" i="1"/>
  <c r="H201" i="1"/>
  <c r="H261" i="1"/>
  <c r="H147" i="1"/>
  <c r="H798" i="1"/>
  <c r="H509" i="1"/>
  <c r="H453" i="1"/>
  <c r="H49" i="1"/>
  <c r="H211" i="1"/>
  <c r="H87" i="1"/>
  <c r="H844" i="1"/>
  <c r="H391" i="1"/>
  <c r="H830" i="1"/>
  <c r="H195" i="1"/>
  <c r="H299" i="1"/>
  <c r="H680" i="1"/>
  <c r="H834" i="1"/>
  <c r="H544" i="1"/>
  <c r="H325" i="1"/>
  <c r="H269" i="1"/>
  <c r="H623" i="1"/>
  <c r="H413" i="1"/>
  <c r="H962" i="1"/>
  <c r="H20" i="1"/>
  <c r="H633" i="1"/>
  <c r="H846" i="1"/>
  <c r="H653" i="1"/>
  <c r="H589" i="1"/>
  <c r="H922" i="1"/>
  <c r="H904" i="1"/>
  <c r="H127" i="1"/>
  <c r="H545" i="1"/>
  <c r="H69" i="1"/>
  <c r="H120" i="1"/>
  <c r="H958" i="1"/>
  <c r="H887" i="1"/>
  <c r="H816" i="1"/>
  <c r="H888" i="1"/>
  <c r="H174" i="1"/>
  <c r="H340" i="1"/>
  <c r="H765" i="1"/>
  <c r="H905" i="1"/>
  <c r="H217" i="1"/>
  <c r="H795" i="1"/>
  <c r="H493" i="1"/>
  <c r="H406" i="1"/>
  <c r="H896" i="1"/>
  <c r="H353" i="1"/>
  <c r="H651" i="1"/>
  <c r="H609" i="1"/>
  <c r="H4" i="1"/>
  <c r="H177" i="1"/>
  <c r="H72" i="1"/>
  <c r="H946" i="1"/>
  <c r="H8" i="1"/>
  <c r="H279" i="1"/>
  <c r="H319" i="1"/>
  <c r="H178" i="1"/>
  <c r="H357" i="1"/>
  <c r="H18" i="1"/>
  <c r="H208" i="1"/>
  <c r="H776" i="1"/>
  <c r="H528" i="1"/>
  <c r="H578" i="1"/>
  <c r="H276" i="1"/>
  <c r="H681" i="1"/>
  <c r="H182" i="1"/>
  <c r="H292" i="1"/>
  <c r="H938" i="1"/>
  <c r="H817" i="1"/>
  <c r="H555" i="1"/>
  <c r="H670" i="1"/>
  <c r="H221" i="1"/>
  <c r="H963" i="1"/>
  <c r="H552" i="1"/>
  <c r="H851" i="1"/>
  <c r="H136" i="1"/>
  <c r="H222" i="1"/>
  <c r="H658" i="1"/>
  <c r="H792" i="1"/>
  <c r="H199" i="1"/>
  <c r="H189" i="1"/>
  <c r="H465" i="1"/>
  <c r="H738" i="1"/>
  <c r="H171" i="1"/>
  <c r="H654" i="1"/>
  <c r="H15" i="1"/>
  <c r="H185" i="1"/>
  <c r="H796" i="1"/>
  <c r="H236" i="1"/>
  <c r="H302" i="1"/>
  <c r="H573" i="1"/>
  <c r="H522" i="1"/>
  <c r="H638" i="1"/>
  <c r="H782" i="1"/>
  <c r="H581" i="1"/>
  <c r="H230" i="1"/>
  <c r="H767" i="1"/>
  <c r="H604" i="1"/>
  <c r="H845" i="1"/>
  <c r="H373" i="1"/>
  <c r="H231" i="1"/>
  <c r="H190" i="1"/>
  <c r="H618" i="1"/>
  <c r="H103" i="1"/>
  <c r="H280" i="1"/>
  <c r="H444" i="1"/>
  <c r="H742" i="1"/>
  <c r="H695" i="1"/>
  <c r="H3" i="1"/>
  <c r="H11" i="1"/>
  <c r="H53" i="1"/>
  <c r="H196" i="1"/>
  <c r="H535" i="1"/>
  <c r="H22" i="1"/>
  <c r="H574" i="1"/>
  <c r="H967" i="1"/>
  <c r="H582" i="1"/>
  <c r="H823" i="1"/>
  <c r="H23" i="1"/>
  <c r="H523" i="1"/>
  <c r="H48" i="1"/>
  <c r="H804" i="1"/>
  <c r="H239" i="1"/>
  <c r="H728" i="1"/>
  <c r="H469" i="1"/>
  <c r="H212" i="1"/>
  <c r="H117" i="1"/>
  <c r="H121" i="1"/>
  <c r="H758" i="1"/>
  <c r="H597" i="1"/>
  <c r="H233" i="1"/>
  <c r="H172" i="1"/>
  <c r="H330" i="1"/>
  <c r="H335" i="1"/>
  <c r="H470" i="1"/>
  <c r="H395" i="1"/>
  <c r="H466" i="1"/>
  <c r="H541" i="1"/>
  <c r="H504" i="1"/>
  <c r="H648" i="1"/>
  <c r="H274" i="1"/>
  <c r="H124" i="1"/>
  <c r="H179" i="1"/>
  <c r="H467" i="1"/>
  <c r="H75" i="1"/>
  <c r="H718" i="1"/>
  <c r="H998" i="1"/>
  <c r="H872" i="1"/>
  <c r="H249" i="1"/>
  <c r="H536" i="1"/>
  <c r="H747" i="1"/>
  <c r="H777" i="1"/>
  <c r="H766" i="1"/>
  <c r="H494" i="1"/>
  <c r="H254" i="1"/>
  <c r="H46" i="1"/>
  <c r="H553" i="1"/>
  <c r="H105" i="1"/>
  <c r="H277" i="1"/>
  <c r="H808" i="1"/>
  <c r="H483" i="1"/>
  <c r="H586" i="1"/>
  <c r="H783" i="1"/>
  <c r="H978" i="1"/>
  <c r="H286" i="1"/>
  <c r="H673" i="1"/>
  <c r="H772" i="1"/>
  <c r="H605" i="1"/>
  <c r="H546" i="1"/>
  <c r="H293" i="1"/>
  <c r="H35" i="1"/>
  <c r="H486" i="1"/>
  <c r="H238" i="1"/>
  <c r="H213" i="1"/>
  <c r="H307" i="1"/>
  <c r="H125" i="1"/>
  <c r="H149" i="1"/>
  <c r="H287" i="1"/>
  <c r="H460" i="1"/>
  <c r="H749" i="1"/>
  <c r="H471" i="1"/>
  <c r="H440" i="1"/>
  <c r="H137" i="1"/>
  <c r="H616" i="1"/>
  <c r="H429" i="1"/>
  <c r="H583" i="1"/>
  <c r="H784" i="1"/>
  <c r="H141" i="1"/>
  <c r="H14" i="1"/>
  <c r="H57" i="1"/>
  <c r="H968" i="1"/>
  <c r="H964" i="1"/>
  <c r="H354" i="1"/>
  <c r="H336" i="1"/>
  <c r="H278" i="1"/>
  <c r="H385" i="1"/>
  <c r="H659" i="1"/>
  <c r="H407" i="1"/>
  <c r="H649" i="1"/>
  <c r="H271" i="1"/>
  <c r="H639" i="1"/>
  <c r="H264" i="1"/>
  <c r="H592" i="1"/>
  <c r="H709" i="1"/>
  <c r="H156" i="1"/>
  <c r="H969" i="1"/>
  <c r="H432" i="1"/>
  <c r="H674" i="1"/>
  <c r="H73" i="1"/>
  <c r="H556" i="1"/>
  <c r="H988" i="1"/>
  <c r="H487" i="1"/>
  <c r="H600" i="1"/>
  <c r="H36" i="1"/>
  <c r="H640" i="1"/>
  <c r="H355" i="1"/>
  <c r="H646" i="1"/>
  <c r="H133" i="1"/>
  <c r="H76" i="1"/>
  <c r="H386" i="1"/>
  <c r="H842" i="1"/>
  <c r="H878" i="1"/>
  <c r="H885" i="1"/>
  <c r="H472" i="1"/>
  <c r="H64" i="1"/>
  <c r="H288" i="1"/>
  <c r="H911" i="1"/>
  <c r="H175" i="1"/>
  <c r="H275" i="1"/>
  <c r="H226" i="1"/>
  <c r="H209" i="1"/>
  <c r="H974" i="1"/>
  <c r="H818" i="1"/>
  <c r="H94" i="1"/>
  <c r="H428" i="1"/>
  <c r="H970" i="1"/>
  <c r="H220" i="1"/>
  <c r="H699" i="1"/>
  <c r="H886" i="1"/>
  <c r="H313" i="1"/>
  <c r="H180" i="1"/>
  <c r="H876" i="1"/>
  <c r="H524" i="1"/>
  <c r="H215" i="1"/>
  <c r="H693" i="1"/>
  <c r="H119" i="1"/>
  <c r="H675" i="1"/>
  <c r="H984" i="1"/>
  <c r="H613" i="1"/>
  <c r="H107" i="1"/>
  <c r="H891" i="1"/>
  <c r="H614" i="1"/>
  <c r="H232" i="1"/>
  <c r="H176" i="1"/>
  <c r="H445" i="1"/>
  <c r="H187" i="1"/>
  <c r="H542" i="1"/>
  <c r="H852" i="1"/>
  <c r="H696" i="1"/>
  <c r="H420" i="1"/>
  <c r="H337" i="1"/>
  <c r="H108" i="1"/>
  <c r="H88" i="1"/>
  <c r="H167" i="1"/>
  <c r="H370" i="1"/>
  <c r="H379" i="1"/>
  <c r="H516" i="1"/>
  <c r="H498" i="1"/>
  <c r="H387" i="1"/>
  <c r="H345" i="1"/>
  <c r="H861" i="1"/>
  <c r="H227" i="1"/>
  <c r="H954" i="1"/>
  <c r="H499" i="1"/>
  <c r="H557" i="1"/>
  <c r="H853" i="1"/>
  <c r="H716" i="1"/>
  <c r="H294" i="1"/>
  <c r="H996" i="1"/>
  <c r="H768" i="1"/>
  <c r="H402" i="1"/>
  <c r="H593" i="1"/>
  <c r="H392" i="1"/>
  <c r="H690" i="1"/>
  <c r="H517" i="1"/>
  <c r="H873" i="1"/>
  <c r="H362" i="1"/>
  <c r="H789" i="1"/>
  <c r="H769" i="1"/>
  <c r="H100" i="1"/>
  <c r="H388" i="1"/>
  <c r="H81" i="1"/>
  <c r="H898" i="1"/>
  <c r="H714" i="1"/>
  <c r="H919" i="1"/>
  <c r="H351" i="1"/>
  <c r="H979" i="1"/>
  <c r="H21" i="1"/>
  <c r="H90" i="1"/>
  <c r="H682" i="1"/>
  <c r="H505" i="1"/>
  <c r="H243" i="1"/>
  <c r="H166" i="1"/>
  <c r="H85" i="1"/>
  <c r="H203" i="1"/>
  <c r="H590" i="1"/>
  <c r="H934" i="1"/>
  <c r="H139" i="1"/>
  <c r="H244" i="1"/>
  <c r="H67" i="1"/>
  <c r="H206" i="1"/>
  <c r="H328" i="1"/>
  <c r="H686" i="1"/>
  <c r="H295" i="1"/>
  <c r="H289" i="1"/>
  <c r="H518" i="1"/>
  <c r="H912" i="1"/>
  <c r="H810" i="1"/>
  <c r="H134" i="1"/>
  <c r="H461" i="1"/>
  <c r="H454" i="1"/>
  <c r="H743" i="1"/>
  <c r="H813" i="1"/>
  <c r="H164" i="1"/>
  <c r="H843" i="1"/>
  <c r="H433" i="1"/>
  <c r="H245" i="1"/>
  <c r="H462" i="1"/>
  <c r="H870" i="1"/>
  <c r="H250" i="1"/>
  <c r="H991" i="1"/>
  <c r="H760" i="1"/>
  <c r="H701" i="1"/>
  <c r="H314" i="1"/>
  <c r="H797" i="1"/>
  <c r="H55" i="1"/>
  <c r="H144" i="1"/>
  <c r="H569" i="1"/>
  <c r="H281" i="1"/>
  <c r="H358" i="1"/>
  <c r="H819" i="1"/>
  <c r="H615" i="1"/>
  <c r="H258" i="1"/>
  <c r="H598" i="1"/>
  <c r="H907" i="1"/>
  <c r="H414" i="1"/>
  <c r="H858" i="1"/>
  <c r="H799" i="1"/>
  <c r="H611" i="1"/>
  <c r="H441" i="1"/>
  <c r="H27" i="1"/>
  <c r="H570" i="1"/>
  <c r="H83" i="1"/>
  <c r="H495" i="1"/>
  <c r="H643" i="1"/>
  <c r="H160" i="1"/>
  <c r="H800" i="1"/>
  <c r="H111" i="1"/>
  <c r="H359" i="1"/>
  <c r="H914" i="1"/>
  <c r="H311" i="1"/>
  <c r="H455" i="1"/>
  <c r="H606" i="1"/>
  <c r="H948" i="1"/>
  <c r="H584" i="1"/>
  <c r="H7" i="1"/>
  <c r="H380" i="1"/>
  <c r="H38" i="1"/>
  <c r="H262" i="1"/>
  <c r="H1001" i="1"/>
  <c r="H745" i="1"/>
  <c r="H992" i="1"/>
  <c r="H624" i="1"/>
  <c r="H997" i="1"/>
  <c r="H543" i="1"/>
  <c r="H720" i="1"/>
  <c r="H430" i="1"/>
  <c r="H438" i="1"/>
  <c r="H579" i="1"/>
  <c r="H315" i="1"/>
  <c r="H153" i="1"/>
  <c r="H300" i="1"/>
  <c r="H363" i="1"/>
  <c r="H301" i="1"/>
  <c r="H456" i="1"/>
  <c r="H150" i="1"/>
  <c r="H610" i="1"/>
  <c r="H547" i="1"/>
  <c r="H360" i="1"/>
  <c r="H601" i="1"/>
  <c r="H128" i="1"/>
  <c r="H398" i="1"/>
  <c r="H865" i="1"/>
  <c r="H34" i="1"/>
  <c r="H838" i="1"/>
  <c r="H803" i="1"/>
  <c r="H296" i="1"/>
  <c r="H96" i="1"/>
  <c r="H571" i="1"/>
  <c r="H761" i="1"/>
  <c r="H671" i="1"/>
  <c r="H434" i="1"/>
  <c r="H341" i="1"/>
  <c r="H138" i="1"/>
  <c r="H186" i="1"/>
  <c r="H908" i="1"/>
  <c r="H641" i="1"/>
  <c r="H219" i="1"/>
  <c r="H95" i="1"/>
  <c r="H537" i="1"/>
  <c r="H847" i="1"/>
  <c r="H805" i="1"/>
  <c r="H721" i="1"/>
  <c r="H866" i="1"/>
  <c r="H457" i="1"/>
  <c r="H733" i="1"/>
  <c r="H634" i="1"/>
  <c r="H84" i="1"/>
  <c r="H490" i="1"/>
  <c r="H2" i="1"/>
  <c r="H240" i="1"/>
  <c r="H51" i="1"/>
  <c r="H944" i="1"/>
  <c r="H635" i="1"/>
  <c r="H367" i="1"/>
  <c r="H811" i="1"/>
  <c r="H980" i="1"/>
  <c r="H130" i="1"/>
  <c r="H563" i="1"/>
  <c r="H346" i="1"/>
  <c r="H158" i="1"/>
  <c r="H331" i="1"/>
  <c r="H259" i="1"/>
  <c r="H519" i="1"/>
  <c r="H223" i="1"/>
  <c r="H854" i="1"/>
  <c r="H500" i="1"/>
  <c r="H619" i="1"/>
  <c r="H202" i="1"/>
  <c r="H734" i="1"/>
  <c r="H241" i="1"/>
  <c r="H793" i="1"/>
  <c r="H564" i="1"/>
  <c r="H393" i="1"/>
  <c r="H985" i="1"/>
  <c r="H263" i="1"/>
  <c r="H45" i="1"/>
  <c r="H965" i="1"/>
  <c r="H229" i="1"/>
  <c r="H704" i="1"/>
  <c r="H272" i="1"/>
  <c r="H520" i="1"/>
  <c r="H106" i="1"/>
  <c r="H28" i="1"/>
  <c r="H473" i="1"/>
  <c r="H131" i="1"/>
  <c r="H214" i="1"/>
  <c r="H10" i="1"/>
  <c r="H548" i="1"/>
  <c r="H216" i="1"/>
  <c r="H496" i="1"/>
  <c r="H463" i="1"/>
  <c r="H52" i="1"/>
  <c r="H200" i="1"/>
  <c r="H549" i="1"/>
  <c r="H652" i="1"/>
  <c r="H265" i="1"/>
  <c r="H940" i="1"/>
  <c r="H506" i="1"/>
  <c r="H981" i="1"/>
  <c r="H491" i="1"/>
  <c r="H89" i="1"/>
  <c r="H820" i="1"/>
  <c r="H560" i="1"/>
  <c r="H937" i="1"/>
  <c r="H859" i="1"/>
  <c r="H642" i="1"/>
  <c r="H9" i="1"/>
  <c r="H449" i="1"/>
  <c r="H308" i="1"/>
  <c r="H929" i="1"/>
  <c r="H192" i="1"/>
  <c r="H839" i="1"/>
  <c r="H762" i="1"/>
  <c r="H403" i="1"/>
  <c r="H660" i="1"/>
  <c r="H687" i="1"/>
  <c r="H790" i="1"/>
  <c r="H628" i="1"/>
  <c r="H591" i="1"/>
  <c r="H44" i="1"/>
  <c r="H446" i="1"/>
  <c r="H860" i="1"/>
  <c r="H722" i="1"/>
  <c r="H951" i="1"/>
  <c r="H665" i="1"/>
  <c r="H332" i="1"/>
  <c r="H525" i="1"/>
  <c r="H501" i="1"/>
  <c r="H893" i="1"/>
  <c r="H566" i="1"/>
  <c r="H909" i="1"/>
  <c r="H193" i="1"/>
  <c r="H856" i="1"/>
  <c r="H58" i="1"/>
  <c r="H132" i="1"/>
  <c r="H874" i="1"/>
  <c r="H86" i="1"/>
  <c r="H706" i="1"/>
  <c r="H575" i="1"/>
  <c r="H13" i="1"/>
  <c r="H794" i="1"/>
  <c r="H862" i="1"/>
  <c r="H204" i="1"/>
  <c r="H33" i="1"/>
  <c r="H165" i="1"/>
  <c r="H510" i="1"/>
  <c r="H736" i="1"/>
  <c r="H326" i="1"/>
  <c r="H959" i="1"/>
  <c r="H102" i="1"/>
  <c r="H17" i="1"/>
  <c r="H122" i="1"/>
  <c r="H901" i="1"/>
  <c r="H676" i="1"/>
  <c r="H672" i="1"/>
  <c r="H66" i="1"/>
  <c r="H234" i="1"/>
  <c r="H567" i="1"/>
  <c r="H705" i="1"/>
  <c r="H347" i="1"/>
  <c r="H952" i="1"/>
  <c r="H629" i="1"/>
  <c r="H656" i="1"/>
  <c r="H867" i="1"/>
  <c r="H715" i="1"/>
  <c r="H677" i="1"/>
  <c r="H809" i="1"/>
  <c r="H739" i="1"/>
  <c r="H377" i="1"/>
  <c r="H935" i="1"/>
  <c r="H113" i="1"/>
  <c r="H194" i="1"/>
  <c r="H939" i="1"/>
  <c r="H972" i="1"/>
  <c r="H678" i="1"/>
  <c r="H975" i="1"/>
  <c r="H868" i="1"/>
  <c r="H47" i="1"/>
  <c r="H993" i="1"/>
  <c r="H625" i="1"/>
  <c r="H913" i="1"/>
  <c r="H630" i="1"/>
  <c r="H626" i="1"/>
  <c r="H77" i="1"/>
  <c r="H421" i="1"/>
  <c r="H118" i="1"/>
  <c r="H533" i="1"/>
  <c r="H488" i="1"/>
  <c r="H840" i="1"/>
  <c r="H40" i="1"/>
  <c r="H594" i="1"/>
  <c r="H312" i="1"/>
  <c r="H824" i="1"/>
  <c r="H218" i="1"/>
  <c r="H636" i="1"/>
  <c r="H976" i="1"/>
  <c r="H554" i="1"/>
  <c r="H5" i="1"/>
  <c r="H140" i="1"/>
  <c r="H832" i="1"/>
  <c r="H56" i="1"/>
  <c r="H450" i="1"/>
  <c r="H902" i="1"/>
  <c r="H526" i="1"/>
  <c r="H657" i="1"/>
  <c r="H451" i="1"/>
  <c r="H474" i="1"/>
  <c r="H661" i="1"/>
  <c r="H188" i="1"/>
  <c r="H631" i="1"/>
  <c r="H770" i="1"/>
  <c r="H587" i="1"/>
  <c r="H960" i="1"/>
  <c r="H595" i="1"/>
  <c r="H142" i="1"/>
  <c r="H484" i="1"/>
  <c r="H930" i="1"/>
  <c r="H662" i="1"/>
  <c r="H666" i="1"/>
  <c r="H342" i="1"/>
  <c r="H60" i="1"/>
  <c r="H732" i="1"/>
  <c r="H627" i="1"/>
  <c r="H114" i="1"/>
  <c r="H773" i="1"/>
  <c r="H43" i="1"/>
  <c r="H953" i="1"/>
  <c r="H255" i="1"/>
  <c r="H941" i="1"/>
  <c r="H857" i="1"/>
  <c r="H612" i="1"/>
  <c r="H260" i="1"/>
  <c r="H683" i="1"/>
  <c r="H361" i="1"/>
  <c r="H382" i="1"/>
  <c r="H207" i="1"/>
  <c r="H855" i="1"/>
  <c r="H6" i="1"/>
  <c r="H502" i="1"/>
  <c r="H871" i="1"/>
  <c r="H923" i="1"/>
  <c r="H159" i="1"/>
  <c r="H679" i="1"/>
  <c r="H568" i="1"/>
  <c r="H737" i="1"/>
  <c r="H915" i="1"/>
  <c r="H529" i="1"/>
  <c r="H78" i="1"/>
  <c r="H343" i="1"/>
  <c r="H620" i="1"/>
  <c r="H986" i="1"/>
  <c r="H744" i="1"/>
  <c r="H826" i="1"/>
  <c r="H863" i="1"/>
  <c r="H889" i="1"/>
  <c r="H691" i="1"/>
  <c r="H880" i="1"/>
  <c r="H154" i="1"/>
  <c r="H763" i="1"/>
  <c r="H104" i="1"/>
  <c r="H31" i="1"/>
  <c r="H396" i="1"/>
  <c r="H530" i="1"/>
  <c r="H338" i="1"/>
  <c r="H442" i="1"/>
  <c r="H475" i="1"/>
  <c r="H576" i="1"/>
  <c r="H534" i="1"/>
  <c r="H368" i="1"/>
  <c r="H162" i="1"/>
  <c r="H999" i="1"/>
  <c r="H806" i="1"/>
  <c r="H247" i="1"/>
  <c r="H282" i="1"/>
  <c r="H585" i="1"/>
  <c r="H112" i="1"/>
  <c r="H148" i="1"/>
  <c r="H814" i="1"/>
  <c r="H168" i="1"/>
  <c r="H920" i="1"/>
  <c r="H404" i="1"/>
  <c r="F163" i="1"/>
  <c r="F394" i="1"/>
  <c r="F592" i="1"/>
  <c r="F68" i="1"/>
  <c r="F740" i="1"/>
  <c r="F607" i="1"/>
  <c r="F942" i="1"/>
  <c r="F921" i="1"/>
  <c r="F717" i="1"/>
  <c r="F61" i="1"/>
  <c r="F439" i="1"/>
  <c r="F447" i="1"/>
  <c r="F835" i="1"/>
  <c r="F688" i="1"/>
  <c r="F697" i="1"/>
  <c r="F91" i="1"/>
  <c r="F926" i="1"/>
  <c r="F987" i="1"/>
  <c r="F801" i="1"/>
  <c r="F565" i="1"/>
  <c r="F109" i="1"/>
  <c r="F92" i="1"/>
  <c r="F778" i="1"/>
  <c r="F710" i="1"/>
  <c r="F1000" i="1"/>
  <c r="F70" i="1"/>
  <c r="F283" i="1"/>
  <c r="F949" i="1"/>
  <c r="F418" i="1"/>
  <c r="F381" i="1"/>
  <c r="F864" i="1"/>
  <c r="F210" i="1"/>
  <c r="F123" i="1"/>
  <c r="F746" i="1"/>
  <c r="F237" i="1"/>
  <c r="F266" i="1"/>
  <c r="F369" i="1"/>
  <c r="F333" i="1"/>
  <c r="F881" i="1"/>
  <c r="F692" i="1"/>
  <c r="F476" i="1"/>
  <c r="F825" i="1"/>
  <c r="F246" i="1"/>
  <c r="F135" i="1"/>
  <c r="F399" i="1"/>
  <c r="F821" i="1"/>
  <c r="F910" i="1"/>
  <c r="F664" i="1"/>
  <c r="F666" i="1"/>
  <c r="F982" i="1"/>
  <c r="F25" i="1"/>
  <c r="F848" i="1"/>
  <c r="F184" i="1"/>
  <c r="F422" i="1"/>
  <c r="F273" i="1"/>
  <c r="F458" i="1"/>
  <c r="F931" i="1"/>
  <c r="F97" i="1"/>
  <c r="F841" i="1"/>
  <c r="F151" i="1"/>
  <c r="F877" i="1"/>
  <c r="F655" i="1"/>
  <c r="F531" i="1"/>
  <c r="F667" i="1"/>
  <c r="F883" i="1"/>
  <c r="F642" i="1"/>
  <c r="F621" i="1"/>
  <c r="F324" i="1"/>
  <c r="F477" i="1"/>
  <c r="F702" i="1"/>
  <c r="F957" i="1"/>
  <c r="F62" i="1"/>
  <c r="F423" i="1"/>
  <c r="F785" i="1"/>
  <c r="F155" i="1"/>
  <c r="F191" i="1"/>
  <c r="F197" i="1"/>
  <c r="F480" i="1"/>
  <c r="F79" i="1"/>
  <c r="F375" i="1"/>
  <c r="F936" i="1"/>
  <c r="F757" i="1"/>
  <c r="F408" i="1"/>
  <c r="F994" i="1"/>
  <c r="F916" i="1"/>
  <c r="F511" i="1"/>
  <c r="F415" i="1"/>
  <c r="F668" i="1"/>
  <c r="F426" i="1"/>
  <c r="F32" i="1"/>
  <c r="F899" i="1"/>
  <c r="F98" i="1"/>
  <c r="F512" i="1"/>
  <c r="F320" i="1"/>
  <c r="F497" i="1"/>
  <c r="F270" i="1"/>
  <c r="F459" i="1"/>
  <c r="F924" i="1"/>
  <c r="F771" i="1"/>
  <c r="F950" i="1"/>
  <c r="F669" i="1"/>
  <c r="F752" i="1"/>
  <c r="F712" i="1"/>
  <c r="F443" i="1"/>
  <c r="F513" i="1"/>
  <c r="F478" i="1"/>
  <c r="F116" i="1"/>
  <c r="F927" i="1"/>
  <c r="F894" i="1"/>
  <c r="F727" i="1"/>
  <c r="F882" i="1"/>
  <c r="F348" i="1"/>
  <c r="F303" i="1"/>
  <c r="F973" i="1"/>
  <c r="F774" i="1"/>
  <c r="F383" i="1"/>
  <c r="F145" i="1"/>
  <c r="F409" i="1"/>
  <c r="F558" i="1"/>
  <c r="F228" i="1"/>
  <c r="F321" i="1"/>
  <c r="F786" i="1"/>
  <c r="F741" i="1"/>
  <c r="F753" i="1"/>
  <c r="F356" i="1"/>
  <c r="F24" i="1"/>
  <c r="F827" i="1"/>
  <c r="F723" i="1"/>
  <c r="F416" i="1"/>
  <c r="F468" i="1"/>
  <c r="F602" i="1"/>
  <c r="F828" i="1"/>
  <c r="F110" i="1"/>
  <c r="F181" i="1"/>
  <c r="F572" i="1"/>
  <c r="F50" i="1"/>
  <c r="F703" i="1"/>
  <c r="F538" i="1"/>
  <c r="F869" i="1"/>
  <c r="F596" i="1"/>
  <c r="F339" i="1"/>
  <c r="F603" i="1"/>
  <c r="F256" i="1"/>
  <c r="F831" i="1"/>
  <c r="F989" i="1"/>
  <c r="F822" i="1"/>
  <c r="F836" i="1"/>
  <c r="F684" i="1"/>
  <c r="F775" i="1"/>
  <c r="F329" i="1"/>
  <c r="F685" i="1"/>
  <c r="F925" i="1"/>
  <c r="F990" i="1"/>
  <c r="F126" i="1"/>
  <c r="F713" i="1"/>
  <c r="F71" i="1"/>
  <c r="F917" i="1"/>
  <c r="F507" i="1"/>
  <c r="F966" i="1"/>
  <c r="F304" i="1"/>
  <c r="F647" i="1"/>
  <c r="F683" i="1"/>
  <c r="F251" i="1"/>
  <c r="F371" i="1"/>
  <c r="F205" i="1"/>
  <c r="F807" i="1"/>
  <c r="F791" i="1"/>
  <c r="F16" i="1"/>
  <c r="F550" i="1"/>
  <c r="F284" i="1"/>
  <c r="F928" i="1"/>
  <c r="F802" i="1"/>
  <c r="F173" i="1"/>
  <c r="F59" i="1"/>
  <c r="F711" i="1"/>
  <c r="F983" i="1"/>
  <c r="F352" i="1"/>
  <c r="F622" i="1"/>
  <c r="F779" i="1"/>
  <c r="F977" i="1"/>
  <c r="F389" i="1"/>
  <c r="F30" i="1"/>
  <c r="F390" i="1"/>
  <c r="F995" i="1"/>
  <c r="F316" i="1"/>
  <c r="F492" i="1"/>
  <c r="F74" i="1"/>
  <c r="F849" i="1"/>
  <c r="F617" i="1"/>
  <c r="F539" i="1"/>
  <c r="F730" i="1"/>
  <c r="F242" i="1"/>
  <c r="F344" i="1"/>
  <c r="F599" i="1"/>
  <c r="F322" i="1"/>
  <c r="F879" i="1"/>
  <c r="F759" i="1"/>
  <c r="F508" i="1"/>
  <c r="F485" i="1"/>
  <c r="F890" i="1"/>
  <c r="F285" i="1"/>
  <c r="F764" i="1"/>
  <c r="F248" i="1"/>
  <c r="F169" i="1"/>
  <c r="F577" i="1"/>
  <c r="F327" i="1"/>
  <c r="F267" i="1"/>
  <c r="F435" i="1"/>
  <c r="F780" i="1"/>
  <c r="F532" i="1"/>
  <c r="F527" i="1"/>
  <c r="F37" i="1"/>
  <c r="F183" i="1"/>
  <c r="F735" i="1"/>
  <c r="F481" i="1"/>
  <c r="F540" i="1"/>
  <c r="F401" i="1"/>
  <c r="F309" i="1"/>
  <c r="F157" i="1"/>
  <c r="F431" i="1"/>
  <c r="F644" i="1"/>
  <c r="F376" i="1"/>
  <c r="F101" i="1"/>
  <c r="F608" i="1"/>
  <c r="F364" i="1"/>
  <c r="F755" i="1"/>
  <c r="F812" i="1"/>
  <c r="F411" i="1"/>
  <c r="F943" i="1"/>
  <c r="F152" i="1"/>
  <c r="F235" i="1"/>
  <c r="F115" i="1"/>
  <c r="F452" i="1"/>
  <c r="F305" i="1"/>
  <c r="F971" i="1"/>
  <c r="F689" i="1"/>
  <c r="F837" i="1"/>
  <c r="F161" i="1"/>
  <c r="F405" i="1"/>
  <c r="F634" i="1"/>
  <c r="F632" i="1"/>
  <c r="F26" i="1"/>
  <c r="F918" i="1"/>
  <c r="F224" i="1"/>
  <c r="F588" i="1"/>
  <c r="F729" i="1"/>
  <c r="F756" i="1"/>
  <c r="F80" i="1"/>
  <c r="F947" i="1"/>
  <c r="F707" i="1"/>
  <c r="F955" i="1"/>
  <c r="F290" i="1"/>
  <c r="F65" i="1"/>
  <c r="F479" i="1"/>
  <c r="F748" i="1"/>
  <c r="F41" i="1"/>
  <c r="F143" i="1"/>
  <c r="F637" i="1"/>
  <c r="F561" i="1"/>
  <c r="F514" i="1"/>
  <c r="F787" i="1"/>
  <c r="F198" i="1"/>
  <c r="F29" i="1"/>
  <c r="F906" i="1"/>
  <c r="F731" i="1"/>
  <c r="F900" i="1"/>
  <c r="F897" i="1"/>
  <c r="F698" i="1"/>
  <c r="F291" i="1"/>
  <c r="F725" i="1"/>
  <c r="F436" i="1"/>
  <c r="F425" i="1"/>
  <c r="F297" i="1"/>
  <c r="F384" i="1"/>
  <c r="F310" i="1"/>
  <c r="F349" i="1"/>
  <c r="F350" i="1"/>
  <c r="F257" i="1"/>
  <c r="F781" i="1"/>
  <c r="F645" i="1"/>
  <c r="F489" i="1"/>
  <c r="F945" i="1"/>
  <c r="F99" i="1"/>
  <c r="F437" i="1"/>
  <c r="F875" i="1"/>
  <c r="F833" i="1"/>
  <c r="F412" i="1"/>
  <c r="F895" i="1"/>
  <c r="F726" i="1"/>
  <c r="F903" i="1"/>
  <c r="F54" i="1"/>
  <c r="F448" i="1"/>
  <c r="F503" i="1"/>
  <c r="F751" i="1"/>
  <c r="F815" i="1"/>
  <c r="F754" i="1"/>
  <c r="F417" i="1"/>
  <c r="F170" i="1"/>
  <c r="F317" i="1"/>
  <c r="F650" i="1"/>
  <c r="F365" i="1"/>
  <c r="F580" i="1"/>
  <c r="F42" i="1"/>
  <c r="F528" i="1"/>
  <c r="F694" i="1"/>
  <c r="F129" i="1"/>
  <c r="F252" i="1"/>
  <c r="F323" i="1"/>
  <c r="F719" i="1"/>
  <c r="F961" i="1"/>
  <c r="F884" i="1"/>
  <c r="F559" i="1"/>
  <c r="F372" i="1"/>
  <c r="F932" i="1"/>
  <c r="F956" i="1"/>
  <c r="F334" i="1"/>
  <c r="F724" i="1"/>
  <c r="F318" i="1"/>
  <c r="F515" i="1"/>
  <c r="F427" i="1"/>
  <c r="F551" i="1"/>
  <c r="F63" i="1"/>
  <c r="F892" i="1"/>
  <c r="F19" i="1"/>
  <c r="F225" i="1"/>
  <c r="F93" i="1"/>
  <c r="F366" i="1"/>
  <c r="F306" i="1"/>
  <c r="F298" i="1"/>
  <c r="F562" i="1"/>
  <c r="F82" i="1"/>
  <c r="F146" i="1"/>
  <c r="F482" i="1"/>
  <c r="F582" i="1"/>
  <c r="F39" i="1"/>
  <c r="F663" i="1"/>
  <c r="F933" i="1"/>
  <c r="F700" i="1"/>
  <c r="F708" i="1"/>
  <c r="F12" i="1"/>
  <c r="F419" i="1"/>
  <c r="F850" i="1"/>
  <c r="F788" i="1"/>
  <c r="F750" i="1"/>
  <c r="F521" i="1"/>
  <c r="F253" i="1"/>
  <c r="F829" i="1"/>
  <c r="F268" i="1"/>
  <c r="F201" i="1"/>
  <c r="F261" i="1"/>
  <c r="F147" i="1"/>
  <c r="F798" i="1"/>
  <c r="F598" i="1"/>
  <c r="F453" i="1"/>
  <c r="F49" i="1"/>
  <c r="F211" i="1"/>
  <c r="F87" i="1"/>
  <c r="F844" i="1"/>
  <c r="F391" i="1"/>
  <c r="F830" i="1"/>
  <c r="F195" i="1"/>
  <c r="F299" i="1"/>
  <c r="F680" i="1"/>
  <c r="F834" i="1"/>
  <c r="F544" i="1"/>
  <c r="F325" i="1"/>
  <c r="F269" i="1"/>
  <c r="F623" i="1"/>
  <c r="F413" i="1"/>
  <c r="F962" i="1"/>
  <c r="F20" i="1"/>
  <c r="F633" i="1"/>
  <c r="F846" i="1"/>
  <c r="F653" i="1"/>
  <c r="F589" i="1"/>
  <c r="F922" i="1"/>
  <c r="F904" i="1"/>
  <c r="F127" i="1"/>
  <c r="F545" i="1"/>
  <c r="F69" i="1"/>
  <c r="F120" i="1"/>
  <c r="F958" i="1"/>
  <c r="F887" i="1"/>
  <c r="F816" i="1"/>
  <c r="F888" i="1"/>
  <c r="F174" i="1"/>
  <c r="F340" i="1"/>
  <c r="F765" i="1"/>
  <c r="F905" i="1"/>
  <c r="F217" i="1"/>
  <c r="F795" i="1"/>
  <c r="F493" i="1"/>
  <c r="F406" i="1"/>
  <c r="F896" i="1"/>
  <c r="F353" i="1"/>
  <c r="F651" i="1"/>
  <c r="F609" i="1"/>
  <c r="F4" i="1"/>
  <c r="F177" i="1"/>
  <c r="F72" i="1"/>
  <c r="F946" i="1"/>
  <c r="F8" i="1"/>
  <c r="F279" i="1"/>
  <c r="F319" i="1"/>
  <c r="F178" i="1"/>
  <c r="F357" i="1"/>
  <c r="F18" i="1"/>
  <c r="F208" i="1"/>
  <c r="F776" i="1"/>
  <c r="F424" i="1"/>
  <c r="F578" i="1"/>
  <c r="F276" i="1"/>
  <c r="F681" i="1"/>
  <c r="F182" i="1"/>
  <c r="F292" i="1"/>
  <c r="F938" i="1"/>
  <c r="F817" i="1"/>
  <c r="F555" i="1"/>
  <c r="F670" i="1"/>
  <c r="F221" i="1"/>
  <c r="F963" i="1"/>
  <c r="F552" i="1"/>
  <c r="F851" i="1"/>
  <c r="F136" i="1"/>
  <c r="F222" i="1"/>
  <c r="F658" i="1"/>
  <c r="F792" i="1"/>
  <c r="F199" i="1"/>
  <c r="F189" i="1"/>
  <c r="F465" i="1"/>
  <c r="F738" i="1"/>
  <c r="F171" i="1"/>
  <c r="F654" i="1"/>
  <c r="F15" i="1"/>
  <c r="F185" i="1"/>
  <c r="F796" i="1"/>
  <c r="F236" i="1"/>
  <c r="F302" i="1"/>
  <c r="F573" i="1"/>
  <c r="F522" i="1"/>
  <c r="F638" i="1"/>
  <c r="F782" i="1"/>
  <c r="F581" i="1"/>
  <c r="F230" i="1"/>
  <c r="F767" i="1"/>
  <c r="F604" i="1"/>
  <c r="F845" i="1"/>
  <c r="F373" i="1"/>
  <c r="F231" i="1"/>
  <c r="F190" i="1"/>
  <c r="F618" i="1"/>
  <c r="F103" i="1"/>
  <c r="F280" i="1"/>
  <c r="F444" i="1"/>
  <c r="F742" i="1"/>
  <c r="F695" i="1"/>
  <c r="F3" i="1"/>
  <c r="F11" i="1"/>
  <c r="F53" i="1"/>
  <c r="F196" i="1"/>
  <c r="F535" i="1"/>
  <c r="F22" i="1"/>
  <c r="F574" i="1"/>
  <c r="F967" i="1"/>
  <c r="F509" i="1"/>
  <c r="F823" i="1"/>
  <c r="F23" i="1"/>
  <c r="F523" i="1"/>
  <c r="F48" i="1"/>
  <c r="F804" i="1"/>
  <c r="F239" i="1"/>
  <c r="F728" i="1"/>
  <c r="F469" i="1"/>
  <c r="F212" i="1"/>
  <c r="F117" i="1"/>
  <c r="F121" i="1"/>
  <c r="F758" i="1"/>
  <c r="F597" i="1"/>
  <c r="F233" i="1"/>
  <c r="F172" i="1"/>
  <c r="F330" i="1"/>
  <c r="F335" i="1"/>
  <c r="F470" i="1"/>
  <c r="F395" i="1"/>
  <c r="F466" i="1"/>
  <c r="F541" i="1"/>
  <c r="F504" i="1"/>
  <c r="F648" i="1"/>
  <c r="F274" i="1"/>
  <c r="F124" i="1"/>
  <c r="F179" i="1"/>
  <c r="F467" i="1"/>
  <c r="F75" i="1"/>
  <c r="F718" i="1"/>
  <c r="F998" i="1"/>
  <c r="F872" i="1"/>
  <c r="F249" i="1"/>
  <c r="F536" i="1"/>
  <c r="F747" i="1"/>
  <c r="F777" i="1"/>
  <c r="F766" i="1"/>
  <c r="F494" i="1"/>
  <c r="F254" i="1"/>
  <c r="F46" i="1"/>
  <c r="F553" i="1"/>
  <c r="F105" i="1"/>
  <c r="F277" i="1"/>
  <c r="F808" i="1"/>
  <c r="F483" i="1"/>
  <c r="F586" i="1"/>
  <c r="F783" i="1"/>
  <c r="F978" i="1"/>
  <c r="F286" i="1"/>
  <c r="F673" i="1"/>
  <c r="F772" i="1"/>
  <c r="F605" i="1"/>
  <c r="F546" i="1"/>
  <c r="F293" i="1"/>
  <c r="F35" i="1"/>
  <c r="F486" i="1"/>
  <c r="F238" i="1"/>
  <c r="F213" i="1"/>
  <c r="F307" i="1"/>
  <c r="F125" i="1"/>
  <c r="F149" i="1"/>
  <c r="F287" i="1"/>
  <c r="F460" i="1"/>
  <c r="F749" i="1"/>
  <c r="F471" i="1"/>
  <c r="F440" i="1"/>
  <c r="F137" i="1"/>
  <c r="F616" i="1"/>
  <c r="F429" i="1"/>
  <c r="F583" i="1"/>
  <c r="F784" i="1"/>
  <c r="F141" i="1"/>
  <c r="F14" i="1"/>
  <c r="F57" i="1"/>
  <c r="F968" i="1"/>
  <c r="F964" i="1"/>
  <c r="F354" i="1"/>
  <c r="F336" i="1"/>
  <c r="F278" i="1"/>
  <c r="F385" i="1"/>
  <c r="F659" i="1"/>
  <c r="F407" i="1"/>
  <c r="F649" i="1"/>
  <c r="F271" i="1"/>
  <c r="F639" i="1"/>
  <c r="F264" i="1"/>
  <c r="F464" i="1"/>
  <c r="F709" i="1"/>
  <c r="F156" i="1"/>
  <c r="F969" i="1"/>
  <c r="F432" i="1"/>
  <c r="F674" i="1"/>
  <c r="F73" i="1"/>
  <c r="F556" i="1"/>
  <c r="F988" i="1"/>
  <c r="F487" i="1"/>
  <c r="F600" i="1"/>
  <c r="F36" i="1"/>
  <c r="F640" i="1"/>
  <c r="F355" i="1"/>
  <c r="F646" i="1"/>
  <c r="F133" i="1"/>
  <c r="F76" i="1"/>
  <c r="F386" i="1"/>
  <c r="F842" i="1"/>
  <c r="F878" i="1"/>
  <c r="F885" i="1"/>
  <c r="F472" i="1"/>
  <c r="F64" i="1"/>
  <c r="F288" i="1"/>
  <c r="F911" i="1"/>
  <c r="F175" i="1"/>
  <c r="F275" i="1"/>
  <c r="F226" i="1"/>
  <c r="F209" i="1"/>
  <c r="F974" i="1"/>
  <c r="F818" i="1"/>
  <c r="F94" i="1"/>
  <c r="F428" i="1"/>
  <c r="F970" i="1"/>
  <c r="F220" i="1"/>
  <c r="F699" i="1"/>
  <c r="F886" i="1"/>
  <c r="F313" i="1"/>
  <c r="F180" i="1"/>
  <c r="F876" i="1"/>
  <c r="F524" i="1"/>
  <c r="F215" i="1"/>
  <c r="F693" i="1"/>
  <c r="F119" i="1"/>
  <c r="F675" i="1"/>
  <c r="F984" i="1"/>
  <c r="F613" i="1"/>
  <c r="F107" i="1"/>
  <c r="F891" i="1"/>
  <c r="F614" i="1"/>
  <c r="F232" i="1"/>
  <c r="F176" i="1"/>
  <c r="F445" i="1"/>
  <c r="F187" i="1"/>
  <c r="F542" i="1"/>
  <c r="F852" i="1"/>
  <c r="F696" i="1"/>
  <c r="F420" i="1"/>
  <c r="F337" i="1"/>
  <c r="F108" i="1"/>
  <c r="F88" i="1"/>
  <c r="F167" i="1"/>
  <c r="F370" i="1"/>
  <c r="F379" i="1"/>
  <c r="F516" i="1"/>
  <c r="F498" i="1"/>
  <c r="F387" i="1"/>
  <c r="F345" i="1"/>
  <c r="F861" i="1"/>
  <c r="F227" i="1"/>
  <c r="F954" i="1"/>
  <c r="F499" i="1"/>
  <c r="F557" i="1"/>
  <c r="F853" i="1"/>
  <c r="F716" i="1"/>
  <c r="F294" i="1"/>
  <c r="F996" i="1"/>
  <c r="F768" i="1"/>
  <c r="F402" i="1"/>
  <c r="F656" i="1"/>
  <c r="F392" i="1"/>
  <c r="F690" i="1"/>
  <c r="F517" i="1"/>
  <c r="F873" i="1"/>
  <c r="F362" i="1"/>
  <c r="F789" i="1"/>
  <c r="F769" i="1"/>
  <c r="F100" i="1"/>
  <c r="F388" i="1"/>
  <c r="F81" i="1"/>
  <c r="F898" i="1"/>
  <c r="F714" i="1"/>
  <c r="F919" i="1"/>
  <c r="F351" i="1"/>
  <c r="F979" i="1"/>
  <c r="F21" i="1"/>
  <c r="F90" i="1"/>
  <c r="F682" i="1"/>
  <c r="F505" i="1"/>
  <c r="F243" i="1"/>
  <c r="F166" i="1"/>
  <c r="F85" i="1"/>
  <c r="F203" i="1"/>
  <c r="F590" i="1"/>
  <c r="F934" i="1"/>
  <c r="F139" i="1"/>
  <c r="F244" i="1"/>
  <c r="F67" i="1"/>
  <c r="F206" i="1"/>
  <c r="F328" i="1"/>
  <c r="F686" i="1"/>
  <c r="F295" i="1"/>
  <c r="F289" i="1"/>
  <c r="F518" i="1"/>
  <c r="F912" i="1"/>
  <c r="F810" i="1"/>
  <c r="F134" i="1"/>
  <c r="F461" i="1"/>
  <c r="F454" i="1"/>
  <c r="F743" i="1"/>
  <c r="F813" i="1"/>
  <c r="F164" i="1"/>
  <c r="F843" i="1"/>
  <c r="F433" i="1"/>
  <c r="F245" i="1"/>
  <c r="F462" i="1"/>
  <c r="F870" i="1"/>
  <c r="F250" i="1"/>
  <c r="F991" i="1"/>
  <c r="F760" i="1"/>
  <c r="F701" i="1"/>
  <c r="F314" i="1"/>
  <c r="F797" i="1"/>
  <c r="F55" i="1"/>
  <c r="F144" i="1"/>
  <c r="F569" i="1"/>
  <c r="F281" i="1"/>
  <c r="F358" i="1"/>
  <c r="F819" i="1"/>
  <c r="F615" i="1"/>
  <c r="F258" i="1"/>
  <c r="F397" i="1"/>
  <c r="F907" i="1"/>
  <c r="F414" i="1"/>
  <c r="F858" i="1"/>
  <c r="F799" i="1"/>
  <c r="F611" i="1"/>
  <c r="F441" i="1"/>
  <c r="F27" i="1"/>
  <c r="F570" i="1"/>
  <c r="F83" i="1"/>
  <c r="F495" i="1"/>
  <c r="F643" i="1"/>
  <c r="F160" i="1"/>
  <c r="F800" i="1"/>
  <c r="F111" i="1"/>
  <c r="F359" i="1"/>
  <c r="F914" i="1"/>
  <c r="F311" i="1"/>
  <c r="F455" i="1"/>
  <c r="F606" i="1"/>
  <c r="F948" i="1"/>
  <c r="F584" i="1"/>
  <c r="F7" i="1"/>
  <c r="F380" i="1"/>
  <c r="F38" i="1"/>
  <c r="F262" i="1"/>
  <c r="F1001" i="1"/>
  <c r="F745" i="1"/>
  <c r="F992" i="1"/>
  <c r="F624" i="1"/>
  <c r="F997" i="1"/>
  <c r="F543" i="1"/>
  <c r="F720" i="1"/>
  <c r="F430" i="1"/>
  <c r="F438" i="1"/>
  <c r="F579" i="1"/>
  <c r="F315" i="1"/>
  <c r="F153" i="1"/>
  <c r="F300" i="1"/>
  <c r="F363" i="1"/>
  <c r="F301" i="1"/>
  <c r="F456" i="1"/>
  <c r="F150" i="1"/>
  <c r="F610" i="1"/>
  <c r="F547" i="1"/>
  <c r="F360" i="1"/>
  <c r="F601" i="1"/>
  <c r="F128" i="1"/>
  <c r="F398" i="1"/>
  <c r="F865" i="1"/>
  <c r="F34" i="1"/>
  <c r="F838" i="1"/>
  <c r="F803" i="1"/>
  <c r="F296" i="1"/>
  <c r="F96" i="1"/>
  <c r="F571" i="1"/>
  <c r="F761" i="1"/>
  <c r="F671" i="1"/>
  <c r="F434" i="1"/>
  <c r="F341" i="1"/>
  <c r="F138" i="1"/>
  <c r="F186" i="1"/>
  <c r="F908" i="1"/>
  <c r="F641" i="1"/>
  <c r="F219" i="1"/>
  <c r="F95" i="1"/>
  <c r="F537" i="1"/>
  <c r="F847" i="1"/>
  <c r="F805" i="1"/>
  <c r="F721" i="1"/>
  <c r="F866" i="1"/>
  <c r="F457" i="1"/>
  <c r="F733" i="1"/>
  <c r="F400" i="1"/>
  <c r="F84" i="1"/>
  <c r="F490" i="1"/>
  <c r="F2" i="1"/>
  <c r="F240" i="1"/>
  <c r="F51" i="1"/>
  <c r="F944" i="1"/>
  <c r="F635" i="1"/>
  <c r="F367" i="1"/>
  <c r="F811" i="1"/>
  <c r="F980" i="1"/>
  <c r="F130" i="1"/>
  <c r="F563" i="1"/>
  <c r="F346" i="1"/>
  <c r="F158" i="1"/>
  <c r="F331" i="1"/>
  <c r="F259" i="1"/>
  <c r="F519" i="1"/>
  <c r="F223" i="1"/>
  <c r="F854" i="1"/>
  <c r="F500" i="1"/>
  <c r="F619" i="1"/>
  <c r="F202" i="1"/>
  <c r="F734" i="1"/>
  <c r="F241" i="1"/>
  <c r="F793" i="1"/>
  <c r="F564" i="1"/>
  <c r="F393" i="1"/>
  <c r="F985" i="1"/>
  <c r="F263" i="1"/>
  <c r="F45" i="1"/>
  <c r="F965" i="1"/>
  <c r="F229" i="1"/>
  <c r="F704" i="1"/>
  <c r="F272" i="1"/>
  <c r="F520" i="1"/>
  <c r="F106" i="1"/>
  <c r="F28" i="1"/>
  <c r="F473" i="1"/>
  <c r="F131" i="1"/>
  <c r="F214" i="1"/>
  <c r="F10" i="1"/>
  <c r="F548" i="1"/>
  <c r="F216" i="1"/>
  <c r="F496" i="1"/>
  <c r="F463" i="1"/>
  <c r="F52" i="1"/>
  <c r="F200" i="1"/>
  <c r="F549" i="1"/>
  <c r="F652" i="1"/>
  <c r="F265" i="1"/>
  <c r="F940" i="1"/>
  <c r="F506" i="1"/>
  <c r="F981" i="1"/>
  <c r="F491" i="1"/>
  <c r="F89" i="1"/>
  <c r="F820" i="1"/>
  <c r="F560" i="1"/>
  <c r="F937" i="1"/>
  <c r="F859" i="1"/>
  <c r="F378" i="1"/>
  <c r="F9" i="1"/>
  <c r="F449" i="1"/>
  <c r="F308" i="1"/>
  <c r="F929" i="1"/>
  <c r="F192" i="1"/>
  <c r="F839" i="1"/>
  <c r="F762" i="1"/>
  <c r="F403" i="1"/>
  <c r="F660" i="1"/>
  <c r="F687" i="1"/>
  <c r="F790" i="1"/>
  <c r="F628" i="1"/>
  <c r="F591" i="1"/>
  <c r="F44" i="1"/>
  <c r="F446" i="1"/>
  <c r="F860" i="1"/>
  <c r="F722" i="1"/>
  <c r="F951" i="1"/>
  <c r="F665" i="1"/>
  <c r="F332" i="1"/>
  <c r="F525" i="1"/>
  <c r="F501" i="1"/>
  <c r="F893" i="1"/>
  <c r="F566" i="1"/>
  <c r="F909" i="1"/>
  <c r="F193" i="1"/>
  <c r="F856" i="1"/>
  <c r="F58" i="1"/>
  <c r="F132" i="1"/>
  <c r="F874" i="1"/>
  <c r="F86" i="1"/>
  <c r="F706" i="1"/>
  <c r="F575" i="1"/>
  <c r="F13" i="1"/>
  <c r="F794" i="1"/>
  <c r="F862" i="1"/>
  <c r="F204" i="1"/>
  <c r="F33" i="1"/>
  <c r="F165" i="1"/>
  <c r="F510" i="1"/>
  <c r="F736" i="1"/>
  <c r="F326" i="1"/>
  <c r="F959" i="1"/>
  <c r="F102" i="1"/>
  <c r="F17" i="1"/>
  <c r="F122" i="1"/>
  <c r="F901" i="1"/>
  <c r="F676" i="1"/>
  <c r="F672" i="1"/>
  <c r="F66" i="1"/>
  <c r="F234" i="1"/>
  <c r="F567" i="1"/>
  <c r="F705" i="1"/>
  <c r="F347" i="1"/>
  <c r="F952" i="1"/>
  <c r="F629" i="1"/>
  <c r="F593" i="1"/>
  <c r="F867" i="1"/>
  <c r="F715" i="1"/>
  <c r="F677" i="1"/>
  <c r="F809" i="1"/>
  <c r="F739" i="1"/>
  <c r="F377" i="1"/>
  <c r="F935" i="1"/>
  <c r="F113" i="1"/>
  <c r="F194" i="1"/>
  <c r="F939" i="1"/>
  <c r="F972" i="1"/>
  <c r="F678" i="1"/>
  <c r="F975" i="1"/>
  <c r="F868" i="1"/>
  <c r="F47" i="1"/>
  <c r="F993" i="1"/>
  <c r="F625" i="1"/>
  <c r="F913" i="1"/>
  <c r="F630" i="1"/>
  <c r="F626" i="1"/>
  <c r="F77" i="1"/>
  <c r="F421" i="1"/>
  <c r="F118" i="1"/>
  <c r="F533" i="1"/>
  <c r="F488" i="1"/>
  <c r="F840" i="1"/>
  <c r="F40" i="1"/>
  <c r="F594" i="1"/>
  <c r="F312" i="1"/>
  <c r="F824" i="1"/>
  <c r="F218" i="1"/>
  <c r="F636" i="1"/>
  <c r="F976" i="1"/>
  <c r="F554" i="1"/>
  <c r="F5" i="1"/>
  <c r="F140" i="1"/>
  <c r="F832" i="1"/>
  <c r="F56" i="1"/>
  <c r="F450" i="1"/>
  <c r="F902" i="1"/>
  <c r="F526" i="1"/>
  <c r="F657" i="1"/>
  <c r="F451" i="1"/>
  <c r="F474" i="1"/>
  <c r="F661" i="1"/>
  <c r="F188" i="1"/>
  <c r="F631" i="1"/>
  <c r="F770" i="1"/>
  <c r="F587" i="1"/>
  <c r="F960" i="1"/>
  <c r="F595" i="1"/>
  <c r="F142" i="1"/>
  <c r="F484" i="1"/>
  <c r="F930" i="1"/>
  <c r="F662" i="1"/>
  <c r="F374" i="1"/>
  <c r="F342" i="1"/>
  <c r="F60" i="1"/>
  <c r="F732" i="1"/>
  <c r="F627" i="1"/>
  <c r="F114" i="1"/>
  <c r="F773" i="1"/>
  <c r="F43" i="1"/>
  <c r="F953" i="1"/>
  <c r="F255" i="1"/>
  <c r="F941" i="1"/>
  <c r="F857" i="1"/>
  <c r="F612" i="1"/>
  <c r="F260" i="1"/>
  <c r="F410" i="1"/>
  <c r="F361" i="1"/>
  <c r="F382" i="1"/>
  <c r="F207" i="1"/>
  <c r="F855" i="1"/>
  <c r="F6" i="1"/>
  <c r="F502" i="1"/>
  <c r="F871" i="1"/>
  <c r="F923" i="1"/>
  <c r="F159" i="1"/>
  <c r="F679" i="1"/>
  <c r="F568" i="1"/>
  <c r="F737" i="1"/>
  <c r="F915" i="1"/>
  <c r="F529" i="1"/>
  <c r="F78" i="1"/>
  <c r="F343" i="1"/>
  <c r="F620" i="1"/>
  <c r="F986" i="1"/>
  <c r="F744" i="1"/>
  <c r="F826" i="1"/>
  <c r="F863" i="1"/>
  <c r="F889" i="1"/>
  <c r="F691" i="1"/>
  <c r="F880" i="1"/>
  <c r="F154" i="1"/>
  <c r="F763" i="1"/>
  <c r="F104" i="1"/>
  <c r="F31" i="1"/>
  <c r="F396" i="1"/>
  <c r="F530" i="1"/>
  <c r="F338" i="1"/>
  <c r="F442" i="1"/>
  <c r="F475" i="1"/>
  <c r="F576" i="1"/>
  <c r="F534" i="1"/>
  <c r="F368" i="1"/>
  <c r="F162" i="1"/>
  <c r="F999" i="1"/>
  <c r="F806" i="1"/>
  <c r="F247" i="1"/>
  <c r="F282" i="1"/>
  <c r="F585" i="1"/>
  <c r="F112" i="1"/>
  <c r="F148" i="1"/>
  <c r="F814" i="1"/>
  <c r="F168" i="1"/>
  <c r="F920" i="1"/>
  <c r="F404" i="1"/>
  <c r="T394" i="1"/>
  <c r="T592" i="1"/>
  <c r="T68" i="1"/>
  <c r="T740" i="1"/>
  <c r="T607" i="1"/>
  <c r="T942" i="1"/>
  <c r="T921" i="1"/>
  <c r="T717" i="1"/>
  <c r="T61" i="1"/>
  <c r="T439" i="1"/>
  <c r="T447" i="1"/>
  <c r="T835" i="1"/>
  <c r="T688" i="1"/>
  <c r="T697" i="1"/>
  <c r="T91" i="1"/>
  <c r="T926" i="1"/>
  <c r="T987" i="1"/>
  <c r="T801" i="1"/>
  <c r="T565" i="1"/>
  <c r="T109" i="1"/>
  <c r="T92" i="1"/>
  <c r="T778" i="1"/>
  <c r="T710" i="1"/>
  <c r="T1000" i="1"/>
  <c r="T70" i="1"/>
  <c r="T283" i="1"/>
  <c r="T949" i="1"/>
  <c r="T418" i="1"/>
  <c r="T381" i="1"/>
  <c r="T864" i="1"/>
  <c r="T210" i="1"/>
  <c r="T123" i="1"/>
  <c r="T746" i="1"/>
  <c r="T237" i="1"/>
  <c r="T266" i="1"/>
  <c r="T369" i="1"/>
  <c r="T333" i="1"/>
  <c r="T881" i="1"/>
  <c r="T692" i="1"/>
  <c r="T476" i="1"/>
  <c r="T825" i="1"/>
  <c r="T246" i="1"/>
  <c r="T135" i="1"/>
  <c r="T399" i="1"/>
  <c r="T821" i="1"/>
  <c r="T910" i="1"/>
  <c r="T664" i="1"/>
  <c r="T666" i="1"/>
  <c r="T982" i="1"/>
  <c r="T25" i="1"/>
  <c r="T848" i="1"/>
  <c r="T184" i="1"/>
  <c r="T422" i="1"/>
  <c r="T273" i="1"/>
  <c r="T458" i="1"/>
  <c r="T931" i="1"/>
  <c r="T97" i="1"/>
  <c r="T841" i="1"/>
  <c r="T151" i="1"/>
  <c r="T877" i="1"/>
  <c r="T655" i="1"/>
  <c r="T531" i="1"/>
  <c r="T667" i="1"/>
  <c r="T883" i="1"/>
  <c r="T642" i="1"/>
  <c r="T621" i="1"/>
  <c r="T324" i="1"/>
  <c r="T477" i="1"/>
  <c r="T702" i="1"/>
  <c r="T957" i="1"/>
  <c r="T62" i="1"/>
  <c r="T423" i="1"/>
  <c r="T785" i="1"/>
  <c r="T155" i="1"/>
  <c r="T191" i="1"/>
  <c r="T197" i="1"/>
  <c r="T480" i="1"/>
  <c r="T79" i="1"/>
  <c r="T375" i="1"/>
  <c r="T936" i="1"/>
  <c r="T757" i="1"/>
  <c r="T408" i="1"/>
  <c r="T994" i="1"/>
  <c r="T916" i="1"/>
  <c r="T511" i="1"/>
  <c r="T415" i="1"/>
  <c r="T668" i="1"/>
  <c r="T426" i="1"/>
  <c r="T32" i="1"/>
  <c r="T899" i="1"/>
  <c r="T98" i="1"/>
  <c r="T512" i="1"/>
  <c r="T320" i="1"/>
  <c r="T497" i="1"/>
  <c r="T270" i="1"/>
  <c r="T459" i="1"/>
  <c r="T924" i="1"/>
  <c r="T771" i="1"/>
  <c r="T950" i="1"/>
  <c r="T669" i="1"/>
  <c r="T752" i="1"/>
  <c r="T712" i="1"/>
  <c r="T443" i="1"/>
  <c r="T513" i="1"/>
  <c r="T478" i="1"/>
  <c r="T116" i="1"/>
  <c r="T927" i="1"/>
  <c r="T894" i="1"/>
  <c r="T727" i="1"/>
  <c r="T882" i="1"/>
  <c r="T348" i="1"/>
  <c r="T303" i="1"/>
  <c r="T973" i="1"/>
  <c r="T774" i="1"/>
  <c r="T383" i="1"/>
  <c r="T145" i="1"/>
  <c r="T409" i="1"/>
  <c r="T558" i="1"/>
  <c r="T228" i="1"/>
  <c r="T321" i="1"/>
  <c r="T786" i="1"/>
  <c r="T741" i="1"/>
  <c r="T753" i="1"/>
  <c r="T356" i="1"/>
  <c r="T24" i="1"/>
  <c r="T827" i="1"/>
  <c r="T723" i="1"/>
  <c r="T416" i="1"/>
  <c r="T468" i="1"/>
  <c r="T602" i="1"/>
  <c r="T828" i="1"/>
  <c r="T110" i="1"/>
  <c r="T181" i="1"/>
  <c r="T572" i="1"/>
  <c r="T50" i="1"/>
  <c r="T703" i="1"/>
  <c r="T538" i="1"/>
  <c r="T869" i="1"/>
  <c r="T596" i="1"/>
  <c r="T339" i="1"/>
  <c r="T603" i="1"/>
  <c r="T256" i="1"/>
  <c r="T831" i="1"/>
  <c r="T989" i="1"/>
  <c r="T822" i="1"/>
  <c r="T836" i="1"/>
  <c r="T684" i="1"/>
  <c r="T775" i="1"/>
  <c r="T329" i="1"/>
  <c r="T685" i="1"/>
  <c r="T925" i="1"/>
  <c r="T990" i="1"/>
  <c r="T126" i="1"/>
  <c r="T713" i="1"/>
  <c r="T71" i="1"/>
  <c r="T917" i="1"/>
  <c r="T507" i="1"/>
  <c r="T966" i="1"/>
  <c r="T304" i="1"/>
  <c r="T647" i="1"/>
  <c r="T683" i="1"/>
  <c r="T251" i="1"/>
  <c r="T371" i="1"/>
  <c r="T205" i="1"/>
  <c r="T807" i="1"/>
  <c r="T791" i="1"/>
  <c r="T16" i="1"/>
  <c r="T550" i="1"/>
  <c r="T284" i="1"/>
  <c r="T928" i="1"/>
  <c r="T802" i="1"/>
  <c r="T173" i="1"/>
  <c r="T59" i="1"/>
  <c r="T711" i="1"/>
  <c r="T983" i="1"/>
  <c r="T352" i="1"/>
  <c r="T622" i="1"/>
  <c r="T779" i="1"/>
  <c r="T977" i="1"/>
  <c r="T389" i="1"/>
  <c r="T30" i="1"/>
  <c r="T390" i="1"/>
  <c r="T995" i="1"/>
  <c r="T316" i="1"/>
  <c r="T492" i="1"/>
  <c r="T74" i="1"/>
  <c r="T849" i="1"/>
  <c r="T617" i="1"/>
  <c r="T539" i="1"/>
  <c r="T730" i="1"/>
  <c r="T242" i="1"/>
  <c r="T344" i="1"/>
  <c r="T599" i="1"/>
  <c r="T322" i="1"/>
  <c r="T879" i="1"/>
  <c r="T759" i="1"/>
  <c r="T508" i="1"/>
  <c r="T485" i="1"/>
  <c r="T890" i="1"/>
  <c r="T285" i="1"/>
  <c r="T764" i="1"/>
  <c r="T248" i="1"/>
  <c r="T169" i="1"/>
  <c r="T577" i="1"/>
  <c r="T327" i="1"/>
  <c r="T267" i="1"/>
  <c r="T435" i="1"/>
  <c r="T780" i="1"/>
  <c r="T532" i="1"/>
  <c r="T527" i="1"/>
  <c r="T37" i="1"/>
  <c r="T183" i="1"/>
  <c r="T735" i="1"/>
  <c r="T481" i="1"/>
  <c r="T540" i="1"/>
  <c r="T401" i="1"/>
  <c r="T309" i="1"/>
  <c r="T157" i="1"/>
  <c r="T431" i="1"/>
  <c r="T644" i="1"/>
  <c r="T376" i="1"/>
  <c r="T101" i="1"/>
  <c r="T608" i="1"/>
  <c r="T364" i="1"/>
  <c r="T755" i="1"/>
  <c r="T812" i="1"/>
  <c r="T411" i="1"/>
  <c r="T943" i="1"/>
  <c r="T152" i="1"/>
  <c r="T235" i="1"/>
  <c r="T115" i="1"/>
  <c r="T452" i="1"/>
  <c r="T305" i="1"/>
  <c r="T971" i="1"/>
  <c r="T689" i="1"/>
  <c r="T837" i="1"/>
  <c r="T161" i="1"/>
  <c r="T405" i="1"/>
  <c r="T634" i="1"/>
  <c r="T632" i="1"/>
  <c r="T26" i="1"/>
  <c r="T918" i="1"/>
  <c r="T224" i="1"/>
  <c r="T588" i="1"/>
  <c r="T729" i="1"/>
  <c r="T756" i="1"/>
  <c r="T80" i="1"/>
  <c r="T947" i="1"/>
  <c r="T707" i="1"/>
  <c r="T955" i="1"/>
  <c r="T290" i="1"/>
  <c r="T65" i="1"/>
  <c r="T479" i="1"/>
  <c r="T748" i="1"/>
  <c r="T41" i="1"/>
  <c r="T143" i="1"/>
  <c r="T637" i="1"/>
  <c r="T561" i="1"/>
  <c r="T514" i="1"/>
  <c r="T787" i="1"/>
  <c r="T198" i="1"/>
  <c r="T29" i="1"/>
  <c r="T906" i="1"/>
  <c r="T731" i="1"/>
  <c r="T900" i="1"/>
  <c r="T897" i="1"/>
  <c r="T698" i="1"/>
  <c r="T291" i="1"/>
  <c r="T725" i="1"/>
  <c r="T436" i="1"/>
  <c r="T425" i="1"/>
  <c r="T297" i="1"/>
  <c r="T384" i="1"/>
  <c r="T310" i="1"/>
  <c r="T349" i="1"/>
  <c r="T350" i="1"/>
  <c r="T257" i="1"/>
  <c r="T781" i="1"/>
  <c r="T645" i="1"/>
  <c r="T489" i="1"/>
  <c r="T945" i="1"/>
  <c r="T99" i="1"/>
  <c r="T437" i="1"/>
  <c r="T875" i="1"/>
  <c r="T833" i="1"/>
  <c r="T412" i="1"/>
  <c r="T895" i="1"/>
  <c r="T726" i="1"/>
  <c r="T903" i="1"/>
  <c r="T54" i="1"/>
  <c r="T448" i="1"/>
  <c r="T503" i="1"/>
  <c r="T751" i="1"/>
  <c r="T815" i="1"/>
  <c r="T754" i="1"/>
  <c r="T417" i="1"/>
  <c r="T170" i="1"/>
  <c r="T317" i="1"/>
  <c r="T650" i="1"/>
  <c r="T365" i="1"/>
  <c r="T580" i="1"/>
  <c r="T42" i="1"/>
  <c r="T528" i="1"/>
  <c r="T694" i="1"/>
  <c r="T129" i="1"/>
  <c r="T252" i="1"/>
  <c r="T323" i="1"/>
  <c r="T719" i="1"/>
  <c r="T961" i="1"/>
  <c r="T884" i="1"/>
  <c r="T559" i="1"/>
  <c r="T372" i="1"/>
  <c r="T932" i="1"/>
  <c r="T956" i="1"/>
  <c r="T334" i="1"/>
  <c r="T724" i="1"/>
  <c r="T318" i="1"/>
  <c r="T515" i="1"/>
  <c r="T427" i="1"/>
  <c r="T551" i="1"/>
  <c r="T63" i="1"/>
  <c r="T892" i="1"/>
  <c r="T19" i="1"/>
  <c r="T225" i="1"/>
  <c r="T93" i="1"/>
  <c r="T366" i="1"/>
  <c r="T306" i="1"/>
  <c r="T298" i="1"/>
  <c r="T562" i="1"/>
  <c r="T82" i="1"/>
  <c r="T146" i="1"/>
  <c r="T482" i="1"/>
  <c r="T582" i="1"/>
  <c r="T39" i="1"/>
  <c r="T663" i="1"/>
  <c r="T933" i="1"/>
  <c r="T700" i="1"/>
  <c r="T708" i="1"/>
  <c r="T12" i="1"/>
  <c r="T419" i="1"/>
  <c r="T850" i="1"/>
  <c r="T788" i="1"/>
  <c r="T750" i="1"/>
  <c r="T521" i="1"/>
  <c r="T253" i="1"/>
  <c r="T829" i="1"/>
  <c r="T268" i="1"/>
  <c r="T201" i="1"/>
  <c r="T261" i="1"/>
  <c r="T147" i="1"/>
  <c r="T798" i="1"/>
  <c r="T598" i="1"/>
  <c r="T453" i="1"/>
  <c r="T49" i="1"/>
  <c r="T211" i="1"/>
  <c r="T87" i="1"/>
  <c r="T844" i="1"/>
  <c r="T391" i="1"/>
  <c r="T830" i="1"/>
  <c r="T195" i="1"/>
  <c r="T299" i="1"/>
  <c r="T680" i="1"/>
  <c r="T834" i="1"/>
  <c r="T544" i="1"/>
  <c r="T325" i="1"/>
  <c r="T269" i="1"/>
  <c r="T623" i="1"/>
  <c r="T413" i="1"/>
  <c r="T962" i="1"/>
  <c r="T20" i="1"/>
  <c r="T633" i="1"/>
  <c r="T846" i="1"/>
  <c r="T653" i="1"/>
  <c r="T589" i="1"/>
  <c r="T922" i="1"/>
  <c r="T904" i="1"/>
  <c r="T127" i="1"/>
  <c r="T545" i="1"/>
  <c r="T69" i="1"/>
  <c r="T120" i="1"/>
  <c r="T958" i="1"/>
  <c r="T887" i="1"/>
  <c r="T816" i="1"/>
  <c r="T888" i="1"/>
  <c r="T174" i="1"/>
  <c r="T340" i="1"/>
  <c r="T765" i="1"/>
  <c r="T905" i="1"/>
  <c r="T217" i="1"/>
  <c r="T795" i="1"/>
  <c r="T493" i="1"/>
  <c r="T406" i="1"/>
  <c r="T896" i="1"/>
  <c r="T353" i="1"/>
  <c r="T651" i="1"/>
  <c r="T609" i="1"/>
  <c r="T4" i="1"/>
  <c r="T177" i="1"/>
  <c r="T72" i="1"/>
  <c r="T946" i="1"/>
  <c r="T8" i="1"/>
  <c r="T279" i="1"/>
  <c r="T319" i="1"/>
  <c r="T178" i="1"/>
  <c r="T357" i="1"/>
  <c r="T18" i="1"/>
  <c r="T208" i="1"/>
  <c r="T776" i="1"/>
  <c r="T424" i="1"/>
  <c r="T578" i="1"/>
  <c r="T276" i="1"/>
  <c r="T681" i="1"/>
  <c r="T182" i="1"/>
  <c r="T292" i="1"/>
  <c r="T938" i="1"/>
  <c r="T817" i="1"/>
  <c r="T555" i="1"/>
  <c r="T670" i="1"/>
  <c r="T221" i="1"/>
  <c r="T963" i="1"/>
  <c r="T552" i="1"/>
  <c r="T851" i="1"/>
  <c r="T136" i="1"/>
  <c r="T222" i="1"/>
  <c r="T658" i="1"/>
  <c r="T792" i="1"/>
  <c r="T199" i="1"/>
  <c r="T189" i="1"/>
  <c r="T465" i="1"/>
  <c r="T738" i="1"/>
  <c r="T171" i="1"/>
  <c r="T654" i="1"/>
  <c r="T15" i="1"/>
  <c r="T185" i="1"/>
  <c r="T796" i="1"/>
  <c r="T236" i="1"/>
  <c r="T302" i="1"/>
  <c r="T573" i="1"/>
  <c r="T522" i="1"/>
  <c r="T638" i="1"/>
  <c r="T782" i="1"/>
  <c r="T581" i="1"/>
  <c r="T230" i="1"/>
  <c r="T767" i="1"/>
  <c r="T604" i="1"/>
  <c r="T845" i="1"/>
  <c r="T373" i="1"/>
  <c r="T231" i="1"/>
  <c r="T190" i="1"/>
  <c r="T618" i="1"/>
  <c r="T103" i="1"/>
  <c r="T280" i="1"/>
  <c r="T444" i="1"/>
  <c r="T742" i="1"/>
  <c r="T695" i="1"/>
  <c r="T3" i="1"/>
  <c r="T11" i="1"/>
  <c r="T53" i="1"/>
  <c r="T196" i="1"/>
  <c r="T535" i="1"/>
  <c r="T22" i="1"/>
  <c r="T574" i="1"/>
  <c r="T967" i="1"/>
  <c r="T509" i="1"/>
  <c r="T823" i="1"/>
  <c r="T23" i="1"/>
  <c r="T523" i="1"/>
  <c r="T48" i="1"/>
  <c r="T804" i="1"/>
  <c r="T239" i="1"/>
  <c r="T728" i="1"/>
  <c r="T469" i="1"/>
  <c r="T212" i="1"/>
  <c r="T117" i="1"/>
  <c r="T121" i="1"/>
  <c r="T758" i="1"/>
  <c r="T597" i="1"/>
  <c r="T233" i="1"/>
  <c r="T172" i="1"/>
  <c r="T330" i="1"/>
  <c r="T335" i="1"/>
  <c r="T470" i="1"/>
  <c r="T395" i="1"/>
  <c r="T466" i="1"/>
  <c r="T541" i="1"/>
  <c r="T504" i="1"/>
  <c r="T648" i="1"/>
  <c r="T274" i="1"/>
  <c r="T124" i="1"/>
  <c r="T179" i="1"/>
  <c r="T467" i="1"/>
  <c r="T75" i="1"/>
  <c r="T718" i="1"/>
  <c r="T998" i="1"/>
  <c r="T872" i="1"/>
  <c r="T249" i="1"/>
  <c r="T536" i="1"/>
  <c r="T747" i="1"/>
  <c r="T777" i="1"/>
  <c r="T766" i="1"/>
  <c r="T494" i="1"/>
  <c r="T254" i="1"/>
  <c r="T46" i="1"/>
  <c r="T553" i="1"/>
  <c r="T105" i="1"/>
  <c r="T277" i="1"/>
  <c r="T808" i="1"/>
  <c r="T483" i="1"/>
  <c r="T586" i="1"/>
  <c r="T783" i="1"/>
  <c r="T978" i="1"/>
  <c r="T286" i="1"/>
  <c r="T673" i="1"/>
  <c r="T772" i="1"/>
  <c r="T605" i="1"/>
  <c r="T546" i="1"/>
  <c r="T293" i="1"/>
  <c r="T35" i="1"/>
  <c r="T486" i="1"/>
  <c r="T238" i="1"/>
  <c r="T213" i="1"/>
  <c r="T307" i="1"/>
  <c r="T125" i="1"/>
  <c r="T149" i="1"/>
  <c r="T287" i="1"/>
  <c r="T460" i="1"/>
  <c r="T749" i="1"/>
  <c r="T471" i="1"/>
  <c r="T440" i="1"/>
  <c r="T137" i="1"/>
  <c r="T616" i="1"/>
  <c r="T429" i="1"/>
  <c r="T583" i="1"/>
  <c r="T784" i="1"/>
  <c r="T141" i="1"/>
  <c r="T14" i="1"/>
  <c r="T57" i="1"/>
  <c r="T968" i="1"/>
  <c r="T964" i="1"/>
  <c r="T354" i="1"/>
  <c r="T336" i="1"/>
  <c r="T278" i="1"/>
  <c r="T385" i="1"/>
  <c r="T659" i="1"/>
  <c r="T407" i="1"/>
  <c r="T649" i="1"/>
  <c r="T271" i="1"/>
  <c r="T639" i="1"/>
  <c r="T264" i="1"/>
  <c r="T464" i="1"/>
  <c r="T709" i="1"/>
  <c r="T156" i="1"/>
  <c r="T969" i="1"/>
  <c r="T432" i="1"/>
  <c r="T674" i="1"/>
  <c r="T73" i="1"/>
  <c r="T556" i="1"/>
  <c r="T988" i="1"/>
  <c r="T487" i="1"/>
  <c r="T600" i="1"/>
  <c r="T36" i="1"/>
  <c r="T640" i="1"/>
  <c r="T355" i="1"/>
  <c r="T646" i="1"/>
  <c r="T133" i="1"/>
  <c r="T76" i="1"/>
  <c r="T386" i="1"/>
  <c r="T842" i="1"/>
  <c r="T878" i="1"/>
  <c r="T885" i="1"/>
  <c r="T472" i="1"/>
  <c r="T64" i="1"/>
  <c r="T288" i="1"/>
  <c r="T911" i="1"/>
  <c r="T175" i="1"/>
  <c r="T275" i="1"/>
  <c r="T226" i="1"/>
  <c r="T209" i="1"/>
  <c r="T974" i="1"/>
  <c r="T818" i="1"/>
  <c r="T94" i="1"/>
  <c r="T428" i="1"/>
  <c r="T970" i="1"/>
  <c r="T220" i="1"/>
  <c r="T699" i="1"/>
  <c r="T886" i="1"/>
  <c r="T313" i="1"/>
  <c r="T180" i="1"/>
  <c r="T876" i="1"/>
  <c r="T524" i="1"/>
  <c r="T215" i="1"/>
  <c r="T693" i="1"/>
  <c r="T119" i="1"/>
  <c r="T675" i="1"/>
  <c r="T984" i="1"/>
  <c r="T613" i="1"/>
  <c r="T107" i="1"/>
  <c r="T891" i="1"/>
  <c r="T614" i="1"/>
  <c r="T232" i="1"/>
  <c r="T176" i="1"/>
  <c r="T445" i="1"/>
  <c r="T187" i="1"/>
  <c r="T542" i="1"/>
  <c r="T852" i="1"/>
  <c r="T696" i="1"/>
  <c r="T420" i="1"/>
  <c r="T337" i="1"/>
  <c r="T108" i="1"/>
  <c r="T88" i="1"/>
  <c r="T167" i="1"/>
  <c r="T370" i="1"/>
  <c r="T379" i="1"/>
  <c r="T516" i="1"/>
  <c r="T498" i="1"/>
  <c r="T387" i="1"/>
  <c r="T345" i="1"/>
  <c r="T861" i="1"/>
  <c r="T227" i="1"/>
  <c r="T954" i="1"/>
  <c r="T499" i="1"/>
  <c r="T557" i="1"/>
  <c r="T853" i="1"/>
  <c r="T716" i="1"/>
  <c r="T294" i="1"/>
  <c r="T996" i="1"/>
  <c r="T768" i="1"/>
  <c r="T402" i="1"/>
  <c r="T656" i="1"/>
  <c r="T392" i="1"/>
  <c r="T690" i="1"/>
  <c r="T517" i="1"/>
  <c r="T873" i="1"/>
  <c r="T362" i="1"/>
  <c r="T789" i="1"/>
  <c r="T769" i="1"/>
  <c r="T100" i="1"/>
  <c r="T388" i="1"/>
  <c r="T81" i="1"/>
  <c r="T898" i="1"/>
  <c r="T714" i="1"/>
  <c r="T919" i="1"/>
  <c r="T351" i="1"/>
  <c r="T979" i="1"/>
  <c r="T21" i="1"/>
  <c r="T90" i="1"/>
  <c r="T682" i="1"/>
  <c r="T505" i="1"/>
  <c r="T243" i="1"/>
  <c r="T166" i="1"/>
  <c r="T85" i="1"/>
  <c r="T203" i="1"/>
  <c r="T590" i="1"/>
  <c r="T934" i="1"/>
  <c r="T139" i="1"/>
  <c r="T244" i="1"/>
  <c r="T67" i="1"/>
  <c r="T206" i="1"/>
  <c r="T328" i="1"/>
  <c r="T686" i="1"/>
  <c r="T295" i="1"/>
  <c r="T289" i="1"/>
  <c r="T518" i="1"/>
  <c r="T912" i="1"/>
  <c r="T810" i="1"/>
  <c r="T134" i="1"/>
  <c r="T461" i="1"/>
  <c r="T454" i="1"/>
  <c r="T743" i="1"/>
  <c r="T813" i="1"/>
  <c r="T164" i="1"/>
  <c r="T843" i="1"/>
  <c r="T433" i="1"/>
  <c r="T245" i="1"/>
  <c r="T462" i="1"/>
  <c r="T870" i="1"/>
  <c r="T250" i="1"/>
  <c r="T991" i="1"/>
  <c r="T760" i="1"/>
  <c r="T701" i="1"/>
  <c r="T314" i="1"/>
  <c r="T797" i="1"/>
  <c r="T55" i="1"/>
  <c r="T144" i="1"/>
  <c r="T569" i="1"/>
  <c r="T281" i="1"/>
  <c r="T358" i="1"/>
  <c r="T819" i="1"/>
  <c r="T615" i="1"/>
  <c r="T258" i="1"/>
  <c r="T397" i="1"/>
  <c r="T907" i="1"/>
  <c r="T414" i="1"/>
  <c r="T858" i="1"/>
  <c r="T799" i="1"/>
  <c r="T611" i="1"/>
  <c r="T441" i="1"/>
  <c r="T27" i="1"/>
  <c r="T570" i="1"/>
  <c r="T83" i="1"/>
  <c r="T495" i="1"/>
  <c r="T643" i="1"/>
  <c r="T160" i="1"/>
  <c r="T800" i="1"/>
  <c r="T111" i="1"/>
  <c r="T359" i="1"/>
  <c r="T914" i="1"/>
  <c r="T311" i="1"/>
  <c r="T455" i="1"/>
  <c r="T606" i="1"/>
  <c r="T948" i="1"/>
  <c r="T584" i="1"/>
  <c r="T7" i="1"/>
  <c r="T380" i="1"/>
  <c r="T38" i="1"/>
  <c r="T262" i="1"/>
  <c r="T1001" i="1"/>
  <c r="T745" i="1"/>
  <c r="T992" i="1"/>
  <c r="T624" i="1"/>
  <c r="T997" i="1"/>
  <c r="T543" i="1"/>
  <c r="T720" i="1"/>
  <c r="T430" i="1"/>
  <c r="T438" i="1"/>
  <c r="T579" i="1"/>
  <c r="T315" i="1"/>
  <c r="T153" i="1"/>
  <c r="T300" i="1"/>
  <c r="T363" i="1"/>
  <c r="T301" i="1"/>
  <c r="T456" i="1"/>
  <c r="T150" i="1"/>
  <c r="T610" i="1"/>
  <c r="T547" i="1"/>
  <c r="T360" i="1"/>
  <c r="T601" i="1"/>
  <c r="T128" i="1"/>
  <c r="T398" i="1"/>
  <c r="T865" i="1"/>
  <c r="T34" i="1"/>
  <c r="T838" i="1"/>
  <c r="T803" i="1"/>
  <c r="T296" i="1"/>
  <c r="T96" i="1"/>
  <c r="T571" i="1"/>
  <c r="T761" i="1"/>
  <c r="T671" i="1"/>
  <c r="T434" i="1"/>
  <c r="T341" i="1"/>
  <c r="T138" i="1"/>
  <c r="T186" i="1"/>
  <c r="T908" i="1"/>
  <c r="T641" i="1"/>
  <c r="T219" i="1"/>
  <c r="T95" i="1"/>
  <c r="T537" i="1"/>
  <c r="T847" i="1"/>
  <c r="T805" i="1"/>
  <c r="T721" i="1"/>
  <c r="T866" i="1"/>
  <c r="T457" i="1"/>
  <c r="T733" i="1"/>
  <c r="T400" i="1"/>
  <c r="T84" i="1"/>
  <c r="T490" i="1"/>
  <c r="T2" i="1"/>
  <c r="T240" i="1"/>
  <c r="T51" i="1"/>
  <c r="T944" i="1"/>
  <c r="T635" i="1"/>
  <c r="T367" i="1"/>
  <c r="T811" i="1"/>
  <c r="T980" i="1"/>
  <c r="T130" i="1"/>
  <c r="T563" i="1"/>
  <c r="T346" i="1"/>
  <c r="T158" i="1"/>
  <c r="T331" i="1"/>
  <c r="T259" i="1"/>
  <c r="T519" i="1"/>
  <c r="T223" i="1"/>
  <c r="T854" i="1"/>
  <c r="T500" i="1"/>
  <c r="T619" i="1"/>
  <c r="T202" i="1"/>
  <c r="T734" i="1"/>
  <c r="T241" i="1"/>
  <c r="T793" i="1"/>
  <c r="T564" i="1"/>
  <c r="T393" i="1"/>
  <c r="T985" i="1"/>
  <c r="T263" i="1"/>
  <c r="T45" i="1"/>
  <c r="T965" i="1"/>
  <c r="T229" i="1"/>
  <c r="T704" i="1"/>
  <c r="T272" i="1"/>
  <c r="T520" i="1"/>
  <c r="T106" i="1"/>
  <c r="T28" i="1"/>
  <c r="T473" i="1"/>
  <c r="T131" i="1"/>
  <c r="T214" i="1"/>
  <c r="T10" i="1"/>
  <c r="T548" i="1"/>
  <c r="T216" i="1"/>
  <c r="T496" i="1"/>
  <c r="T463" i="1"/>
  <c r="T52" i="1"/>
  <c r="T200" i="1"/>
  <c r="T549" i="1"/>
  <c r="T652" i="1"/>
  <c r="T265" i="1"/>
  <c r="T940" i="1"/>
  <c r="T506" i="1"/>
  <c r="T981" i="1"/>
  <c r="T491" i="1"/>
  <c r="T89" i="1"/>
  <c r="T820" i="1"/>
  <c r="T560" i="1"/>
  <c r="T937" i="1"/>
  <c r="T859" i="1"/>
  <c r="T378" i="1"/>
  <c r="T9" i="1"/>
  <c r="T449" i="1"/>
  <c r="T308" i="1"/>
  <c r="T929" i="1"/>
  <c r="T192" i="1"/>
  <c r="T839" i="1"/>
  <c r="T762" i="1"/>
  <c r="T403" i="1"/>
  <c r="T660" i="1"/>
  <c r="T687" i="1"/>
  <c r="T790" i="1"/>
  <c r="T628" i="1"/>
  <c r="T591" i="1"/>
  <c r="T44" i="1"/>
  <c r="T446" i="1"/>
  <c r="T860" i="1"/>
  <c r="T722" i="1"/>
  <c r="T951" i="1"/>
  <c r="T665" i="1"/>
  <c r="T332" i="1"/>
  <c r="T525" i="1"/>
  <c r="T501" i="1"/>
  <c r="T893" i="1"/>
  <c r="T566" i="1"/>
  <c r="T909" i="1"/>
  <c r="T193" i="1"/>
  <c r="T856" i="1"/>
  <c r="T58" i="1"/>
  <c r="T132" i="1"/>
  <c r="T874" i="1"/>
  <c r="T86" i="1"/>
  <c r="T706" i="1"/>
  <c r="T575" i="1"/>
  <c r="T13" i="1"/>
  <c r="T794" i="1"/>
  <c r="T862" i="1"/>
  <c r="T204" i="1"/>
  <c r="T33" i="1"/>
  <c r="T165" i="1"/>
  <c r="T510" i="1"/>
  <c r="T736" i="1"/>
  <c r="T326" i="1"/>
  <c r="T959" i="1"/>
  <c r="T102" i="1"/>
  <c r="T17" i="1"/>
  <c r="T122" i="1"/>
  <c r="T901" i="1"/>
  <c r="T676" i="1"/>
  <c r="T672" i="1"/>
  <c r="T66" i="1"/>
  <c r="T234" i="1"/>
  <c r="T567" i="1"/>
  <c r="T705" i="1"/>
  <c r="T347" i="1"/>
  <c r="T952" i="1"/>
  <c r="T629" i="1"/>
  <c r="T593" i="1"/>
  <c r="T867" i="1"/>
  <c r="T715" i="1"/>
  <c r="T677" i="1"/>
  <c r="T809" i="1"/>
  <c r="T739" i="1"/>
  <c r="T377" i="1"/>
  <c r="T935" i="1"/>
  <c r="T113" i="1"/>
  <c r="T194" i="1"/>
  <c r="T939" i="1"/>
  <c r="T972" i="1"/>
  <c r="T678" i="1"/>
  <c r="T975" i="1"/>
  <c r="T868" i="1"/>
  <c r="T47" i="1"/>
  <c r="T993" i="1"/>
  <c r="T625" i="1"/>
  <c r="T913" i="1"/>
  <c r="T630" i="1"/>
  <c r="T626" i="1"/>
  <c r="T77" i="1"/>
  <c r="T421" i="1"/>
  <c r="T118" i="1"/>
  <c r="T533" i="1"/>
  <c r="T488" i="1"/>
  <c r="T840" i="1"/>
  <c r="T40" i="1"/>
  <c r="T594" i="1"/>
  <c r="T312" i="1"/>
  <c r="T824" i="1"/>
  <c r="T218" i="1"/>
  <c r="T636" i="1"/>
  <c r="T976" i="1"/>
  <c r="T554" i="1"/>
  <c r="T5" i="1"/>
  <c r="T140" i="1"/>
  <c r="T832" i="1"/>
  <c r="T56" i="1"/>
  <c r="T450" i="1"/>
  <c r="T902" i="1"/>
  <c r="T526" i="1"/>
  <c r="T657" i="1"/>
  <c r="T451" i="1"/>
  <c r="T474" i="1"/>
  <c r="T661" i="1"/>
  <c r="T188" i="1"/>
  <c r="T631" i="1"/>
  <c r="T770" i="1"/>
  <c r="T587" i="1"/>
  <c r="T960" i="1"/>
  <c r="T595" i="1"/>
  <c r="T142" i="1"/>
  <c r="T484" i="1"/>
  <c r="T930" i="1"/>
  <c r="T662" i="1"/>
  <c r="T374" i="1"/>
  <c r="T342" i="1"/>
  <c r="T60" i="1"/>
  <c r="T732" i="1"/>
  <c r="T627" i="1"/>
  <c r="T114" i="1"/>
  <c r="T773" i="1"/>
  <c r="T43" i="1"/>
  <c r="T953" i="1"/>
  <c r="T255" i="1"/>
  <c r="T941" i="1"/>
  <c r="T857" i="1"/>
  <c r="T612" i="1"/>
  <c r="T260" i="1"/>
  <c r="T410" i="1"/>
  <c r="T361" i="1"/>
  <c r="T382" i="1"/>
  <c r="T207" i="1"/>
  <c r="T855" i="1"/>
  <c r="T6" i="1"/>
  <c r="T502" i="1"/>
  <c r="T871" i="1"/>
  <c r="T923" i="1"/>
  <c r="T159" i="1"/>
  <c r="T679" i="1"/>
  <c r="T568" i="1"/>
  <c r="T737" i="1"/>
  <c r="T915" i="1"/>
  <c r="T529" i="1"/>
  <c r="T78" i="1"/>
  <c r="T343" i="1"/>
  <c r="T620" i="1"/>
  <c r="T986" i="1"/>
  <c r="T744" i="1"/>
  <c r="T826" i="1"/>
  <c r="T863" i="1"/>
  <c r="T889" i="1"/>
  <c r="T691" i="1"/>
  <c r="T880" i="1"/>
  <c r="T154" i="1"/>
  <c r="T763" i="1"/>
  <c r="T104" i="1"/>
  <c r="T31" i="1"/>
  <c r="T396" i="1"/>
  <c r="T530" i="1"/>
  <c r="T338" i="1"/>
  <c r="T442" i="1"/>
  <c r="T475" i="1"/>
  <c r="T576" i="1"/>
  <c r="T534" i="1"/>
  <c r="T368" i="1"/>
  <c r="T162" i="1"/>
  <c r="T999" i="1"/>
  <c r="T806" i="1"/>
  <c r="T247" i="1"/>
  <c r="T282" i="1"/>
  <c r="T585" i="1"/>
  <c r="T112" i="1"/>
  <c r="T148" i="1"/>
  <c r="T814" i="1"/>
  <c r="T168" i="1"/>
  <c r="T920" i="1"/>
  <c r="T404" i="1"/>
  <c r="T163" i="1"/>
  <c r="S394" i="1"/>
  <c r="S592" i="1"/>
  <c r="S68" i="1"/>
  <c r="S740" i="1"/>
  <c r="S607" i="1"/>
  <c r="S942" i="1"/>
  <c r="S921" i="1"/>
  <c r="S717" i="1"/>
  <c r="S61" i="1"/>
  <c r="S439" i="1"/>
  <c r="S447" i="1"/>
  <c r="S835" i="1"/>
  <c r="S688" i="1"/>
  <c r="S697" i="1"/>
  <c r="S91" i="1"/>
  <c r="S926" i="1"/>
  <c r="S987" i="1"/>
  <c r="S801" i="1"/>
  <c r="S565" i="1"/>
  <c r="S109" i="1"/>
  <c r="S92" i="1"/>
  <c r="S778" i="1"/>
  <c r="S710" i="1"/>
  <c r="S1000" i="1"/>
  <c r="S70" i="1"/>
  <c r="S283" i="1"/>
  <c r="S949" i="1"/>
  <c r="S418" i="1"/>
  <c r="S381" i="1"/>
  <c r="S864" i="1"/>
  <c r="S210" i="1"/>
  <c r="S123" i="1"/>
  <c r="S746" i="1"/>
  <c r="S237" i="1"/>
  <c r="S266" i="1"/>
  <c r="S369" i="1"/>
  <c r="S333" i="1"/>
  <c r="S881" i="1"/>
  <c r="S692" i="1"/>
  <c r="S476" i="1"/>
  <c r="S825" i="1"/>
  <c r="S246" i="1"/>
  <c r="S135" i="1"/>
  <c r="S399" i="1"/>
  <c r="S821" i="1"/>
  <c r="S910" i="1"/>
  <c r="S664" i="1"/>
  <c r="S666" i="1"/>
  <c r="S982" i="1"/>
  <c r="S25" i="1"/>
  <c r="S848" i="1"/>
  <c r="S184" i="1"/>
  <c r="S422" i="1"/>
  <c r="S273" i="1"/>
  <c r="S458" i="1"/>
  <c r="S931" i="1"/>
  <c r="S97" i="1"/>
  <c r="S841" i="1"/>
  <c r="S151" i="1"/>
  <c r="S877" i="1"/>
  <c r="S655" i="1"/>
  <c r="S531" i="1"/>
  <c r="S667" i="1"/>
  <c r="S883" i="1"/>
  <c r="S642" i="1"/>
  <c r="S621" i="1"/>
  <c r="S324" i="1"/>
  <c r="S477" i="1"/>
  <c r="S702" i="1"/>
  <c r="S957" i="1"/>
  <c r="S62" i="1"/>
  <c r="S423" i="1"/>
  <c r="S785" i="1"/>
  <c r="S155" i="1"/>
  <c r="S191" i="1"/>
  <c r="S197" i="1"/>
  <c r="S480" i="1"/>
  <c r="S79" i="1"/>
  <c r="S375" i="1"/>
  <c r="S936" i="1"/>
  <c r="S757" i="1"/>
  <c r="S408" i="1"/>
  <c r="S994" i="1"/>
  <c r="S916" i="1"/>
  <c r="S511" i="1"/>
  <c r="S415" i="1"/>
  <c r="S668" i="1"/>
  <c r="S426" i="1"/>
  <c r="S32" i="1"/>
  <c r="S899" i="1"/>
  <c r="S98" i="1"/>
  <c r="S512" i="1"/>
  <c r="S320" i="1"/>
  <c r="S497" i="1"/>
  <c r="S270" i="1"/>
  <c r="S459" i="1"/>
  <c r="S924" i="1"/>
  <c r="S771" i="1"/>
  <c r="S950" i="1"/>
  <c r="S669" i="1"/>
  <c r="S752" i="1"/>
  <c r="S712" i="1"/>
  <c r="S443" i="1"/>
  <c r="S513" i="1"/>
  <c r="S478" i="1"/>
  <c r="S116" i="1"/>
  <c r="S927" i="1"/>
  <c r="S894" i="1"/>
  <c r="S727" i="1"/>
  <c r="S882" i="1"/>
  <c r="S348" i="1"/>
  <c r="S303" i="1"/>
  <c r="S973" i="1"/>
  <c r="S774" i="1"/>
  <c r="S383" i="1"/>
  <c r="S145" i="1"/>
  <c r="S409" i="1"/>
  <c r="S558" i="1"/>
  <c r="S228" i="1"/>
  <c r="S321" i="1"/>
  <c r="S786" i="1"/>
  <c r="S741" i="1"/>
  <c r="S753" i="1"/>
  <c r="S356" i="1"/>
  <c r="S24" i="1"/>
  <c r="S827" i="1"/>
  <c r="S723" i="1"/>
  <c r="S416" i="1"/>
  <c r="S468" i="1"/>
  <c r="S602" i="1"/>
  <c r="S828" i="1"/>
  <c r="S110" i="1"/>
  <c r="S181" i="1"/>
  <c r="S572" i="1"/>
  <c r="S50" i="1"/>
  <c r="S703" i="1"/>
  <c r="S538" i="1"/>
  <c r="S869" i="1"/>
  <c r="S596" i="1"/>
  <c r="S339" i="1"/>
  <c r="S603" i="1"/>
  <c r="S256" i="1"/>
  <c r="S831" i="1"/>
  <c r="S989" i="1"/>
  <c r="S822" i="1"/>
  <c r="S836" i="1"/>
  <c r="S684" i="1"/>
  <c r="S775" i="1"/>
  <c r="S329" i="1"/>
  <c r="S685" i="1"/>
  <c r="S925" i="1"/>
  <c r="S990" i="1"/>
  <c r="S126" i="1"/>
  <c r="S713" i="1"/>
  <c r="S71" i="1"/>
  <c r="S917" i="1"/>
  <c r="S507" i="1"/>
  <c r="S966" i="1"/>
  <c r="S304" i="1"/>
  <c r="S647" i="1"/>
  <c r="S683" i="1"/>
  <c r="S251" i="1"/>
  <c r="S371" i="1"/>
  <c r="S205" i="1"/>
  <c r="S807" i="1"/>
  <c r="S791" i="1"/>
  <c r="S16" i="1"/>
  <c r="S550" i="1"/>
  <c r="S284" i="1"/>
  <c r="S928" i="1"/>
  <c r="S802" i="1"/>
  <c r="S173" i="1"/>
  <c r="S59" i="1"/>
  <c r="S711" i="1"/>
  <c r="S983" i="1"/>
  <c r="S352" i="1"/>
  <c r="S622" i="1"/>
  <c r="S779" i="1"/>
  <c r="S977" i="1"/>
  <c r="S389" i="1"/>
  <c r="S30" i="1"/>
  <c r="S390" i="1"/>
  <c r="S995" i="1"/>
  <c r="S316" i="1"/>
  <c r="S492" i="1"/>
  <c r="S74" i="1"/>
  <c r="S849" i="1"/>
  <c r="S617" i="1"/>
  <c r="S539" i="1"/>
  <c r="S730" i="1"/>
  <c r="S242" i="1"/>
  <c r="S344" i="1"/>
  <c r="S599" i="1"/>
  <c r="S322" i="1"/>
  <c r="S879" i="1"/>
  <c r="S759" i="1"/>
  <c r="S508" i="1"/>
  <c r="S485" i="1"/>
  <c r="S890" i="1"/>
  <c r="S285" i="1"/>
  <c r="S764" i="1"/>
  <c r="S248" i="1"/>
  <c r="S169" i="1"/>
  <c r="S577" i="1"/>
  <c r="S327" i="1"/>
  <c r="S267" i="1"/>
  <c r="S435" i="1"/>
  <c r="S780" i="1"/>
  <c r="S532" i="1"/>
  <c r="S527" i="1"/>
  <c r="S37" i="1"/>
  <c r="S183" i="1"/>
  <c r="S735" i="1"/>
  <c r="S481" i="1"/>
  <c r="S540" i="1"/>
  <c r="S401" i="1"/>
  <c r="S309" i="1"/>
  <c r="S157" i="1"/>
  <c r="S431" i="1"/>
  <c r="S644" i="1"/>
  <c r="S376" i="1"/>
  <c r="S101" i="1"/>
  <c r="S608" i="1"/>
  <c r="S364" i="1"/>
  <c r="S755" i="1"/>
  <c r="S812" i="1"/>
  <c r="S411" i="1"/>
  <c r="S943" i="1"/>
  <c r="S152" i="1"/>
  <c r="S235" i="1"/>
  <c r="S115" i="1"/>
  <c r="S452" i="1"/>
  <c r="S305" i="1"/>
  <c r="S971" i="1"/>
  <c r="S689" i="1"/>
  <c r="S837" i="1"/>
  <c r="S161" i="1"/>
  <c r="S405" i="1"/>
  <c r="S634" i="1"/>
  <c r="S632" i="1"/>
  <c r="S26" i="1"/>
  <c r="S918" i="1"/>
  <c r="S224" i="1"/>
  <c r="S588" i="1"/>
  <c r="S729" i="1"/>
  <c r="S756" i="1"/>
  <c r="S80" i="1"/>
  <c r="S947" i="1"/>
  <c r="S707" i="1"/>
  <c r="S955" i="1"/>
  <c r="S290" i="1"/>
  <c r="S65" i="1"/>
  <c r="S479" i="1"/>
  <c r="S748" i="1"/>
  <c r="S41" i="1"/>
  <c r="S143" i="1"/>
  <c r="S637" i="1"/>
  <c r="S561" i="1"/>
  <c r="S514" i="1"/>
  <c r="S787" i="1"/>
  <c r="S198" i="1"/>
  <c r="S29" i="1"/>
  <c r="S906" i="1"/>
  <c r="S731" i="1"/>
  <c r="S900" i="1"/>
  <c r="S897" i="1"/>
  <c r="S698" i="1"/>
  <c r="S291" i="1"/>
  <c r="S725" i="1"/>
  <c r="S436" i="1"/>
  <c r="S425" i="1"/>
  <c r="S297" i="1"/>
  <c r="S384" i="1"/>
  <c r="S310" i="1"/>
  <c r="S349" i="1"/>
  <c r="S350" i="1"/>
  <c r="S257" i="1"/>
  <c r="S781" i="1"/>
  <c r="S645" i="1"/>
  <c r="S489" i="1"/>
  <c r="S945" i="1"/>
  <c r="S99" i="1"/>
  <c r="S437" i="1"/>
  <c r="S875" i="1"/>
  <c r="S833" i="1"/>
  <c r="S412" i="1"/>
  <c r="S895" i="1"/>
  <c r="S726" i="1"/>
  <c r="S903" i="1"/>
  <c r="S54" i="1"/>
  <c r="S448" i="1"/>
  <c r="S503" i="1"/>
  <c r="S751" i="1"/>
  <c r="S815" i="1"/>
  <c r="S754" i="1"/>
  <c r="S417" i="1"/>
  <c r="S170" i="1"/>
  <c r="S317" i="1"/>
  <c r="S650" i="1"/>
  <c r="S365" i="1"/>
  <c r="S580" i="1"/>
  <c r="S42" i="1"/>
  <c r="S528" i="1"/>
  <c r="S694" i="1"/>
  <c r="S129" i="1"/>
  <c r="S252" i="1"/>
  <c r="S323" i="1"/>
  <c r="S719" i="1"/>
  <c r="S961" i="1"/>
  <c r="S884" i="1"/>
  <c r="S559" i="1"/>
  <c r="S372" i="1"/>
  <c r="S932" i="1"/>
  <c r="S956" i="1"/>
  <c r="S334" i="1"/>
  <c r="S724" i="1"/>
  <c r="S318" i="1"/>
  <c r="S515" i="1"/>
  <c r="S427" i="1"/>
  <c r="S551" i="1"/>
  <c r="S63" i="1"/>
  <c r="S892" i="1"/>
  <c r="S19" i="1"/>
  <c r="S225" i="1"/>
  <c r="S93" i="1"/>
  <c r="S366" i="1"/>
  <c r="S306" i="1"/>
  <c r="S298" i="1"/>
  <c r="S562" i="1"/>
  <c r="S82" i="1"/>
  <c r="S146" i="1"/>
  <c r="S482" i="1"/>
  <c r="S582" i="1"/>
  <c r="S39" i="1"/>
  <c r="S663" i="1"/>
  <c r="S933" i="1"/>
  <c r="S700" i="1"/>
  <c r="S708" i="1"/>
  <c r="S12" i="1"/>
  <c r="S419" i="1"/>
  <c r="S850" i="1"/>
  <c r="S788" i="1"/>
  <c r="S750" i="1"/>
  <c r="S521" i="1"/>
  <c r="S253" i="1"/>
  <c r="S829" i="1"/>
  <c r="S268" i="1"/>
  <c r="S201" i="1"/>
  <c r="S261" i="1"/>
  <c r="S147" i="1"/>
  <c r="S798" i="1"/>
  <c r="S598" i="1"/>
  <c r="S453" i="1"/>
  <c r="S49" i="1"/>
  <c r="S211" i="1"/>
  <c r="S87" i="1"/>
  <c r="S844" i="1"/>
  <c r="S391" i="1"/>
  <c r="S830" i="1"/>
  <c r="S195" i="1"/>
  <c r="S299" i="1"/>
  <c r="S680" i="1"/>
  <c r="S834" i="1"/>
  <c r="S544" i="1"/>
  <c r="S325" i="1"/>
  <c r="S269" i="1"/>
  <c r="S623" i="1"/>
  <c r="S413" i="1"/>
  <c r="S962" i="1"/>
  <c r="S20" i="1"/>
  <c r="S633" i="1"/>
  <c r="S846" i="1"/>
  <c r="S653" i="1"/>
  <c r="S589" i="1"/>
  <c r="S922" i="1"/>
  <c r="S904" i="1"/>
  <c r="S127" i="1"/>
  <c r="S545" i="1"/>
  <c r="S69" i="1"/>
  <c r="S120" i="1"/>
  <c r="S958" i="1"/>
  <c r="S887" i="1"/>
  <c r="S816" i="1"/>
  <c r="S888" i="1"/>
  <c r="S174" i="1"/>
  <c r="S340" i="1"/>
  <c r="S765" i="1"/>
  <c r="S905" i="1"/>
  <c r="S217" i="1"/>
  <c r="S795" i="1"/>
  <c r="S493" i="1"/>
  <c r="S406" i="1"/>
  <c r="S896" i="1"/>
  <c r="S353" i="1"/>
  <c r="S651" i="1"/>
  <c r="S609" i="1"/>
  <c r="S4" i="1"/>
  <c r="S177" i="1"/>
  <c r="S72" i="1"/>
  <c r="S946" i="1"/>
  <c r="S8" i="1"/>
  <c r="S279" i="1"/>
  <c r="S319" i="1"/>
  <c r="S178" i="1"/>
  <c r="S357" i="1"/>
  <c r="S18" i="1"/>
  <c r="S208" i="1"/>
  <c r="S776" i="1"/>
  <c r="S424" i="1"/>
  <c r="S578" i="1"/>
  <c r="S276" i="1"/>
  <c r="S681" i="1"/>
  <c r="S182" i="1"/>
  <c r="S292" i="1"/>
  <c r="S938" i="1"/>
  <c r="S817" i="1"/>
  <c r="S555" i="1"/>
  <c r="S670" i="1"/>
  <c r="S221" i="1"/>
  <c r="S963" i="1"/>
  <c r="S552" i="1"/>
  <c r="S851" i="1"/>
  <c r="S136" i="1"/>
  <c r="S222" i="1"/>
  <c r="S658" i="1"/>
  <c r="S792" i="1"/>
  <c r="S199" i="1"/>
  <c r="S189" i="1"/>
  <c r="S465" i="1"/>
  <c r="S738" i="1"/>
  <c r="S171" i="1"/>
  <c r="S654" i="1"/>
  <c r="S15" i="1"/>
  <c r="S185" i="1"/>
  <c r="S796" i="1"/>
  <c r="S236" i="1"/>
  <c r="S302" i="1"/>
  <c r="S573" i="1"/>
  <c r="S522" i="1"/>
  <c r="S638" i="1"/>
  <c r="S782" i="1"/>
  <c r="S581" i="1"/>
  <c r="S230" i="1"/>
  <c r="S767" i="1"/>
  <c r="S604" i="1"/>
  <c r="S845" i="1"/>
  <c r="S373" i="1"/>
  <c r="S231" i="1"/>
  <c r="S190" i="1"/>
  <c r="S618" i="1"/>
  <c r="S103" i="1"/>
  <c r="S280" i="1"/>
  <c r="S444" i="1"/>
  <c r="S742" i="1"/>
  <c r="S695" i="1"/>
  <c r="S3" i="1"/>
  <c r="S11" i="1"/>
  <c r="S53" i="1"/>
  <c r="S196" i="1"/>
  <c r="S535" i="1"/>
  <c r="S22" i="1"/>
  <c r="S574" i="1"/>
  <c r="S967" i="1"/>
  <c r="S509" i="1"/>
  <c r="S823" i="1"/>
  <c r="S23" i="1"/>
  <c r="S523" i="1"/>
  <c r="S48" i="1"/>
  <c r="S804" i="1"/>
  <c r="S239" i="1"/>
  <c r="S728" i="1"/>
  <c r="S469" i="1"/>
  <c r="S212" i="1"/>
  <c r="S117" i="1"/>
  <c r="S121" i="1"/>
  <c r="S758" i="1"/>
  <c r="S597" i="1"/>
  <c r="S233" i="1"/>
  <c r="S172" i="1"/>
  <c r="S330" i="1"/>
  <c r="S335" i="1"/>
  <c r="S470" i="1"/>
  <c r="S395" i="1"/>
  <c r="S466" i="1"/>
  <c r="S541" i="1"/>
  <c r="S504" i="1"/>
  <c r="S648" i="1"/>
  <c r="S274" i="1"/>
  <c r="S124" i="1"/>
  <c r="S179" i="1"/>
  <c r="S467" i="1"/>
  <c r="S75" i="1"/>
  <c r="S718" i="1"/>
  <c r="S998" i="1"/>
  <c r="S872" i="1"/>
  <c r="S249" i="1"/>
  <c r="S536" i="1"/>
  <c r="S747" i="1"/>
  <c r="S777" i="1"/>
  <c r="S766" i="1"/>
  <c r="S494" i="1"/>
  <c r="S254" i="1"/>
  <c r="S46" i="1"/>
  <c r="S553" i="1"/>
  <c r="S105" i="1"/>
  <c r="S277" i="1"/>
  <c r="S808" i="1"/>
  <c r="S483" i="1"/>
  <c r="S586" i="1"/>
  <c r="S783" i="1"/>
  <c r="S978" i="1"/>
  <c r="S286" i="1"/>
  <c r="S673" i="1"/>
  <c r="S772" i="1"/>
  <c r="S605" i="1"/>
  <c r="S546" i="1"/>
  <c r="S293" i="1"/>
  <c r="S35" i="1"/>
  <c r="S486" i="1"/>
  <c r="S238" i="1"/>
  <c r="S213" i="1"/>
  <c r="S307" i="1"/>
  <c r="S125" i="1"/>
  <c r="S149" i="1"/>
  <c r="S287" i="1"/>
  <c r="S460" i="1"/>
  <c r="S749" i="1"/>
  <c r="S471" i="1"/>
  <c r="S440" i="1"/>
  <c r="S137" i="1"/>
  <c r="S616" i="1"/>
  <c r="S429" i="1"/>
  <c r="S583" i="1"/>
  <c r="S784" i="1"/>
  <c r="S141" i="1"/>
  <c r="S14" i="1"/>
  <c r="S57" i="1"/>
  <c r="S968" i="1"/>
  <c r="S964" i="1"/>
  <c r="S354" i="1"/>
  <c r="S336" i="1"/>
  <c r="S278" i="1"/>
  <c r="S385" i="1"/>
  <c r="S659" i="1"/>
  <c r="S407" i="1"/>
  <c r="S649" i="1"/>
  <c r="S271" i="1"/>
  <c r="S639" i="1"/>
  <c r="S264" i="1"/>
  <c r="S464" i="1"/>
  <c r="S709" i="1"/>
  <c r="S156" i="1"/>
  <c r="S969" i="1"/>
  <c r="S432" i="1"/>
  <c r="S674" i="1"/>
  <c r="S73" i="1"/>
  <c r="S556" i="1"/>
  <c r="S988" i="1"/>
  <c r="S487" i="1"/>
  <c r="S600" i="1"/>
  <c r="S36" i="1"/>
  <c r="S640" i="1"/>
  <c r="S355" i="1"/>
  <c r="S646" i="1"/>
  <c r="S133" i="1"/>
  <c r="S76" i="1"/>
  <c r="S386" i="1"/>
  <c r="S842" i="1"/>
  <c r="S878" i="1"/>
  <c r="S885" i="1"/>
  <c r="S472" i="1"/>
  <c r="S64" i="1"/>
  <c r="S288" i="1"/>
  <c r="S911" i="1"/>
  <c r="S175" i="1"/>
  <c r="S275" i="1"/>
  <c r="S226" i="1"/>
  <c r="S209" i="1"/>
  <c r="S974" i="1"/>
  <c r="S818" i="1"/>
  <c r="S94" i="1"/>
  <c r="S428" i="1"/>
  <c r="S970" i="1"/>
  <c r="S220" i="1"/>
  <c r="S699" i="1"/>
  <c r="S886" i="1"/>
  <c r="S313" i="1"/>
  <c r="S180" i="1"/>
  <c r="S876" i="1"/>
  <c r="S524" i="1"/>
  <c r="S215" i="1"/>
  <c r="S693" i="1"/>
  <c r="S119" i="1"/>
  <c r="S675" i="1"/>
  <c r="S984" i="1"/>
  <c r="S613" i="1"/>
  <c r="S107" i="1"/>
  <c r="S891" i="1"/>
  <c r="S614" i="1"/>
  <c r="S232" i="1"/>
  <c r="S176" i="1"/>
  <c r="S445" i="1"/>
  <c r="S187" i="1"/>
  <c r="S542" i="1"/>
  <c r="S852" i="1"/>
  <c r="S696" i="1"/>
  <c r="S420" i="1"/>
  <c r="S337" i="1"/>
  <c r="S108" i="1"/>
  <c r="S88" i="1"/>
  <c r="S167" i="1"/>
  <c r="S370" i="1"/>
  <c r="S379" i="1"/>
  <c r="S516" i="1"/>
  <c r="S498" i="1"/>
  <c r="S387" i="1"/>
  <c r="S345" i="1"/>
  <c r="S861" i="1"/>
  <c r="S227" i="1"/>
  <c r="S954" i="1"/>
  <c r="S499" i="1"/>
  <c r="S557" i="1"/>
  <c r="S853" i="1"/>
  <c r="S716" i="1"/>
  <c r="S294" i="1"/>
  <c r="S996" i="1"/>
  <c r="S768" i="1"/>
  <c r="S402" i="1"/>
  <c r="S656" i="1"/>
  <c r="S392" i="1"/>
  <c r="S690" i="1"/>
  <c r="S517" i="1"/>
  <c r="S873" i="1"/>
  <c r="S362" i="1"/>
  <c r="S789" i="1"/>
  <c r="S769" i="1"/>
  <c r="S100" i="1"/>
  <c r="S388" i="1"/>
  <c r="S81" i="1"/>
  <c r="S898" i="1"/>
  <c r="S714" i="1"/>
  <c r="S919" i="1"/>
  <c r="S351" i="1"/>
  <c r="S979" i="1"/>
  <c r="S21" i="1"/>
  <c r="S90" i="1"/>
  <c r="S682" i="1"/>
  <c r="S505" i="1"/>
  <c r="S243" i="1"/>
  <c r="S166" i="1"/>
  <c r="S85" i="1"/>
  <c r="S203" i="1"/>
  <c r="S590" i="1"/>
  <c r="S934" i="1"/>
  <c r="S139" i="1"/>
  <c r="S244" i="1"/>
  <c r="S67" i="1"/>
  <c r="S206" i="1"/>
  <c r="S328" i="1"/>
  <c r="S686" i="1"/>
  <c r="S295" i="1"/>
  <c r="S289" i="1"/>
  <c r="S518" i="1"/>
  <c r="S912" i="1"/>
  <c r="S810" i="1"/>
  <c r="S134" i="1"/>
  <c r="S461" i="1"/>
  <c r="S454" i="1"/>
  <c r="S743" i="1"/>
  <c r="S813" i="1"/>
  <c r="S164" i="1"/>
  <c r="S843" i="1"/>
  <c r="S433" i="1"/>
  <c r="S245" i="1"/>
  <c r="S462" i="1"/>
  <c r="S870" i="1"/>
  <c r="S250" i="1"/>
  <c r="S991" i="1"/>
  <c r="S760" i="1"/>
  <c r="S701" i="1"/>
  <c r="S314" i="1"/>
  <c r="S797" i="1"/>
  <c r="S55" i="1"/>
  <c r="S144" i="1"/>
  <c r="S569" i="1"/>
  <c r="S281" i="1"/>
  <c r="S358" i="1"/>
  <c r="S819" i="1"/>
  <c r="S615" i="1"/>
  <c r="S258" i="1"/>
  <c r="S397" i="1"/>
  <c r="S907" i="1"/>
  <c r="S414" i="1"/>
  <c r="S858" i="1"/>
  <c r="S799" i="1"/>
  <c r="S611" i="1"/>
  <c r="S441" i="1"/>
  <c r="S27" i="1"/>
  <c r="S570" i="1"/>
  <c r="S83" i="1"/>
  <c r="S495" i="1"/>
  <c r="S643" i="1"/>
  <c r="S160" i="1"/>
  <c r="S800" i="1"/>
  <c r="S111" i="1"/>
  <c r="S359" i="1"/>
  <c r="S914" i="1"/>
  <c r="S311" i="1"/>
  <c r="S455" i="1"/>
  <c r="S606" i="1"/>
  <c r="S948" i="1"/>
  <c r="S584" i="1"/>
  <c r="S7" i="1"/>
  <c r="S380" i="1"/>
  <c r="S38" i="1"/>
  <c r="S262" i="1"/>
  <c r="S1001" i="1"/>
  <c r="S745" i="1"/>
  <c r="S992" i="1"/>
  <c r="S624" i="1"/>
  <c r="S997" i="1"/>
  <c r="S543" i="1"/>
  <c r="S720" i="1"/>
  <c r="S430" i="1"/>
  <c r="S438" i="1"/>
  <c r="S579" i="1"/>
  <c r="S315" i="1"/>
  <c r="S153" i="1"/>
  <c r="S300" i="1"/>
  <c r="S363" i="1"/>
  <c r="S301" i="1"/>
  <c r="S456" i="1"/>
  <c r="S150" i="1"/>
  <c r="S610" i="1"/>
  <c r="S547" i="1"/>
  <c r="S360" i="1"/>
  <c r="S601" i="1"/>
  <c r="S128" i="1"/>
  <c r="S398" i="1"/>
  <c r="S865" i="1"/>
  <c r="S34" i="1"/>
  <c r="S838" i="1"/>
  <c r="S803" i="1"/>
  <c r="S296" i="1"/>
  <c r="S96" i="1"/>
  <c r="S571" i="1"/>
  <c r="S761" i="1"/>
  <c r="S671" i="1"/>
  <c r="S434" i="1"/>
  <c r="S341" i="1"/>
  <c r="S138" i="1"/>
  <c r="S186" i="1"/>
  <c r="S908" i="1"/>
  <c r="S641" i="1"/>
  <c r="S219" i="1"/>
  <c r="S95" i="1"/>
  <c r="S537" i="1"/>
  <c r="S847" i="1"/>
  <c r="S805" i="1"/>
  <c r="S721" i="1"/>
  <c r="S866" i="1"/>
  <c r="S457" i="1"/>
  <c r="S733" i="1"/>
  <c r="S400" i="1"/>
  <c r="S84" i="1"/>
  <c r="S490" i="1"/>
  <c r="S2" i="1"/>
  <c r="S240" i="1"/>
  <c r="S51" i="1"/>
  <c r="S944" i="1"/>
  <c r="S635" i="1"/>
  <c r="S367" i="1"/>
  <c r="S811" i="1"/>
  <c r="S980" i="1"/>
  <c r="S130" i="1"/>
  <c r="S563" i="1"/>
  <c r="S346" i="1"/>
  <c r="S158" i="1"/>
  <c r="S331" i="1"/>
  <c r="S259" i="1"/>
  <c r="S519" i="1"/>
  <c r="S223" i="1"/>
  <c r="S854" i="1"/>
  <c r="S500" i="1"/>
  <c r="S619" i="1"/>
  <c r="S202" i="1"/>
  <c r="S734" i="1"/>
  <c r="S241" i="1"/>
  <c r="S793" i="1"/>
  <c r="S564" i="1"/>
  <c r="S393" i="1"/>
  <c r="S985" i="1"/>
  <c r="S263" i="1"/>
  <c r="S45" i="1"/>
  <c r="S965" i="1"/>
  <c r="S229" i="1"/>
  <c r="S704" i="1"/>
  <c r="S272" i="1"/>
  <c r="S520" i="1"/>
  <c r="S106" i="1"/>
  <c r="S28" i="1"/>
  <c r="S473" i="1"/>
  <c r="S131" i="1"/>
  <c r="S214" i="1"/>
  <c r="S10" i="1"/>
  <c r="S548" i="1"/>
  <c r="S216" i="1"/>
  <c r="S496" i="1"/>
  <c r="S463" i="1"/>
  <c r="S52" i="1"/>
  <c r="S200" i="1"/>
  <c r="S549" i="1"/>
  <c r="S652" i="1"/>
  <c r="S265" i="1"/>
  <c r="S940" i="1"/>
  <c r="S506" i="1"/>
  <c r="S981" i="1"/>
  <c r="S491" i="1"/>
  <c r="S89" i="1"/>
  <c r="S820" i="1"/>
  <c r="S560" i="1"/>
  <c r="S937" i="1"/>
  <c r="S859" i="1"/>
  <c r="S378" i="1"/>
  <c r="S9" i="1"/>
  <c r="S449" i="1"/>
  <c r="S308" i="1"/>
  <c r="S929" i="1"/>
  <c r="S192" i="1"/>
  <c r="S839" i="1"/>
  <c r="S762" i="1"/>
  <c r="S403" i="1"/>
  <c r="S660" i="1"/>
  <c r="S687" i="1"/>
  <c r="S790" i="1"/>
  <c r="S628" i="1"/>
  <c r="S591" i="1"/>
  <c r="S44" i="1"/>
  <c r="S446" i="1"/>
  <c r="S860" i="1"/>
  <c r="S722" i="1"/>
  <c r="S951" i="1"/>
  <c r="S665" i="1"/>
  <c r="S332" i="1"/>
  <c r="S525" i="1"/>
  <c r="S501" i="1"/>
  <c r="S893" i="1"/>
  <c r="S566" i="1"/>
  <c r="S909" i="1"/>
  <c r="S193" i="1"/>
  <c r="S856" i="1"/>
  <c r="S58" i="1"/>
  <c r="S132" i="1"/>
  <c r="S874" i="1"/>
  <c r="S86" i="1"/>
  <c r="S706" i="1"/>
  <c r="S575" i="1"/>
  <c r="S13" i="1"/>
  <c r="S794" i="1"/>
  <c r="S862" i="1"/>
  <c r="S204" i="1"/>
  <c r="S33" i="1"/>
  <c r="S165" i="1"/>
  <c r="S510" i="1"/>
  <c r="S736" i="1"/>
  <c r="S326" i="1"/>
  <c r="S959" i="1"/>
  <c r="S102" i="1"/>
  <c r="S17" i="1"/>
  <c r="S122" i="1"/>
  <c r="S901" i="1"/>
  <c r="S676" i="1"/>
  <c r="S672" i="1"/>
  <c r="S66" i="1"/>
  <c r="S234" i="1"/>
  <c r="S567" i="1"/>
  <c r="S705" i="1"/>
  <c r="S347" i="1"/>
  <c r="S952" i="1"/>
  <c r="S629" i="1"/>
  <c r="S593" i="1"/>
  <c r="S867" i="1"/>
  <c r="S715" i="1"/>
  <c r="S677" i="1"/>
  <c r="S809" i="1"/>
  <c r="S739" i="1"/>
  <c r="S377" i="1"/>
  <c r="S935" i="1"/>
  <c r="S113" i="1"/>
  <c r="S194" i="1"/>
  <c r="S939" i="1"/>
  <c r="S972" i="1"/>
  <c r="S678" i="1"/>
  <c r="S975" i="1"/>
  <c r="S868" i="1"/>
  <c r="S47" i="1"/>
  <c r="S993" i="1"/>
  <c r="S625" i="1"/>
  <c r="S913" i="1"/>
  <c r="S630" i="1"/>
  <c r="S626" i="1"/>
  <c r="S77" i="1"/>
  <c r="S421" i="1"/>
  <c r="S118" i="1"/>
  <c r="S533" i="1"/>
  <c r="S488" i="1"/>
  <c r="S840" i="1"/>
  <c r="S40" i="1"/>
  <c r="S594" i="1"/>
  <c r="S312" i="1"/>
  <c r="S824" i="1"/>
  <c r="S218" i="1"/>
  <c r="S636" i="1"/>
  <c r="S976" i="1"/>
  <c r="S554" i="1"/>
  <c r="S5" i="1"/>
  <c r="S140" i="1"/>
  <c r="S832" i="1"/>
  <c r="S56" i="1"/>
  <c r="S450" i="1"/>
  <c r="S902" i="1"/>
  <c r="S526" i="1"/>
  <c r="S657" i="1"/>
  <c r="S451" i="1"/>
  <c r="S474" i="1"/>
  <c r="S661" i="1"/>
  <c r="S188" i="1"/>
  <c r="S631" i="1"/>
  <c r="S770" i="1"/>
  <c r="S587" i="1"/>
  <c r="S960" i="1"/>
  <c r="S595" i="1"/>
  <c r="S142" i="1"/>
  <c r="S484" i="1"/>
  <c r="S930" i="1"/>
  <c r="S662" i="1"/>
  <c r="S374" i="1"/>
  <c r="S342" i="1"/>
  <c r="S60" i="1"/>
  <c r="S732" i="1"/>
  <c r="S627" i="1"/>
  <c r="S114" i="1"/>
  <c r="S773" i="1"/>
  <c r="S43" i="1"/>
  <c r="S953" i="1"/>
  <c r="S255" i="1"/>
  <c r="S941" i="1"/>
  <c r="S857" i="1"/>
  <c r="S612" i="1"/>
  <c r="S260" i="1"/>
  <c r="S410" i="1"/>
  <c r="S361" i="1"/>
  <c r="S382" i="1"/>
  <c r="S207" i="1"/>
  <c r="S855" i="1"/>
  <c r="S6" i="1"/>
  <c r="S502" i="1"/>
  <c r="S871" i="1"/>
  <c r="S923" i="1"/>
  <c r="S159" i="1"/>
  <c r="S679" i="1"/>
  <c r="S568" i="1"/>
  <c r="S737" i="1"/>
  <c r="S915" i="1"/>
  <c r="S529" i="1"/>
  <c r="S78" i="1"/>
  <c r="S343" i="1"/>
  <c r="S620" i="1"/>
  <c r="S986" i="1"/>
  <c r="S744" i="1"/>
  <c r="S826" i="1"/>
  <c r="S863" i="1"/>
  <c r="S889" i="1"/>
  <c r="S691" i="1"/>
  <c r="S880" i="1"/>
  <c r="S154" i="1"/>
  <c r="S763" i="1"/>
  <c r="S104" i="1"/>
  <c r="S31" i="1"/>
  <c r="S396" i="1"/>
  <c r="S530" i="1"/>
  <c r="S338" i="1"/>
  <c r="S442" i="1"/>
  <c r="S475" i="1"/>
  <c r="S576" i="1"/>
  <c r="S534" i="1"/>
  <c r="S368" i="1"/>
  <c r="S162" i="1"/>
  <c r="S999" i="1"/>
  <c r="S806" i="1"/>
  <c r="S247" i="1"/>
  <c r="S282" i="1"/>
  <c r="S585" i="1"/>
  <c r="S112" i="1"/>
  <c r="S148" i="1"/>
  <c r="S814" i="1"/>
  <c r="S168" i="1"/>
  <c r="S920" i="1"/>
  <c r="S404" i="1"/>
  <c r="S163" i="1"/>
  <c r="R394" i="1"/>
  <c r="R592" i="1"/>
  <c r="R68" i="1"/>
  <c r="R740" i="1"/>
  <c r="R607" i="1"/>
  <c r="R942" i="1"/>
  <c r="R921" i="1"/>
  <c r="R717" i="1"/>
  <c r="R61" i="1"/>
  <c r="R439" i="1"/>
  <c r="R447" i="1"/>
  <c r="R835" i="1"/>
  <c r="R688" i="1"/>
  <c r="R697" i="1"/>
  <c r="R91" i="1"/>
  <c r="R926" i="1"/>
  <c r="R987" i="1"/>
  <c r="R801" i="1"/>
  <c r="R565" i="1"/>
  <c r="R109" i="1"/>
  <c r="R92" i="1"/>
  <c r="R778" i="1"/>
  <c r="R710" i="1"/>
  <c r="R1000" i="1"/>
  <c r="R70" i="1"/>
  <c r="R283" i="1"/>
  <c r="R949" i="1"/>
  <c r="R418" i="1"/>
  <c r="R381" i="1"/>
  <c r="R864" i="1"/>
  <c r="R210" i="1"/>
  <c r="R123" i="1"/>
  <c r="R746" i="1"/>
  <c r="R237" i="1"/>
  <c r="R266" i="1"/>
  <c r="R369" i="1"/>
  <c r="R333" i="1"/>
  <c r="R881" i="1"/>
  <c r="R692" i="1"/>
  <c r="R476" i="1"/>
  <c r="R825" i="1"/>
  <c r="R246" i="1"/>
  <c r="R135" i="1"/>
  <c r="R399" i="1"/>
  <c r="R821" i="1"/>
  <c r="R910" i="1"/>
  <c r="R664" i="1"/>
  <c r="R666" i="1"/>
  <c r="R982" i="1"/>
  <c r="R25" i="1"/>
  <c r="R848" i="1"/>
  <c r="R184" i="1"/>
  <c r="R422" i="1"/>
  <c r="R273" i="1"/>
  <c r="R458" i="1"/>
  <c r="R931" i="1"/>
  <c r="R97" i="1"/>
  <c r="R841" i="1"/>
  <c r="R151" i="1"/>
  <c r="R877" i="1"/>
  <c r="R655" i="1"/>
  <c r="R531" i="1"/>
  <c r="R667" i="1"/>
  <c r="R883" i="1"/>
  <c r="R642" i="1"/>
  <c r="R621" i="1"/>
  <c r="R324" i="1"/>
  <c r="R477" i="1"/>
  <c r="R702" i="1"/>
  <c r="R957" i="1"/>
  <c r="R62" i="1"/>
  <c r="R423" i="1"/>
  <c r="R785" i="1"/>
  <c r="R155" i="1"/>
  <c r="R191" i="1"/>
  <c r="R197" i="1"/>
  <c r="R480" i="1"/>
  <c r="R79" i="1"/>
  <c r="R375" i="1"/>
  <c r="R936" i="1"/>
  <c r="R757" i="1"/>
  <c r="R408" i="1"/>
  <c r="R994" i="1"/>
  <c r="R916" i="1"/>
  <c r="R511" i="1"/>
  <c r="R415" i="1"/>
  <c r="R668" i="1"/>
  <c r="R426" i="1"/>
  <c r="R32" i="1"/>
  <c r="R899" i="1"/>
  <c r="R98" i="1"/>
  <c r="R512" i="1"/>
  <c r="R320" i="1"/>
  <c r="R497" i="1"/>
  <c r="R270" i="1"/>
  <c r="R459" i="1"/>
  <c r="R924" i="1"/>
  <c r="R771" i="1"/>
  <c r="R950" i="1"/>
  <c r="R669" i="1"/>
  <c r="R752" i="1"/>
  <c r="R712" i="1"/>
  <c r="R443" i="1"/>
  <c r="R513" i="1"/>
  <c r="R478" i="1"/>
  <c r="R116" i="1"/>
  <c r="R927" i="1"/>
  <c r="R894" i="1"/>
  <c r="R727" i="1"/>
  <c r="R882" i="1"/>
  <c r="R348" i="1"/>
  <c r="R303" i="1"/>
  <c r="R973" i="1"/>
  <c r="R774" i="1"/>
  <c r="R383" i="1"/>
  <c r="R145" i="1"/>
  <c r="R409" i="1"/>
  <c r="R558" i="1"/>
  <c r="R228" i="1"/>
  <c r="R321" i="1"/>
  <c r="R786" i="1"/>
  <c r="R741" i="1"/>
  <c r="R753" i="1"/>
  <c r="R356" i="1"/>
  <c r="R24" i="1"/>
  <c r="R827" i="1"/>
  <c r="R723" i="1"/>
  <c r="R416" i="1"/>
  <c r="R468" i="1"/>
  <c r="R602" i="1"/>
  <c r="R828" i="1"/>
  <c r="R110" i="1"/>
  <c r="R181" i="1"/>
  <c r="R572" i="1"/>
  <c r="R50" i="1"/>
  <c r="R703" i="1"/>
  <c r="R538" i="1"/>
  <c r="R869" i="1"/>
  <c r="R596" i="1"/>
  <c r="R339" i="1"/>
  <c r="R603" i="1"/>
  <c r="R256" i="1"/>
  <c r="R831" i="1"/>
  <c r="R989" i="1"/>
  <c r="R822" i="1"/>
  <c r="R836" i="1"/>
  <c r="R684" i="1"/>
  <c r="R775" i="1"/>
  <c r="R329" i="1"/>
  <c r="R685" i="1"/>
  <c r="R925" i="1"/>
  <c r="R990" i="1"/>
  <c r="R126" i="1"/>
  <c r="R713" i="1"/>
  <c r="R71" i="1"/>
  <c r="R917" i="1"/>
  <c r="R507" i="1"/>
  <c r="R966" i="1"/>
  <c r="R304" i="1"/>
  <c r="R647" i="1"/>
  <c r="R683" i="1"/>
  <c r="R251" i="1"/>
  <c r="R371" i="1"/>
  <c r="R205" i="1"/>
  <c r="R807" i="1"/>
  <c r="R791" i="1"/>
  <c r="R16" i="1"/>
  <c r="R550" i="1"/>
  <c r="R284" i="1"/>
  <c r="R928" i="1"/>
  <c r="R802" i="1"/>
  <c r="R173" i="1"/>
  <c r="R59" i="1"/>
  <c r="R711" i="1"/>
  <c r="R983" i="1"/>
  <c r="R352" i="1"/>
  <c r="R622" i="1"/>
  <c r="R779" i="1"/>
  <c r="R977" i="1"/>
  <c r="R389" i="1"/>
  <c r="R30" i="1"/>
  <c r="R390" i="1"/>
  <c r="R995" i="1"/>
  <c r="R316" i="1"/>
  <c r="R492" i="1"/>
  <c r="R74" i="1"/>
  <c r="R849" i="1"/>
  <c r="R617" i="1"/>
  <c r="R539" i="1"/>
  <c r="R730" i="1"/>
  <c r="R242" i="1"/>
  <c r="R344" i="1"/>
  <c r="R599" i="1"/>
  <c r="R322" i="1"/>
  <c r="R879" i="1"/>
  <c r="R759" i="1"/>
  <c r="R508" i="1"/>
  <c r="R485" i="1"/>
  <c r="R890" i="1"/>
  <c r="R285" i="1"/>
  <c r="R764" i="1"/>
  <c r="R248" i="1"/>
  <c r="R169" i="1"/>
  <c r="R577" i="1"/>
  <c r="R327" i="1"/>
  <c r="R267" i="1"/>
  <c r="R435" i="1"/>
  <c r="R780" i="1"/>
  <c r="R532" i="1"/>
  <c r="R527" i="1"/>
  <c r="R37" i="1"/>
  <c r="R183" i="1"/>
  <c r="R735" i="1"/>
  <c r="R481" i="1"/>
  <c r="R540" i="1"/>
  <c r="R401" i="1"/>
  <c r="R309" i="1"/>
  <c r="R157" i="1"/>
  <c r="R431" i="1"/>
  <c r="R644" i="1"/>
  <c r="R376" i="1"/>
  <c r="R101" i="1"/>
  <c r="R608" i="1"/>
  <c r="R364" i="1"/>
  <c r="R755" i="1"/>
  <c r="R812" i="1"/>
  <c r="R411" i="1"/>
  <c r="R943" i="1"/>
  <c r="R152" i="1"/>
  <c r="R235" i="1"/>
  <c r="R115" i="1"/>
  <c r="R452" i="1"/>
  <c r="R305" i="1"/>
  <c r="R971" i="1"/>
  <c r="R689" i="1"/>
  <c r="R837" i="1"/>
  <c r="R161" i="1"/>
  <c r="R405" i="1"/>
  <c r="R634" i="1"/>
  <c r="R632" i="1"/>
  <c r="R26" i="1"/>
  <c r="R918" i="1"/>
  <c r="R224" i="1"/>
  <c r="R588" i="1"/>
  <c r="R729" i="1"/>
  <c r="R756" i="1"/>
  <c r="R80" i="1"/>
  <c r="R947" i="1"/>
  <c r="R707" i="1"/>
  <c r="R955" i="1"/>
  <c r="R290" i="1"/>
  <c r="R65" i="1"/>
  <c r="R479" i="1"/>
  <c r="R748" i="1"/>
  <c r="R41" i="1"/>
  <c r="R143" i="1"/>
  <c r="R637" i="1"/>
  <c r="R561" i="1"/>
  <c r="R514" i="1"/>
  <c r="R787" i="1"/>
  <c r="R198" i="1"/>
  <c r="R29" i="1"/>
  <c r="R906" i="1"/>
  <c r="R731" i="1"/>
  <c r="R900" i="1"/>
  <c r="R897" i="1"/>
  <c r="R698" i="1"/>
  <c r="R291" i="1"/>
  <c r="R725" i="1"/>
  <c r="R436" i="1"/>
  <c r="R425" i="1"/>
  <c r="R297" i="1"/>
  <c r="R384" i="1"/>
  <c r="R310" i="1"/>
  <c r="R349" i="1"/>
  <c r="R350" i="1"/>
  <c r="R257" i="1"/>
  <c r="R781" i="1"/>
  <c r="R645" i="1"/>
  <c r="R489" i="1"/>
  <c r="R945" i="1"/>
  <c r="R99" i="1"/>
  <c r="R437" i="1"/>
  <c r="R875" i="1"/>
  <c r="R833" i="1"/>
  <c r="R412" i="1"/>
  <c r="R895" i="1"/>
  <c r="R726" i="1"/>
  <c r="R903" i="1"/>
  <c r="R54" i="1"/>
  <c r="R448" i="1"/>
  <c r="R503" i="1"/>
  <c r="R751" i="1"/>
  <c r="R815" i="1"/>
  <c r="R754" i="1"/>
  <c r="R417" i="1"/>
  <c r="R170" i="1"/>
  <c r="R317" i="1"/>
  <c r="R650" i="1"/>
  <c r="R365" i="1"/>
  <c r="R580" i="1"/>
  <c r="R42" i="1"/>
  <c r="R528" i="1"/>
  <c r="R694" i="1"/>
  <c r="R129" i="1"/>
  <c r="R252" i="1"/>
  <c r="R323" i="1"/>
  <c r="R719" i="1"/>
  <c r="R961" i="1"/>
  <c r="R884" i="1"/>
  <c r="R559" i="1"/>
  <c r="R372" i="1"/>
  <c r="R932" i="1"/>
  <c r="R956" i="1"/>
  <c r="R334" i="1"/>
  <c r="R724" i="1"/>
  <c r="R318" i="1"/>
  <c r="R515" i="1"/>
  <c r="R427" i="1"/>
  <c r="R551" i="1"/>
  <c r="R63" i="1"/>
  <c r="R892" i="1"/>
  <c r="R19" i="1"/>
  <c r="R225" i="1"/>
  <c r="R93" i="1"/>
  <c r="R366" i="1"/>
  <c r="R306" i="1"/>
  <c r="R298" i="1"/>
  <c r="R562" i="1"/>
  <c r="R82" i="1"/>
  <c r="R146" i="1"/>
  <c r="R482" i="1"/>
  <c r="R582" i="1"/>
  <c r="R39" i="1"/>
  <c r="R663" i="1"/>
  <c r="R933" i="1"/>
  <c r="R700" i="1"/>
  <c r="R708" i="1"/>
  <c r="R12" i="1"/>
  <c r="R419" i="1"/>
  <c r="R850" i="1"/>
  <c r="R788" i="1"/>
  <c r="R750" i="1"/>
  <c r="R521" i="1"/>
  <c r="R253" i="1"/>
  <c r="R829" i="1"/>
  <c r="R268" i="1"/>
  <c r="R201" i="1"/>
  <c r="R261" i="1"/>
  <c r="R147" i="1"/>
  <c r="R798" i="1"/>
  <c r="R598" i="1"/>
  <c r="R453" i="1"/>
  <c r="R49" i="1"/>
  <c r="R211" i="1"/>
  <c r="R87" i="1"/>
  <c r="R844" i="1"/>
  <c r="R391" i="1"/>
  <c r="R830" i="1"/>
  <c r="R195" i="1"/>
  <c r="R299" i="1"/>
  <c r="R680" i="1"/>
  <c r="R834" i="1"/>
  <c r="R544" i="1"/>
  <c r="R325" i="1"/>
  <c r="R269" i="1"/>
  <c r="R623" i="1"/>
  <c r="R413" i="1"/>
  <c r="R962" i="1"/>
  <c r="R20" i="1"/>
  <c r="R633" i="1"/>
  <c r="R846" i="1"/>
  <c r="R653" i="1"/>
  <c r="R589" i="1"/>
  <c r="R922" i="1"/>
  <c r="R904" i="1"/>
  <c r="R127" i="1"/>
  <c r="R545" i="1"/>
  <c r="R69" i="1"/>
  <c r="R120" i="1"/>
  <c r="R958" i="1"/>
  <c r="R887" i="1"/>
  <c r="R816" i="1"/>
  <c r="R888" i="1"/>
  <c r="R174" i="1"/>
  <c r="R340" i="1"/>
  <c r="R765" i="1"/>
  <c r="R905" i="1"/>
  <c r="R217" i="1"/>
  <c r="R795" i="1"/>
  <c r="R493" i="1"/>
  <c r="R406" i="1"/>
  <c r="R896" i="1"/>
  <c r="R353" i="1"/>
  <c r="R651" i="1"/>
  <c r="R609" i="1"/>
  <c r="R4" i="1"/>
  <c r="R177" i="1"/>
  <c r="R72" i="1"/>
  <c r="R946" i="1"/>
  <c r="R8" i="1"/>
  <c r="R279" i="1"/>
  <c r="R319" i="1"/>
  <c r="R178" i="1"/>
  <c r="R357" i="1"/>
  <c r="R18" i="1"/>
  <c r="R208" i="1"/>
  <c r="R776" i="1"/>
  <c r="R424" i="1"/>
  <c r="R578" i="1"/>
  <c r="R276" i="1"/>
  <c r="R681" i="1"/>
  <c r="R182" i="1"/>
  <c r="R292" i="1"/>
  <c r="R938" i="1"/>
  <c r="R817" i="1"/>
  <c r="R555" i="1"/>
  <c r="R670" i="1"/>
  <c r="R221" i="1"/>
  <c r="R963" i="1"/>
  <c r="R552" i="1"/>
  <c r="R851" i="1"/>
  <c r="R136" i="1"/>
  <c r="R222" i="1"/>
  <c r="R658" i="1"/>
  <c r="R792" i="1"/>
  <c r="R199" i="1"/>
  <c r="R189" i="1"/>
  <c r="R465" i="1"/>
  <c r="R738" i="1"/>
  <c r="R171" i="1"/>
  <c r="R654" i="1"/>
  <c r="R15" i="1"/>
  <c r="R185" i="1"/>
  <c r="R796" i="1"/>
  <c r="R236" i="1"/>
  <c r="R302" i="1"/>
  <c r="R573" i="1"/>
  <c r="R522" i="1"/>
  <c r="R638" i="1"/>
  <c r="R782" i="1"/>
  <c r="R581" i="1"/>
  <c r="R230" i="1"/>
  <c r="R767" i="1"/>
  <c r="R604" i="1"/>
  <c r="R845" i="1"/>
  <c r="R373" i="1"/>
  <c r="R231" i="1"/>
  <c r="R190" i="1"/>
  <c r="R618" i="1"/>
  <c r="R103" i="1"/>
  <c r="R280" i="1"/>
  <c r="R444" i="1"/>
  <c r="R742" i="1"/>
  <c r="R695" i="1"/>
  <c r="R3" i="1"/>
  <c r="R11" i="1"/>
  <c r="R53" i="1"/>
  <c r="R196" i="1"/>
  <c r="R535" i="1"/>
  <c r="R22" i="1"/>
  <c r="R574" i="1"/>
  <c r="R967" i="1"/>
  <c r="R509" i="1"/>
  <c r="R823" i="1"/>
  <c r="R23" i="1"/>
  <c r="R523" i="1"/>
  <c r="R48" i="1"/>
  <c r="R804" i="1"/>
  <c r="R239" i="1"/>
  <c r="R728" i="1"/>
  <c r="R469" i="1"/>
  <c r="R212" i="1"/>
  <c r="R117" i="1"/>
  <c r="R121" i="1"/>
  <c r="R758" i="1"/>
  <c r="R597" i="1"/>
  <c r="R233" i="1"/>
  <c r="R172" i="1"/>
  <c r="R330" i="1"/>
  <c r="R335" i="1"/>
  <c r="R470" i="1"/>
  <c r="R395" i="1"/>
  <c r="R466" i="1"/>
  <c r="R541" i="1"/>
  <c r="R504" i="1"/>
  <c r="R648" i="1"/>
  <c r="R274" i="1"/>
  <c r="R124" i="1"/>
  <c r="R179" i="1"/>
  <c r="R467" i="1"/>
  <c r="R75" i="1"/>
  <c r="R718" i="1"/>
  <c r="R998" i="1"/>
  <c r="R872" i="1"/>
  <c r="R249" i="1"/>
  <c r="R536" i="1"/>
  <c r="R747" i="1"/>
  <c r="R777" i="1"/>
  <c r="R766" i="1"/>
  <c r="R494" i="1"/>
  <c r="R254" i="1"/>
  <c r="R46" i="1"/>
  <c r="R553" i="1"/>
  <c r="R105" i="1"/>
  <c r="R277" i="1"/>
  <c r="R808" i="1"/>
  <c r="R483" i="1"/>
  <c r="R586" i="1"/>
  <c r="R783" i="1"/>
  <c r="R978" i="1"/>
  <c r="R286" i="1"/>
  <c r="R673" i="1"/>
  <c r="R772" i="1"/>
  <c r="R605" i="1"/>
  <c r="R546" i="1"/>
  <c r="R293" i="1"/>
  <c r="R35" i="1"/>
  <c r="R486" i="1"/>
  <c r="R238" i="1"/>
  <c r="R213" i="1"/>
  <c r="R307" i="1"/>
  <c r="R125" i="1"/>
  <c r="R149" i="1"/>
  <c r="R287" i="1"/>
  <c r="R460" i="1"/>
  <c r="R749" i="1"/>
  <c r="R471" i="1"/>
  <c r="R440" i="1"/>
  <c r="R137" i="1"/>
  <c r="R616" i="1"/>
  <c r="R429" i="1"/>
  <c r="R583" i="1"/>
  <c r="R784" i="1"/>
  <c r="R141" i="1"/>
  <c r="R14" i="1"/>
  <c r="R57" i="1"/>
  <c r="R968" i="1"/>
  <c r="R964" i="1"/>
  <c r="R354" i="1"/>
  <c r="R336" i="1"/>
  <c r="R278" i="1"/>
  <c r="R385" i="1"/>
  <c r="R659" i="1"/>
  <c r="R407" i="1"/>
  <c r="R649" i="1"/>
  <c r="R271" i="1"/>
  <c r="R639" i="1"/>
  <c r="R264" i="1"/>
  <c r="R464" i="1"/>
  <c r="R709" i="1"/>
  <c r="R156" i="1"/>
  <c r="R969" i="1"/>
  <c r="R432" i="1"/>
  <c r="R674" i="1"/>
  <c r="R73" i="1"/>
  <c r="R556" i="1"/>
  <c r="R988" i="1"/>
  <c r="R487" i="1"/>
  <c r="R600" i="1"/>
  <c r="R36" i="1"/>
  <c r="R640" i="1"/>
  <c r="R355" i="1"/>
  <c r="R646" i="1"/>
  <c r="R133" i="1"/>
  <c r="R76" i="1"/>
  <c r="R386" i="1"/>
  <c r="R842" i="1"/>
  <c r="R878" i="1"/>
  <c r="R885" i="1"/>
  <c r="R472" i="1"/>
  <c r="R64" i="1"/>
  <c r="R288" i="1"/>
  <c r="R911" i="1"/>
  <c r="R175" i="1"/>
  <c r="R275" i="1"/>
  <c r="R226" i="1"/>
  <c r="R209" i="1"/>
  <c r="R974" i="1"/>
  <c r="R818" i="1"/>
  <c r="R94" i="1"/>
  <c r="R428" i="1"/>
  <c r="R970" i="1"/>
  <c r="R220" i="1"/>
  <c r="R699" i="1"/>
  <c r="R886" i="1"/>
  <c r="R313" i="1"/>
  <c r="R180" i="1"/>
  <c r="R876" i="1"/>
  <c r="R524" i="1"/>
  <c r="R215" i="1"/>
  <c r="R693" i="1"/>
  <c r="R119" i="1"/>
  <c r="R675" i="1"/>
  <c r="R984" i="1"/>
  <c r="R613" i="1"/>
  <c r="R107" i="1"/>
  <c r="R891" i="1"/>
  <c r="R614" i="1"/>
  <c r="R232" i="1"/>
  <c r="R176" i="1"/>
  <c r="R445" i="1"/>
  <c r="R187" i="1"/>
  <c r="R542" i="1"/>
  <c r="R852" i="1"/>
  <c r="R696" i="1"/>
  <c r="R420" i="1"/>
  <c r="R337" i="1"/>
  <c r="R108" i="1"/>
  <c r="R88" i="1"/>
  <c r="R167" i="1"/>
  <c r="R370" i="1"/>
  <c r="R379" i="1"/>
  <c r="R516" i="1"/>
  <c r="R498" i="1"/>
  <c r="R387" i="1"/>
  <c r="R345" i="1"/>
  <c r="R861" i="1"/>
  <c r="R227" i="1"/>
  <c r="R954" i="1"/>
  <c r="R499" i="1"/>
  <c r="R557" i="1"/>
  <c r="R853" i="1"/>
  <c r="R716" i="1"/>
  <c r="R294" i="1"/>
  <c r="R996" i="1"/>
  <c r="R768" i="1"/>
  <c r="R402" i="1"/>
  <c r="R656" i="1"/>
  <c r="R392" i="1"/>
  <c r="R690" i="1"/>
  <c r="R517" i="1"/>
  <c r="R873" i="1"/>
  <c r="R362" i="1"/>
  <c r="R789" i="1"/>
  <c r="R769" i="1"/>
  <c r="R100" i="1"/>
  <c r="R388" i="1"/>
  <c r="R81" i="1"/>
  <c r="R898" i="1"/>
  <c r="R714" i="1"/>
  <c r="R919" i="1"/>
  <c r="R351" i="1"/>
  <c r="R979" i="1"/>
  <c r="R21" i="1"/>
  <c r="R90" i="1"/>
  <c r="R682" i="1"/>
  <c r="R505" i="1"/>
  <c r="R243" i="1"/>
  <c r="R166" i="1"/>
  <c r="R85" i="1"/>
  <c r="R203" i="1"/>
  <c r="R590" i="1"/>
  <c r="R934" i="1"/>
  <c r="R139" i="1"/>
  <c r="R244" i="1"/>
  <c r="R67" i="1"/>
  <c r="R206" i="1"/>
  <c r="R328" i="1"/>
  <c r="R686" i="1"/>
  <c r="R295" i="1"/>
  <c r="R289" i="1"/>
  <c r="R518" i="1"/>
  <c r="R912" i="1"/>
  <c r="R810" i="1"/>
  <c r="R134" i="1"/>
  <c r="R461" i="1"/>
  <c r="R454" i="1"/>
  <c r="R743" i="1"/>
  <c r="R813" i="1"/>
  <c r="R164" i="1"/>
  <c r="R843" i="1"/>
  <c r="R433" i="1"/>
  <c r="R245" i="1"/>
  <c r="R462" i="1"/>
  <c r="R870" i="1"/>
  <c r="R250" i="1"/>
  <c r="R991" i="1"/>
  <c r="R760" i="1"/>
  <c r="R701" i="1"/>
  <c r="R314" i="1"/>
  <c r="R797" i="1"/>
  <c r="R55" i="1"/>
  <c r="R144" i="1"/>
  <c r="R569" i="1"/>
  <c r="R281" i="1"/>
  <c r="R358" i="1"/>
  <c r="R819" i="1"/>
  <c r="R615" i="1"/>
  <c r="R258" i="1"/>
  <c r="R397" i="1"/>
  <c r="R907" i="1"/>
  <c r="R414" i="1"/>
  <c r="R858" i="1"/>
  <c r="R799" i="1"/>
  <c r="R611" i="1"/>
  <c r="R441" i="1"/>
  <c r="R27" i="1"/>
  <c r="R570" i="1"/>
  <c r="R83" i="1"/>
  <c r="R495" i="1"/>
  <c r="R643" i="1"/>
  <c r="R160" i="1"/>
  <c r="R800" i="1"/>
  <c r="R111" i="1"/>
  <c r="R359" i="1"/>
  <c r="R914" i="1"/>
  <c r="R311" i="1"/>
  <c r="R455" i="1"/>
  <c r="R606" i="1"/>
  <c r="R948" i="1"/>
  <c r="R584" i="1"/>
  <c r="R7" i="1"/>
  <c r="R380" i="1"/>
  <c r="R38" i="1"/>
  <c r="R262" i="1"/>
  <c r="R1001" i="1"/>
  <c r="R745" i="1"/>
  <c r="R992" i="1"/>
  <c r="R624" i="1"/>
  <c r="R997" i="1"/>
  <c r="R543" i="1"/>
  <c r="R720" i="1"/>
  <c r="R430" i="1"/>
  <c r="R438" i="1"/>
  <c r="R579" i="1"/>
  <c r="R315" i="1"/>
  <c r="R153" i="1"/>
  <c r="R300" i="1"/>
  <c r="R363" i="1"/>
  <c r="R301" i="1"/>
  <c r="R456" i="1"/>
  <c r="R150" i="1"/>
  <c r="R610" i="1"/>
  <c r="R547" i="1"/>
  <c r="R360" i="1"/>
  <c r="R601" i="1"/>
  <c r="R128" i="1"/>
  <c r="R398" i="1"/>
  <c r="R865" i="1"/>
  <c r="R34" i="1"/>
  <c r="R838" i="1"/>
  <c r="R803" i="1"/>
  <c r="R296" i="1"/>
  <c r="R96" i="1"/>
  <c r="R571" i="1"/>
  <c r="R761" i="1"/>
  <c r="R671" i="1"/>
  <c r="R434" i="1"/>
  <c r="R341" i="1"/>
  <c r="R138" i="1"/>
  <c r="R186" i="1"/>
  <c r="R908" i="1"/>
  <c r="R641" i="1"/>
  <c r="R219" i="1"/>
  <c r="R95" i="1"/>
  <c r="R537" i="1"/>
  <c r="R847" i="1"/>
  <c r="R805" i="1"/>
  <c r="R721" i="1"/>
  <c r="R866" i="1"/>
  <c r="R457" i="1"/>
  <c r="R733" i="1"/>
  <c r="R400" i="1"/>
  <c r="R84" i="1"/>
  <c r="R490" i="1"/>
  <c r="R2" i="1"/>
  <c r="R240" i="1"/>
  <c r="R51" i="1"/>
  <c r="R944" i="1"/>
  <c r="R635" i="1"/>
  <c r="R367" i="1"/>
  <c r="R811" i="1"/>
  <c r="R980" i="1"/>
  <c r="R130" i="1"/>
  <c r="R563" i="1"/>
  <c r="R346" i="1"/>
  <c r="R158" i="1"/>
  <c r="R331" i="1"/>
  <c r="R259" i="1"/>
  <c r="R519" i="1"/>
  <c r="R223" i="1"/>
  <c r="R854" i="1"/>
  <c r="R500" i="1"/>
  <c r="R619" i="1"/>
  <c r="R202" i="1"/>
  <c r="R734" i="1"/>
  <c r="R241" i="1"/>
  <c r="R793" i="1"/>
  <c r="R564" i="1"/>
  <c r="R393" i="1"/>
  <c r="R985" i="1"/>
  <c r="R263" i="1"/>
  <c r="R45" i="1"/>
  <c r="R965" i="1"/>
  <c r="R229" i="1"/>
  <c r="R704" i="1"/>
  <c r="R272" i="1"/>
  <c r="R520" i="1"/>
  <c r="R106" i="1"/>
  <c r="R28" i="1"/>
  <c r="R473" i="1"/>
  <c r="R131" i="1"/>
  <c r="R214" i="1"/>
  <c r="R10" i="1"/>
  <c r="R548" i="1"/>
  <c r="R216" i="1"/>
  <c r="R496" i="1"/>
  <c r="R463" i="1"/>
  <c r="R52" i="1"/>
  <c r="R200" i="1"/>
  <c r="R549" i="1"/>
  <c r="R652" i="1"/>
  <c r="R265" i="1"/>
  <c r="R940" i="1"/>
  <c r="R506" i="1"/>
  <c r="R981" i="1"/>
  <c r="R491" i="1"/>
  <c r="R89" i="1"/>
  <c r="R820" i="1"/>
  <c r="R560" i="1"/>
  <c r="R937" i="1"/>
  <c r="R859" i="1"/>
  <c r="R378" i="1"/>
  <c r="R9" i="1"/>
  <c r="R449" i="1"/>
  <c r="R308" i="1"/>
  <c r="R929" i="1"/>
  <c r="R192" i="1"/>
  <c r="R839" i="1"/>
  <c r="R762" i="1"/>
  <c r="R403" i="1"/>
  <c r="R660" i="1"/>
  <c r="R687" i="1"/>
  <c r="R790" i="1"/>
  <c r="R628" i="1"/>
  <c r="R591" i="1"/>
  <c r="R44" i="1"/>
  <c r="R446" i="1"/>
  <c r="R860" i="1"/>
  <c r="R722" i="1"/>
  <c r="R951" i="1"/>
  <c r="R665" i="1"/>
  <c r="R332" i="1"/>
  <c r="R525" i="1"/>
  <c r="R501" i="1"/>
  <c r="R893" i="1"/>
  <c r="R566" i="1"/>
  <c r="R909" i="1"/>
  <c r="R193" i="1"/>
  <c r="R856" i="1"/>
  <c r="R58" i="1"/>
  <c r="R132" i="1"/>
  <c r="R874" i="1"/>
  <c r="R86" i="1"/>
  <c r="R706" i="1"/>
  <c r="R575" i="1"/>
  <c r="R13" i="1"/>
  <c r="R794" i="1"/>
  <c r="R862" i="1"/>
  <c r="R204" i="1"/>
  <c r="R33" i="1"/>
  <c r="R165" i="1"/>
  <c r="R510" i="1"/>
  <c r="R736" i="1"/>
  <c r="R326" i="1"/>
  <c r="R959" i="1"/>
  <c r="R102" i="1"/>
  <c r="R17" i="1"/>
  <c r="R122" i="1"/>
  <c r="R901" i="1"/>
  <c r="R676" i="1"/>
  <c r="R672" i="1"/>
  <c r="R66" i="1"/>
  <c r="R234" i="1"/>
  <c r="R567" i="1"/>
  <c r="R705" i="1"/>
  <c r="R347" i="1"/>
  <c r="R952" i="1"/>
  <c r="R629" i="1"/>
  <c r="R593" i="1"/>
  <c r="R867" i="1"/>
  <c r="R715" i="1"/>
  <c r="R677" i="1"/>
  <c r="R809" i="1"/>
  <c r="R739" i="1"/>
  <c r="R377" i="1"/>
  <c r="R935" i="1"/>
  <c r="R113" i="1"/>
  <c r="R194" i="1"/>
  <c r="R939" i="1"/>
  <c r="R972" i="1"/>
  <c r="R678" i="1"/>
  <c r="R975" i="1"/>
  <c r="R868" i="1"/>
  <c r="R47" i="1"/>
  <c r="R993" i="1"/>
  <c r="R625" i="1"/>
  <c r="R913" i="1"/>
  <c r="R630" i="1"/>
  <c r="R626" i="1"/>
  <c r="R77" i="1"/>
  <c r="R421" i="1"/>
  <c r="R118" i="1"/>
  <c r="R533" i="1"/>
  <c r="R488" i="1"/>
  <c r="R840" i="1"/>
  <c r="R40" i="1"/>
  <c r="R594" i="1"/>
  <c r="R312" i="1"/>
  <c r="R824" i="1"/>
  <c r="R218" i="1"/>
  <c r="R636" i="1"/>
  <c r="R976" i="1"/>
  <c r="R554" i="1"/>
  <c r="R5" i="1"/>
  <c r="R140" i="1"/>
  <c r="R832" i="1"/>
  <c r="R56" i="1"/>
  <c r="R450" i="1"/>
  <c r="R902" i="1"/>
  <c r="R526" i="1"/>
  <c r="R657" i="1"/>
  <c r="R451" i="1"/>
  <c r="R474" i="1"/>
  <c r="R661" i="1"/>
  <c r="R188" i="1"/>
  <c r="R631" i="1"/>
  <c r="R770" i="1"/>
  <c r="R587" i="1"/>
  <c r="R960" i="1"/>
  <c r="R595" i="1"/>
  <c r="R142" i="1"/>
  <c r="R484" i="1"/>
  <c r="R930" i="1"/>
  <c r="R662" i="1"/>
  <c r="R374" i="1"/>
  <c r="R342" i="1"/>
  <c r="R60" i="1"/>
  <c r="R732" i="1"/>
  <c r="R627" i="1"/>
  <c r="R114" i="1"/>
  <c r="R773" i="1"/>
  <c r="R43" i="1"/>
  <c r="R953" i="1"/>
  <c r="R255" i="1"/>
  <c r="R941" i="1"/>
  <c r="R857" i="1"/>
  <c r="R612" i="1"/>
  <c r="R260" i="1"/>
  <c r="R410" i="1"/>
  <c r="R361" i="1"/>
  <c r="R382" i="1"/>
  <c r="R207" i="1"/>
  <c r="R855" i="1"/>
  <c r="R6" i="1"/>
  <c r="R502" i="1"/>
  <c r="R871" i="1"/>
  <c r="R923" i="1"/>
  <c r="R159" i="1"/>
  <c r="R679" i="1"/>
  <c r="R568" i="1"/>
  <c r="R737" i="1"/>
  <c r="R915" i="1"/>
  <c r="R529" i="1"/>
  <c r="R78" i="1"/>
  <c r="R343" i="1"/>
  <c r="R620" i="1"/>
  <c r="R986" i="1"/>
  <c r="R744" i="1"/>
  <c r="R826" i="1"/>
  <c r="R863" i="1"/>
  <c r="R889" i="1"/>
  <c r="R691" i="1"/>
  <c r="R880" i="1"/>
  <c r="R154" i="1"/>
  <c r="R763" i="1"/>
  <c r="R104" i="1"/>
  <c r="R31" i="1"/>
  <c r="R396" i="1"/>
  <c r="R530" i="1"/>
  <c r="R338" i="1"/>
  <c r="R442" i="1"/>
  <c r="R475" i="1"/>
  <c r="R576" i="1"/>
  <c r="R534" i="1"/>
  <c r="R368" i="1"/>
  <c r="R162" i="1"/>
  <c r="R999" i="1"/>
  <c r="R806" i="1"/>
  <c r="R247" i="1"/>
  <c r="R282" i="1"/>
  <c r="R585" i="1"/>
  <c r="R112" i="1"/>
  <c r="R148" i="1"/>
  <c r="R814" i="1"/>
  <c r="R168" i="1"/>
  <c r="R920" i="1"/>
  <c r="R404" i="1"/>
  <c r="R163" i="1"/>
  <c r="C394" i="1"/>
  <c r="C592" i="1"/>
  <c r="C68" i="1"/>
  <c r="C740" i="1"/>
  <c r="C607" i="1"/>
  <c r="C942" i="1"/>
  <c r="C921" i="1"/>
  <c r="C717" i="1"/>
  <c r="C61" i="1"/>
  <c r="C439" i="1"/>
  <c r="C447" i="1"/>
  <c r="C835" i="1"/>
  <c r="C688" i="1"/>
  <c r="C697" i="1"/>
  <c r="C91" i="1"/>
  <c r="C926" i="1"/>
  <c r="C987" i="1"/>
  <c r="C801" i="1"/>
  <c r="C565" i="1"/>
  <c r="C109" i="1"/>
  <c r="C92" i="1"/>
  <c r="C778" i="1"/>
  <c r="C710" i="1"/>
  <c r="C1000" i="1"/>
  <c r="C70" i="1"/>
  <c r="C283" i="1"/>
  <c r="C949" i="1"/>
  <c r="C418" i="1"/>
  <c r="C381" i="1"/>
  <c r="C864" i="1"/>
  <c r="C210" i="1"/>
  <c r="C123" i="1"/>
  <c r="C746" i="1"/>
  <c r="C237" i="1"/>
  <c r="C266" i="1"/>
  <c r="C369" i="1"/>
  <c r="C333" i="1"/>
  <c r="C881" i="1"/>
  <c r="C692" i="1"/>
  <c r="C476" i="1"/>
  <c r="C825" i="1"/>
  <c r="C246" i="1"/>
  <c r="C135" i="1"/>
  <c r="C399" i="1"/>
  <c r="C821" i="1"/>
  <c r="C910" i="1"/>
  <c r="C664" i="1"/>
  <c r="C666" i="1"/>
  <c r="C982" i="1"/>
  <c r="C25" i="1"/>
  <c r="C848" i="1"/>
  <c r="C184" i="1"/>
  <c r="C422" i="1"/>
  <c r="C273" i="1"/>
  <c r="C458" i="1"/>
  <c r="C931" i="1"/>
  <c r="C97" i="1"/>
  <c r="C841" i="1"/>
  <c r="C151" i="1"/>
  <c r="C877" i="1"/>
  <c r="C655" i="1"/>
  <c r="C531" i="1"/>
  <c r="C667" i="1"/>
  <c r="C883" i="1"/>
  <c r="C642" i="1"/>
  <c r="C621" i="1"/>
  <c r="C324" i="1"/>
  <c r="C477" i="1"/>
  <c r="C702" i="1"/>
  <c r="C957" i="1"/>
  <c r="C62" i="1"/>
  <c r="C423" i="1"/>
  <c r="C785" i="1"/>
  <c r="C155" i="1"/>
  <c r="C191" i="1"/>
  <c r="C197" i="1"/>
  <c r="C480" i="1"/>
  <c r="C79" i="1"/>
  <c r="C375" i="1"/>
  <c r="C936" i="1"/>
  <c r="C757" i="1"/>
  <c r="C408" i="1"/>
  <c r="C994" i="1"/>
  <c r="C916" i="1"/>
  <c r="C511" i="1"/>
  <c r="C415" i="1"/>
  <c r="C668" i="1"/>
  <c r="C426" i="1"/>
  <c r="C32" i="1"/>
  <c r="C899" i="1"/>
  <c r="C98" i="1"/>
  <c r="C512" i="1"/>
  <c r="C320" i="1"/>
  <c r="C497" i="1"/>
  <c r="C270" i="1"/>
  <c r="C459" i="1"/>
  <c r="C924" i="1"/>
  <c r="C771" i="1"/>
  <c r="C950" i="1"/>
  <c r="C669" i="1"/>
  <c r="C752" i="1"/>
  <c r="C712" i="1"/>
  <c r="C443" i="1"/>
  <c r="C513" i="1"/>
  <c r="C478" i="1"/>
  <c r="C116" i="1"/>
  <c r="C927" i="1"/>
  <c r="C894" i="1"/>
  <c r="C727" i="1"/>
  <c r="C882" i="1"/>
  <c r="C348" i="1"/>
  <c r="C303" i="1"/>
  <c r="C973" i="1"/>
  <c r="C774" i="1"/>
  <c r="C383" i="1"/>
  <c r="C145" i="1"/>
  <c r="C409" i="1"/>
  <c r="C558" i="1"/>
  <c r="C228" i="1"/>
  <c r="C321" i="1"/>
  <c r="C786" i="1"/>
  <c r="C741" i="1"/>
  <c r="C753" i="1"/>
  <c r="C356" i="1"/>
  <c r="C24" i="1"/>
  <c r="C827" i="1"/>
  <c r="C723" i="1"/>
  <c r="C416" i="1"/>
  <c r="C468" i="1"/>
  <c r="C602" i="1"/>
  <c r="C828" i="1"/>
  <c r="C110" i="1"/>
  <c r="C181" i="1"/>
  <c r="C572" i="1"/>
  <c r="C50" i="1"/>
  <c r="C703" i="1"/>
  <c r="C538" i="1"/>
  <c r="C869" i="1"/>
  <c r="C596" i="1"/>
  <c r="C339" i="1"/>
  <c r="C603" i="1"/>
  <c r="C256" i="1"/>
  <c r="C831" i="1"/>
  <c r="C989" i="1"/>
  <c r="C822" i="1"/>
  <c r="C836" i="1"/>
  <c r="C684" i="1"/>
  <c r="C775" i="1"/>
  <c r="C329" i="1"/>
  <c r="C685" i="1"/>
  <c r="C925" i="1"/>
  <c r="C990" i="1"/>
  <c r="C126" i="1"/>
  <c r="C713" i="1"/>
  <c r="C71" i="1"/>
  <c r="C917" i="1"/>
  <c r="C507" i="1"/>
  <c r="C966" i="1"/>
  <c r="C304" i="1"/>
  <c r="C647" i="1"/>
  <c r="C683" i="1"/>
  <c r="C251" i="1"/>
  <c r="C371" i="1"/>
  <c r="C205" i="1"/>
  <c r="C807" i="1"/>
  <c r="C791" i="1"/>
  <c r="C16" i="1"/>
  <c r="C550" i="1"/>
  <c r="C284" i="1"/>
  <c r="C928" i="1"/>
  <c r="C802" i="1"/>
  <c r="C173" i="1"/>
  <c r="C59" i="1"/>
  <c r="C711" i="1"/>
  <c r="C983" i="1"/>
  <c r="C352" i="1"/>
  <c r="C622" i="1"/>
  <c r="C779" i="1"/>
  <c r="C977" i="1"/>
  <c r="C389" i="1"/>
  <c r="C30" i="1"/>
  <c r="C390" i="1"/>
  <c r="C995" i="1"/>
  <c r="C316" i="1"/>
  <c r="C492" i="1"/>
  <c r="C74" i="1"/>
  <c r="C849" i="1"/>
  <c r="C617" i="1"/>
  <c r="C539" i="1"/>
  <c r="C730" i="1"/>
  <c r="C242" i="1"/>
  <c r="C344" i="1"/>
  <c r="C599" i="1"/>
  <c r="C322" i="1"/>
  <c r="C879" i="1"/>
  <c r="C759" i="1"/>
  <c r="C508" i="1"/>
  <c r="C485" i="1"/>
  <c r="C890" i="1"/>
  <c r="C285" i="1"/>
  <c r="C764" i="1"/>
  <c r="C248" i="1"/>
  <c r="C169" i="1"/>
  <c r="C577" i="1"/>
  <c r="C327" i="1"/>
  <c r="C267" i="1"/>
  <c r="C435" i="1"/>
  <c r="C780" i="1"/>
  <c r="C532" i="1"/>
  <c r="C527" i="1"/>
  <c r="C37" i="1"/>
  <c r="C183" i="1"/>
  <c r="C735" i="1"/>
  <c r="C481" i="1"/>
  <c r="C540" i="1"/>
  <c r="C401" i="1"/>
  <c r="C309" i="1"/>
  <c r="C157" i="1"/>
  <c r="C431" i="1"/>
  <c r="C644" i="1"/>
  <c r="C376" i="1"/>
  <c r="C101" i="1"/>
  <c r="C608" i="1"/>
  <c r="C364" i="1"/>
  <c r="C755" i="1"/>
  <c r="C812" i="1"/>
  <c r="C411" i="1"/>
  <c r="C943" i="1"/>
  <c r="C152" i="1"/>
  <c r="C235" i="1"/>
  <c r="C115" i="1"/>
  <c r="C452" i="1"/>
  <c r="C305" i="1"/>
  <c r="C971" i="1"/>
  <c r="C689" i="1"/>
  <c r="C837" i="1"/>
  <c r="C161" i="1"/>
  <c r="C405" i="1"/>
  <c r="C634" i="1"/>
  <c r="C632" i="1"/>
  <c r="C26" i="1"/>
  <c r="C918" i="1"/>
  <c r="C224" i="1"/>
  <c r="C588" i="1"/>
  <c r="C729" i="1"/>
  <c r="C756" i="1"/>
  <c r="C80" i="1"/>
  <c r="C947" i="1"/>
  <c r="C707" i="1"/>
  <c r="C955" i="1"/>
  <c r="C290" i="1"/>
  <c r="C65" i="1"/>
  <c r="C479" i="1"/>
  <c r="C748" i="1"/>
  <c r="C41" i="1"/>
  <c r="C143" i="1"/>
  <c r="C637" i="1"/>
  <c r="C561" i="1"/>
  <c r="C514" i="1"/>
  <c r="C787" i="1"/>
  <c r="C198" i="1"/>
  <c r="C29" i="1"/>
  <c r="C906" i="1"/>
  <c r="C731" i="1"/>
  <c r="C900" i="1"/>
  <c r="C897" i="1"/>
  <c r="C698" i="1"/>
  <c r="C291" i="1"/>
  <c r="C725" i="1"/>
  <c r="C436" i="1"/>
  <c r="C425" i="1"/>
  <c r="C297" i="1"/>
  <c r="C384" i="1"/>
  <c r="C310" i="1"/>
  <c r="C349" i="1"/>
  <c r="C350" i="1"/>
  <c r="C257" i="1"/>
  <c r="C781" i="1"/>
  <c r="C645" i="1"/>
  <c r="C489" i="1"/>
  <c r="C945" i="1"/>
  <c r="C99" i="1"/>
  <c r="C437" i="1"/>
  <c r="C875" i="1"/>
  <c r="C833" i="1"/>
  <c r="C412" i="1"/>
  <c r="C895" i="1"/>
  <c r="C726" i="1"/>
  <c r="C903" i="1"/>
  <c r="C54" i="1"/>
  <c r="C448" i="1"/>
  <c r="C503" i="1"/>
  <c r="C751" i="1"/>
  <c r="C815" i="1"/>
  <c r="C754" i="1"/>
  <c r="C417" i="1"/>
  <c r="C170" i="1"/>
  <c r="C317" i="1"/>
  <c r="C650" i="1"/>
  <c r="C365" i="1"/>
  <c r="C580" i="1"/>
  <c r="C42" i="1"/>
  <c r="C528" i="1"/>
  <c r="C694" i="1"/>
  <c r="C129" i="1"/>
  <c r="C252" i="1"/>
  <c r="C323" i="1"/>
  <c r="C719" i="1"/>
  <c r="C961" i="1"/>
  <c r="C884" i="1"/>
  <c r="C559" i="1"/>
  <c r="C372" i="1"/>
  <c r="C932" i="1"/>
  <c r="C956" i="1"/>
  <c r="C334" i="1"/>
  <c r="C724" i="1"/>
  <c r="C318" i="1"/>
  <c r="C515" i="1"/>
  <c r="C427" i="1"/>
  <c r="C551" i="1"/>
  <c r="C63" i="1"/>
  <c r="C892" i="1"/>
  <c r="C19" i="1"/>
  <c r="C225" i="1"/>
  <c r="C93" i="1"/>
  <c r="C366" i="1"/>
  <c r="C306" i="1"/>
  <c r="C298" i="1"/>
  <c r="C562" i="1"/>
  <c r="C82" i="1"/>
  <c r="C146" i="1"/>
  <c r="C482" i="1"/>
  <c r="C582" i="1"/>
  <c r="C39" i="1"/>
  <c r="C663" i="1"/>
  <c r="C933" i="1"/>
  <c r="C700" i="1"/>
  <c r="C708" i="1"/>
  <c r="C12" i="1"/>
  <c r="C419" i="1"/>
  <c r="C850" i="1"/>
  <c r="C788" i="1"/>
  <c r="C750" i="1"/>
  <c r="C521" i="1"/>
  <c r="C253" i="1"/>
  <c r="C829" i="1"/>
  <c r="C268" i="1"/>
  <c r="C201" i="1"/>
  <c r="C261" i="1"/>
  <c r="C147" i="1"/>
  <c r="C798" i="1"/>
  <c r="C598" i="1"/>
  <c r="C453" i="1"/>
  <c r="C49" i="1"/>
  <c r="C211" i="1"/>
  <c r="C87" i="1"/>
  <c r="C844" i="1"/>
  <c r="C391" i="1"/>
  <c r="C830" i="1"/>
  <c r="C195" i="1"/>
  <c r="C299" i="1"/>
  <c r="C680" i="1"/>
  <c r="C834" i="1"/>
  <c r="C544" i="1"/>
  <c r="C325" i="1"/>
  <c r="C269" i="1"/>
  <c r="C623" i="1"/>
  <c r="C413" i="1"/>
  <c r="C962" i="1"/>
  <c r="C20" i="1"/>
  <c r="C633" i="1"/>
  <c r="C846" i="1"/>
  <c r="C653" i="1"/>
  <c r="C589" i="1"/>
  <c r="C922" i="1"/>
  <c r="C904" i="1"/>
  <c r="C127" i="1"/>
  <c r="C545" i="1"/>
  <c r="C69" i="1"/>
  <c r="C120" i="1"/>
  <c r="C958" i="1"/>
  <c r="C887" i="1"/>
  <c r="C816" i="1"/>
  <c r="C888" i="1"/>
  <c r="C174" i="1"/>
  <c r="C340" i="1"/>
  <c r="C765" i="1"/>
  <c r="C905" i="1"/>
  <c r="C217" i="1"/>
  <c r="C795" i="1"/>
  <c r="C493" i="1"/>
  <c r="C406" i="1"/>
  <c r="C896" i="1"/>
  <c r="C353" i="1"/>
  <c r="C651" i="1"/>
  <c r="C609" i="1"/>
  <c r="C4" i="1"/>
  <c r="C177" i="1"/>
  <c r="C72" i="1"/>
  <c r="C946" i="1"/>
  <c r="C8" i="1"/>
  <c r="C279" i="1"/>
  <c r="C319" i="1"/>
  <c r="C178" i="1"/>
  <c r="C357" i="1"/>
  <c r="C18" i="1"/>
  <c r="C208" i="1"/>
  <c r="C776" i="1"/>
  <c r="C424" i="1"/>
  <c r="C578" i="1"/>
  <c r="C276" i="1"/>
  <c r="C681" i="1"/>
  <c r="C182" i="1"/>
  <c r="C292" i="1"/>
  <c r="C938" i="1"/>
  <c r="C817" i="1"/>
  <c r="C555" i="1"/>
  <c r="C670" i="1"/>
  <c r="C221" i="1"/>
  <c r="C963" i="1"/>
  <c r="C552" i="1"/>
  <c r="C851" i="1"/>
  <c r="C136" i="1"/>
  <c r="C222" i="1"/>
  <c r="C658" i="1"/>
  <c r="C792" i="1"/>
  <c r="C199" i="1"/>
  <c r="C189" i="1"/>
  <c r="C465" i="1"/>
  <c r="C738" i="1"/>
  <c r="C171" i="1"/>
  <c r="C654" i="1"/>
  <c r="C15" i="1"/>
  <c r="C185" i="1"/>
  <c r="C796" i="1"/>
  <c r="C236" i="1"/>
  <c r="C302" i="1"/>
  <c r="C573" i="1"/>
  <c r="C522" i="1"/>
  <c r="C638" i="1"/>
  <c r="C782" i="1"/>
  <c r="C581" i="1"/>
  <c r="C230" i="1"/>
  <c r="C767" i="1"/>
  <c r="C604" i="1"/>
  <c r="C845" i="1"/>
  <c r="C373" i="1"/>
  <c r="C231" i="1"/>
  <c r="C190" i="1"/>
  <c r="C618" i="1"/>
  <c r="C103" i="1"/>
  <c r="C280" i="1"/>
  <c r="C444" i="1"/>
  <c r="C742" i="1"/>
  <c r="C695" i="1"/>
  <c r="C3" i="1"/>
  <c r="C11" i="1"/>
  <c r="C53" i="1"/>
  <c r="C196" i="1"/>
  <c r="C535" i="1"/>
  <c r="C22" i="1"/>
  <c r="C574" i="1"/>
  <c r="C967" i="1"/>
  <c r="C509" i="1"/>
  <c r="C823" i="1"/>
  <c r="C23" i="1"/>
  <c r="C523" i="1"/>
  <c r="C48" i="1"/>
  <c r="C804" i="1"/>
  <c r="C239" i="1"/>
  <c r="C728" i="1"/>
  <c r="C469" i="1"/>
  <c r="C212" i="1"/>
  <c r="C117" i="1"/>
  <c r="C121" i="1"/>
  <c r="C758" i="1"/>
  <c r="C597" i="1"/>
  <c r="C233" i="1"/>
  <c r="C172" i="1"/>
  <c r="C330" i="1"/>
  <c r="C335" i="1"/>
  <c r="C470" i="1"/>
  <c r="C395" i="1"/>
  <c r="C466" i="1"/>
  <c r="C541" i="1"/>
  <c r="C504" i="1"/>
  <c r="C648" i="1"/>
  <c r="C274" i="1"/>
  <c r="C124" i="1"/>
  <c r="C179" i="1"/>
  <c r="C467" i="1"/>
  <c r="C75" i="1"/>
  <c r="C718" i="1"/>
  <c r="C998" i="1"/>
  <c r="C872" i="1"/>
  <c r="C249" i="1"/>
  <c r="C536" i="1"/>
  <c r="C747" i="1"/>
  <c r="C777" i="1"/>
  <c r="C766" i="1"/>
  <c r="C494" i="1"/>
  <c r="C254" i="1"/>
  <c r="C46" i="1"/>
  <c r="C553" i="1"/>
  <c r="C105" i="1"/>
  <c r="C277" i="1"/>
  <c r="C808" i="1"/>
  <c r="C483" i="1"/>
  <c r="C586" i="1"/>
  <c r="C783" i="1"/>
  <c r="C978" i="1"/>
  <c r="C286" i="1"/>
  <c r="C673" i="1"/>
  <c r="C772" i="1"/>
  <c r="C605" i="1"/>
  <c r="C546" i="1"/>
  <c r="C293" i="1"/>
  <c r="C35" i="1"/>
  <c r="C486" i="1"/>
  <c r="C238" i="1"/>
  <c r="C213" i="1"/>
  <c r="C307" i="1"/>
  <c r="C125" i="1"/>
  <c r="C149" i="1"/>
  <c r="C287" i="1"/>
  <c r="C460" i="1"/>
  <c r="C749" i="1"/>
  <c r="C471" i="1"/>
  <c r="C440" i="1"/>
  <c r="C137" i="1"/>
  <c r="C616" i="1"/>
  <c r="C429" i="1"/>
  <c r="C583" i="1"/>
  <c r="C784" i="1"/>
  <c r="C141" i="1"/>
  <c r="C14" i="1"/>
  <c r="C57" i="1"/>
  <c r="C968" i="1"/>
  <c r="C964" i="1"/>
  <c r="C354" i="1"/>
  <c r="C336" i="1"/>
  <c r="C278" i="1"/>
  <c r="C385" i="1"/>
  <c r="C659" i="1"/>
  <c r="C407" i="1"/>
  <c r="C649" i="1"/>
  <c r="C271" i="1"/>
  <c r="C639" i="1"/>
  <c r="C264" i="1"/>
  <c r="C464" i="1"/>
  <c r="C709" i="1"/>
  <c r="C156" i="1"/>
  <c r="C969" i="1"/>
  <c r="C432" i="1"/>
  <c r="C674" i="1"/>
  <c r="C73" i="1"/>
  <c r="C556" i="1"/>
  <c r="C988" i="1"/>
  <c r="C487" i="1"/>
  <c r="C600" i="1"/>
  <c r="C36" i="1"/>
  <c r="C640" i="1"/>
  <c r="C355" i="1"/>
  <c r="C646" i="1"/>
  <c r="C133" i="1"/>
  <c r="C76" i="1"/>
  <c r="C386" i="1"/>
  <c r="C842" i="1"/>
  <c r="C878" i="1"/>
  <c r="C885" i="1"/>
  <c r="C472" i="1"/>
  <c r="C64" i="1"/>
  <c r="C288" i="1"/>
  <c r="C911" i="1"/>
  <c r="C175" i="1"/>
  <c r="C275" i="1"/>
  <c r="C226" i="1"/>
  <c r="C209" i="1"/>
  <c r="C974" i="1"/>
  <c r="C818" i="1"/>
  <c r="C94" i="1"/>
  <c r="C428" i="1"/>
  <c r="C970" i="1"/>
  <c r="C220" i="1"/>
  <c r="C699" i="1"/>
  <c r="C886" i="1"/>
  <c r="C313" i="1"/>
  <c r="C180" i="1"/>
  <c r="C876" i="1"/>
  <c r="C524" i="1"/>
  <c r="C215" i="1"/>
  <c r="C693" i="1"/>
  <c r="C119" i="1"/>
  <c r="C675" i="1"/>
  <c r="C984" i="1"/>
  <c r="C613" i="1"/>
  <c r="C107" i="1"/>
  <c r="C891" i="1"/>
  <c r="C614" i="1"/>
  <c r="C232" i="1"/>
  <c r="C176" i="1"/>
  <c r="C445" i="1"/>
  <c r="C187" i="1"/>
  <c r="C542" i="1"/>
  <c r="C852" i="1"/>
  <c r="C696" i="1"/>
  <c r="C420" i="1"/>
  <c r="C337" i="1"/>
  <c r="C108" i="1"/>
  <c r="C88" i="1"/>
  <c r="C167" i="1"/>
  <c r="C370" i="1"/>
  <c r="C379" i="1"/>
  <c r="C516" i="1"/>
  <c r="C498" i="1"/>
  <c r="C387" i="1"/>
  <c r="C345" i="1"/>
  <c r="C861" i="1"/>
  <c r="C227" i="1"/>
  <c r="C954" i="1"/>
  <c r="C499" i="1"/>
  <c r="C557" i="1"/>
  <c r="C853" i="1"/>
  <c r="C716" i="1"/>
  <c r="C294" i="1"/>
  <c r="C996" i="1"/>
  <c r="C768" i="1"/>
  <c r="C402" i="1"/>
  <c r="C656" i="1"/>
  <c r="C392" i="1"/>
  <c r="C690" i="1"/>
  <c r="C517" i="1"/>
  <c r="C873" i="1"/>
  <c r="C362" i="1"/>
  <c r="C789" i="1"/>
  <c r="C769" i="1"/>
  <c r="C100" i="1"/>
  <c r="C388" i="1"/>
  <c r="C81" i="1"/>
  <c r="C898" i="1"/>
  <c r="C714" i="1"/>
  <c r="C919" i="1"/>
  <c r="C351" i="1"/>
  <c r="C979" i="1"/>
  <c r="C21" i="1"/>
  <c r="C90" i="1"/>
  <c r="C682" i="1"/>
  <c r="C505" i="1"/>
  <c r="C243" i="1"/>
  <c r="C166" i="1"/>
  <c r="C85" i="1"/>
  <c r="C203" i="1"/>
  <c r="C590" i="1"/>
  <c r="C934" i="1"/>
  <c r="C139" i="1"/>
  <c r="C244" i="1"/>
  <c r="C67" i="1"/>
  <c r="C206" i="1"/>
  <c r="C328" i="1"/>
  <c r="C686" i="1"/>
  <c r="C295" i="1"/>
  <c r="C289" i="1"/>
  <c r="C518" i="1"/>
  <c r="C912" i="1"/>
  <c r="C810" i="1"/>
  <c r="C134" i="1"/>
  <c r="C461" i="1"/>
  <c r="C454" i="1"/>
  <c r="C743" i="1"/>
  <c r="C813" i="1"/>
  <c r="C164" i="1"/>
  <c r="C843" i="1"/>
  <c r="C433" i="1"/>
  <c r="C245" i="1"/>
  <c r="C462" i="1"/>
  <c r="C870" i="1"/>
  <c r="C250" i="1"/>
  <c r="C991" i="1"/>
  <c r="C760" i="1"/>
  <c r="C701" i="1"/>
  <c r="C314" i="1"/>
  <c r="C797" i="1"/>
  <c r="C55" i="1"/>
  <c r="C144" i="1"/>
  <c r="C569" i="1"/>
  <c r="C281" i="1"/>
  <c r="C358" i="1"/>
  <c r="C819" i="1"/>
  <c r="C615" i="1"/>
  <c r="C258" i="1"/>
  <c r="C397" i="1"/>
  <c r="C907" i="1"/>
  <c r="C414" i="1"/>
  <c r="C858" i="1"/>
  <c r="C799" i="1"/>
  <c r="C611" i="1"/>
  <c r="C441" i="1"/>
  <c r="C27" i="1"/>
  <c r="C570" i="1"/>
  <c r="C83" i="1"/>
  <c r="C495" i="1"/>
  <c r="C643" i="1"/>
  <c r="C160" i="1"/>
  <c r="C800" i="1"/>
  <c r="C111" i="1"/>
  <c r="C359" i="1"/>
  <c r="C914" i="1"/>
  <c r="C311" i="1"/>
  <c r="C455" i="1"/>
  <c r="C606" i="1"/>
  <c r="C948" i="1"/>
  <c r="C584" i="1"/>
  <c r="C7" i="1"/>
  <c r="C380" i="1"/>
  <c r="C38" i="1"/>
  <c r="C262" i="1"/>
  <c r="C1001" i="1"/>
  <c r="C745" i="1"/>
  <c r="C992" i="1"/>
  <c r="C624" i="1"/>
  <c r="C997" i="1"/>
  <c r="C543" i="1"/>
  <c r="C720" i="1"/>
  <c r="C430" i="1"/>
  <c r="C438" i="1"/>
  <c r="C579" i="1"/>
  <c r="C315" i="1"/>
  <c r="C153" i="1"/>
  <c r="C300" i="1"/>
  <c r="C363" i="1"/>
  <c r="C301" i="1"/>
  <c r="C456" i="1"/>
  <c r="C150" i="1"/>
  <c r="C610" i="1"/>
  <c r="C547" i="1"/>
  <c r="C360" i="1"/>
  <c r="C601" i="1"/>
  <c r="C128" i="1"/>
  <c r="C398" i="1"/>
  <c r="C865" i="1"/>
  <c r="C34" i="1"/>
  <c r="C838" i="1"/>
  <c r="C803" i="1"/>
  <c r="C296" i="1"/>
  <c r="C96" i="1"/>
  <c r="C571" i="1"/>
  <c r="C761" i="1"/>
  <c r="C671" i="1"/>
  <c r="C434" i="1"/>
  <c r="C341" i="1"/>
  <c r="C138" i="1"/>
  <c r="C186" i="1"/>
  <c r="C908" i="1"/>
  <c r="C641" i="1"/>
  <c r="C219" i="1"/>
  <c r="C95" i="1"/>
  <c r="C537" i="1"/>
  <c r="C847" i="1"/>
  <c r="C805" i="1"/>
  <c r="C721" i="1"/>
  <c r="C866" i="1"/>
  <c r="C457" i="1"/>
  <c r="C733" i="1"/>
  <c r="C400" i="1"/>
  <c r="C84" i="1"/>
  <c r="C490" i="1"/>
  <c r="C2" i="1"/>
  <c r="C240" i="1"/>
  <c r="C51" i="1"/>
  <c r="C944" i="1"/>
  <c r="C635" i="1"/>
  <c r="C367" i="1"/>
  <c r="C811" i="1"/>
  <c r="C980" i="1"/>
  <c r="C130" i="1"/>
  <c r="C563" i="1"/>
  <c r="C346" i="1"/>
  <c r="C158" i="1"/>
  <c r="C331" i="1"/>
  <c r="C259" i="1"/>
  <c r="C519" i="1"/>
  <c r="C223" i="1"/>
  <c r="C854" i="1"/>
  <c r="C500" i="1"/>
  <c r="C619" i="1"/>
  <c r="C202" i="1"/>
  <c r="C734" i="1"/>
  <c r="C241" i="1"/>
  <c r="C793" i="1"/>
  <c r="C564" i="1"/>
  <c r="C393" i="1"/>
  <c r="C985" i="1"/>
  <c r="C263" i="1"/>
  <c r="C45" i="1"/>
  <c r="C965" i="1"/>
  <c r="C229" i="1"/>
  <c r="C704" i="1"/>
  <c r="C272" i="1"/>
  <c r="C520" i="1"/>
  <c r="C106" i="1"/>
  <c r="C28" i="1"/>
  <c r="C473" i="1"/>
  <c r="C131" i="1"/>
  <c r="C214" i="1"/>
  <c r="C10" i="1"/>
  <c r="C548" i="1"/>
  <c r="C216" i="1"/>
  <c r="C496" i="1"/>
  <c r="C463" i="1"/>
  <c r="C52" i="1"/>
  <c r="C200" i="1"/>
  <c r="C549" i="1"/>
  <c r="C652" i="1"/>
  <c r="C265" i="1"/>
  <c r="C940" i="1"/>
  <c r="C506" i="1"/>
  <c r="C981" i="1"/>
  <c r="C491" i="1"/>
  <c r="C89" i="1"/>
  <c r="C820" i="1"/>
  <c r="C560" i="1"/>
  <c r="C937" i="1"/>
  <c r="C859" i="1"/>
  <c r="C378" i="1"/>
  <c r="C9" i="1"/>
  <c r="C449" i="1"/>
  <c r="C308" i="1"/>
  <c r="C929" i="1"/>
  <c r="C192" i="1"/>
  <c r="C839" i="1"/>
  <c r="C762" i="1"/>
  <c r="C403" i="1"/>
  <c r="C660" i="1"/>
  <c r="C687" i="1"/>
  <c r="C790" i="1"/>
  <c r="C628" i="1"/>
  <c r="C591" i="1"/>
  <c r="C44" i="1"/>
  <c r="C446" i="1"/>
  <c r="C860" i="1"/>
  <c r="C722" i="1"/>
  <c r="C951" i="1"/>
  <c r="C665" i="1"/>
  <c r="C332" i="1"/>
  <c r="C525" i="1"/>
  <c r="C501" i="1"/>
  <c r="C893" i="1"/>
  <c r="C566" i="1"/>
  <c r="C909" i="1"/>
  <c r="C193" i="1"/>
  <c r="C856" i="1"/>
  <c r="C58" i="1"/>
  <c r="C132" i="1"/>
  <c r="C874" i="1"/>
  <c r="C86" i="1"/>
  <c r="C706" i="1"/>
  <c r="C575" i="1"/>
  <c r="C13" i="1"/>
  <c r="C794" i="1"/>
  <c r="C862" i="1"/>
  <c r="C204" i="1"/>
  <c r="C33" i="1"/>
  <c r="C165" i="1"/>
  <c r="C510" i="1"/>
  <c r="C736" i="1"/>
  <c r="C326" i="1"/>
  <c r="C959" i="1"/>
  <c r="C102" i="1"/>
  <c r="C17" i="1"/>
  <c r="C122" i="1"/>
  <c r="C901" i="1"/>
  <c r="C676" i="1"/>
  <c r="C672" i="1"/>
  <c r="C66" i="1"/>
  <c r="C234" i="1"/>
  <c r="C567" i="1"/>
  <c r="C705" i="1"/>
  <c r="C347" i="1"/>
  <c r="C952" i="1"/>
  <c r="C629" i="1"/>
  <c r="C593" i="1"/>
  <c r="C867" i="1"/>
  <c r="C715" i="1"/>
  <c r="C677" i="1"/>
  <c r="C809" i="1"/>
  <c r="C739" i="1"/>
  <c r="C377" i="1"/>
  <c r="C935" i="1"/>
  <c r="C113" i="1"/>
  <c r="C194" i="1"/>
  <c r="C939" i="1"/>
  <c r="C972" i="1"/>
  <c r="C678" i="1"/>
  <c r="C975" i="1"/>
  <c r="C868" i="1"/>
  <c r="C47" i="1"/>
  <c r="C993" i="1"/>
  <c r="C625" i="1"/>
  <c r="C913" i="1"/>
  <c r="C630" i="1"/>
  <c r="C626" i="1"/>
  <c r="C77" i="1"/>
  <c r="C421" i="1"/>
  <c r="C118" i="1"/>
  <c r="C533" i="1"/>
  <c r="C488" i="1"/>
  <c r="C840" i="1"/>
  <c r="C40" i="1"/>
  <c r="C594" i="1"/>
  <c r="C312" i="1"/>
  <c r="C824" i="1"/>
  <c r="C218" i="1"/>
  <c r="C636" i="1"/>
  <c r="C976" i="1"/>
  <c r="C554" i="1"/>
  <c r="C5" i="1"/>
  <c r="C140" i="1"/>
  <c r="C832" i="1"/>
  <c r="C56" i="1"/>
  <c r="C450" i="1"/>
  <c r="C902" i="1"/>
  <c r="C526" i="1"/>
  <c r="C657" i="1"/>
  <c r="C451" i="1"/>
  <c r="C474" i="1"/>
  <c r="C661" i="1"/>
  <c r="C188" i="1"/>
  <c r="C631" i="1"/>
  <c r="C770" i="1"/>
  <c r="C587" i="1"/>
  <c r="C960" i="1"/>
  <c r="C595" i="1"/>
  <c r="C142" i="1"/>
  <c r="C484" i="1"/>
  <c r="C930" i="1"/>
  <c r="C662" i="1"/>
  <c r="C374" i="1"/>
  <c r="C342" i="1"/>
  <c r="C60" i="1"/>
  <c r="C732" i="1"/>
  <c r="C627" i="1"/>
  <c r="C114" i="1"/>
  <c r="C773" i="1"/>
  <c r="C43" i="1"/>
  <c r="C953" i="1"/>
  <c r="C255" i="1"/>
  <c r="C941" i="1"/>
  <c r="C857" i="1"/>
  <c r="C612" i="1"/>
  <c r="C260" i="1"/>
  <c r="C410" i="1"/>
  <c r="C361" i="1"/>
  <c r="C382" i="1"/>
  <c r="C207" i="1"/>
  <c r="C855" i="1"/>
  <c r="C6" i="1"/>
  <c r="C502" i="1"/>
  <c r="C871" i="1"/>
  <c r="C923" i="1"/>
  <c r="C159" i="1"/>
  <c r="C679" i="1"/>
  <c r="C568" i="1"/>
  <c r="C737" i="1"/>
  <c r="C915" i="1"/>
  <c r="C529" i="1"/>
  <c r="C78" i="1"/>
  <c r="C343" i="1"/>
  <c r="C620" i="1"/>
  <c r="C986" i="1"/>
  <c r="C744" i="1"/>
  <c r="C826" i="1"/>
  <c r="C863" i="1"/>
  <c r="C889" i="1"/>
  <c r="C691" i="1"/>
  <c r="C880" i="1"/>
  <c r="C154" i="1"/>
  <c r="C763" i="1"/>
  <c r="C104" i="1"/>
  <c r="C31" i="1"/>
  <c r="C396" i="1"/>
  <c r="C530" i="1"/>
  <c r="C338" i="1"/>
  <c r="C442" i="1"/>
  <c r="C475" i="1"/>
  <c r="C576" i="1"/>
  <c r="C534" i="1"/>
  <c r="C368" i="1"/>
  <c r="C162" i="1"/>
  <c r="C999" i="1"/>
  <c r="C806" i="1"/>
  <c r="C247" i="1"/>
  <c r="C282" i="1"/>
  <c r="C585" i="1"/>
  <c r="C112" i="1"/>
  <c r="C148" i="1"/>
  <c r="C814" i="1"/>
  <c r="C168" i="1"/>
  <c r="C920" i="1"/>
  <c r="C404" i="1"/>
  <c r="C163" i="1"/>
  <c r="E394" i="1"/>
  <c r="E592" i="1"/>
  <c r="E68" i="1"/>
  <c r="E740" i="1"/>
  <c r="E607" i="1"/>
  <c r="E942" i="1"/>
  <c r="E921" i="1"/>
  <c r="E717" i="1"/>
  <c r="E61" i="1"/>
  <c r="E439" i="1"/>
  <c r="E447" i="1"/>
  <c r="E835" i="1"/>
  <c r="E688" i="1"/>
  <c r="E697" i="1"/>
  <c r="E91" i="1"/>
  <c r="E926" i="1"/>
  <c r="E987" i="1"/>
  <c r="E801" i="1"/>
  <c r="E565" i="1"/>
  <c r="E109" i="1"/>
  <c r="E92" i="1"/>
  <c r="E778" i="1"/>
  <c r="E710" i="1"/>
  <c r="E1000" i="1"/>
  <c r="E70" i="1"/>
  <c r="E283" i="1"/>
  <c r="E949" i="1"/>
  <c r="E418" i="1"/>
  <c r="E381" i="1"/>
  <c r="E864" i="1"/>
  <c r="E210" i="1"/>
  <c r="E123" i="1"/>
  <c r="E746" i="1"/>
  <c r="E237" i="1"/>
  <c r="E266" i="1"/>
  <c r="E369" i="1"/>
  <c r="E333" i="1"/>
  <c r="E881" i="1"/>
  <c r="E692" i="1"/>
  <c r="E476" i="1"/>
  <c r="E825" i="1"/>
  <c r="E246" i="1"/>
  <c r="E135" i="1"/>
  <c r="E399" i="1"/>
  <c r="E821" i="1"/>
  <c r="E910" i="1"/>
  <c r="E664" i="1"/>
  <c r="E666" i="1"/>
  <c r="E982" i="1"/>
  <c r="E25" i="1"/>
  <c r="E848" i="1"/>
  <c r="E184" i="1"/>
  <c r="E422" i="1"/>
  <c r="E273" i="1"/>
  <c r="E458" i="1"/>
  <c r="E931" i="1"/>
  <c r="E97" i="1"/>
  <c r="E841" i="1"/>
  <c r="E151" i="1"/>
  <c r="E877" i="1"/>
  <c r="E655" i="1"/>
  <c r="E531" i="1"/>
  <c r="E667" i="1"/>
  <c r="E883" i="1"/>
  <c r="E642" i="1"/>
  <c r="E621" i="1"/>
  <c r="E324" i="1"/>
  <c r="E477" i="1"/>
  <c r="E702" i="1"/>
  <c r="E957" i="1"/>
  <c r="E62" i="1"/>
  <c r="E423" i="1"/>
  <c r="E785" i="1"/>
  <c r="E155" i="1"/>
  <c r="E191" i="1"/>
  <c r="E197" i="1"/>
  <c r="E480" i="1"/>
  <c r="E79" i="1"/>
  <c r="E375" i="1"/>
  <c r="E936" i="1"/>
  <c r="E757" i="1"/>
  <c r="E408" i="1"/>
  <c r="E994" i="1"/>
  <c r="E916" i="1"/>
  <c r="E511" i="1"/>
  <c r="E415" i="1"/>
  <c r="E668" i="1"/>
  <c r="E426" i="1"/>
  <c r="E32" i="1"/>
  <c r="E899" i="1"/>
  <c r="E98" i="1"/>
  <c r="E512" i="1"/>
  <c r="E320" i="1"/>
  <c r="E497" i="1"/>
  <c r="E270" i="1"/>
  <c r="E459" i="1"/>
  <c r="E924" i="1"/>
  <c r="E771" i="1"/>
  <c r="E950" i="1"/>
  <c r="E669" i="1"/>
  <c r="E752" i="1"/>
  <c r="E712" i="1"/>
  <c r="E443" i="1"/>
  <c r="E513" i="1"/>
  <c r="E478" i="1"/>
  <c r="E116" i="1"/>
  <c r="E927" i="1"/>
  <c r="E894" i="1"/>
  <c r="E727" i="1"/>
  <c r="E882" i="1"/>
  <c r="E348" i="1"/>
  <c r="E303" i="1"/>
  <c r="E973" i="1"/>
  <c r="E774" i="1"/>
  <c r="E383" i="1"/>
  <c r="E145" i="1"/>
  <c r="E409" i="1"/>
  <c r="E558" i="1"/>
  <c r="E228" i="1"/>
  <c r="E321" i="1"/>
  <c r="E786" i="1"/>
  <c r="E741" i="1"/>
  <c r="E753" i="1"/>
  <c r="E356" i="1"/>
  <c r="E24" i="1"/>
  <c r="E827" i="1"/>
  <c r="E723" i="1"/>
  <c r="E416" i="1"/>
  <c r="E468" i="1"/>
  <c r="E602" i="1"/>
  <c r="E828" i="1"/>
  <c r="E110" i="1"/>
  <c r="E181" i="1"/>
  <c r="E572" i="1"/>
  <c r="E50" i="1"/>
  <c r="E703" i="1"/>
  <c r="E538" i="1"/>
  <c r="E869" i="1"/>
  <c r="E596" i="1"/>
  <c r="E339" i="1"/>
  <c r="E603" i="1"/>
  <c r="E256" i="1"/>
  <c r="E831" i="1"/>
  <c r="E989" i="1"/>
  <c r="E822" i="1"/>
  <c r="E836" i="1"/>
  <c r="E684" i="1"/>
  <c r="E775" i="1"/>
  <c r="E329" i="1"/>
  <c r="E685" i="1"/>
  <c r="E925" i="1"/>
  <c r="E990" i="1"/>
  <c r="E126" i="1"/>
  <c r="E713" i="1"/>
  <c r="E71" i="1"/>
  <c r="E917" i="1"/>
  <c r="E507" i="1"/>
  <c r="E966" i="1"/>
  <c r="E304" i="1"/>
  <c r="E647" i="1"/>
  <c r="E683" i="1"/>
  <c r="E251" i="1"/>
  <c r="E371" i="1"/>
  <c r="E205" i="1"/>
  <c r="E807" i="1"/>
  <c r="E791" i="1"/>
  <c r="E16" i="1"/>
  <c r="E550" i="1"/>
  <c r="E284" i="1"/>
  <c r="E928" i="1"/>
  <c r="E802" i="1"/>
  <c r="E173" i="1"/>
  <c r="E59" i="1"/>
  <c r="E711" i="1"/>
  <c r="E983" i="1"/>
  <c r="E352" i="1"/>
  <c r="E622" i="1"/>
  <c r="E779" i="1"/>
  <c r="E977" i="1"/>
  <c r="E389" i="1"/>
  <c r="E30" i="1"/>
  <c r="E390" i="1"/>
  <c r="E995" i="1"/>
  <c r="E316" i="1"/>
  <c r="E492" i="1"/>
  <c r="E74" i="1"/>
  <c r="E849" i="1"/>
  <c r="E617" i="1"/>
  <c r="E539" i="1"/>
  <c r="E730" i="1"/>
  <c r="E242" i="1"/>
  <c r="E344" i="1"/>
  <c r="E599" i="1"/>
  <c r="E322" i="1"/>
  <c r="E879" i="1"/>
  <c r="E759" i="1"/>
  <c r="E508" i="1"/>
  <c r="E485" i="1"/>
  <c r="E890" i="1"/>
  <c r="E285" i="1"/>
  <c r="E764" i="1"/>
  <c r="E248" i="1"/>
  <c r="E169" i="1"/>
  <c r="E577" i="1"/>
  <c r="E327" i="1"/>
  <c r="E267" i="1"/>
  <c r="E435" i="1"/>
  <c r="E780" i="1"/>
  <c r="E532" i="1"/>
  <c r="E527" i="1"/>
  <c r="E37" i="1"/>
  <c r="E183" i="1"/>
  <c r="E735" i="1"/>
  <c r="E481" i="1"/>
  <c r="E540" i="1"/>
  <c r="E401" i="1"/>
  <c r="E309" i="1"/>
  <c r="E157" i="1"/>
  <c r="E431" i="1"/>
  <c r="E644" i="1"/>
  <c r="E376" i="1"/>
  <c r="E101" i="1"/>
  <c r="E608" i="1"/>
  <c r="E364" i="1"/>
  <c r="E755" i="1"/>
  <c r="E812" i="1"/>
  <c r="E411" i="1"/>
  <c r="E943" i="1"/>
  <c r="E152" i="1"/>
  <c r="E235" i="1"/>
  <c r="E115" i="1"/>
  <c r="E452" i="1"/>
  <c r="E305" i="1"/>
  <c r="E971" i="1"/>
  <c r="E689" i="1"/>
  <c r="E837" i="1"/>
  <c r="E161" i="1"/>
  <c r="E405" i="1"/>
  <c r="E634" i="1"/>
  <c r="E632" i="1"/>
  <c r="E26" i="1"/>
  <c r="E918" i="1"/>
  <c r="E224" i="1"/>
  <c r="E588" i="1"/>
  <c r="E729" i="1"/>
  <c r="E756" i="1"/>
  <c r="E80" i="1"/>
  <c r="E947" i="1"/>
  <c r="E707" i="1"/>
  <c r="E955" i="1"/>
  <c r="E290" i="1"/>
  <c r="E65" i="1"/>
  <c r="E479" i="1"/>
  <c r="E748" i="1"/>
  <c r="E41" i="1"/>
  <c r="E143" i="1"/>
  <c r="E637" i="1"/>
  <c r="E561" i="1"/>
  <c r="E514" i="1"/>
  <c r="E787" i="1"/>
  <c r="E198" i="1"/>
  <c r="E29" i="1"/>
  <c r="E906" i="1"/>
  <c r="E731" i="1"/>
  <c r="E900" i="1"/>
  <c r="E897" i="1"/>
  <c r="E698" i="1"/>
  <c r="E291" i="1"/>
  <c r="E725" i="1"/>
  <c r="E436" i="1"/>
  <c r="E425" i="1"/>
  <c r="E297" i="1"/>
  <c r="E384" i="1"/>
  <c r="E310" i="1"/>
  <c r="E349" i="1"/>
  <c r="E350" i="1"/>
  <c r="E257" i="1"/>
  <c r="E781" i="1"/>
  <c r="E645" i="1"/>
  <c r="E489" i="1"/>
  <c r="E945" i="1"/>
  <c r="E99" i="1"/>
  <c r="E437" i="1"/>
  <c r="E875" i="1"/>
  <c r="E833" i="1"/>
  <c r="E412" i="1"/>
  <c r="E895" i="1"/>
  <c r="E726" i="1"/>
  <c r="E903" i="1"/>
  <c r="E54" i="1"/>
  <c r="E448" i="1"/>
  <c r="E503" i="1"/>
  <c r="E751" i="1"/>
  <c r="E815" i="1"/>
  <c r="E754" i="1"/>
  <c r="E417" i="1"/>
  <c r="E170" i="1"/>
  <c r="E317" i="1"/>
  <c r="E650" i="1"/>
  <c r="E365" i="1"/>
  <c r="E580" i="1"/>
  <c r="E42" i="1"/>
  <c r="E528" i="1"/>
  <c r="E694" i="1"/>
  <c r="E129" i="1"/>
  <c r="E252" i="1"/>
  <c r="E323" i="1"/>
  <c r="E719" i="1"/>
  <c r="E961" i="1"/>
  <c r="E884" i="1"/>
  <c r="E559" i="1"/>
  <c r="E372" i="1"/>
  <c r="E932" i="1"/>
  <c r="E956" i="1"/>
  <c r="E334" i="1"/>
  <c r="E724" i="1"/>
  <c r="E318" i="1"/>
  <c r="E515" i="1"/>
  <c r="E427" i="1"/>
  <c r="E551" i="1"/>
  <c r="E63" i="1"/>
  <c r="E892" i="1"/>
  <c r="E19" i="1"/>
  <c r="E225" i="1"/>
  <c r="E93" i="1"/>
  <c r="E366" i="1"/>
  <c r="E306" i="1"/>
  <c r="E298" i="1"/>
  <c r="E562" i="1"/>
  <c r="E82" i="1"/>
  <c r="E146" i="1"/>
  <c r="E482" i="1"/>
  <c r="E582" i="1"/>
  <c r="E39" i="1"/>
  <c r="E663" i="1"/>
  <c r="E933" i="1"/>
  <c r="E700" i="1"/>
  <c r="E708" i="1"/>
  <c r="E12" i="1"/>
  <c r="E419" i="1"/>
  <c r="E850" i="1"/>
  <c r="E788" i="1"/>
  <c r="E750" i="1"/>
  <c r="E521" i="1"/>
  <c r="E253" i="1"/>
  <c r="E829" i="1"/>
  <c r="E268" i="1"/>
  <c r="E201" i="1"/>
  <c r="E261" i="1"/>
  <c r="E147" i="1"/>
  <c r="E798" i="1"/>
  <c r="E598" i="1"/>
  <c r="E453" i="1"/>
  <c r="E49" i="1"/>
  <c r="E211" i="1"/>
  <c r="E87" i="1"/>
  <c r="E844" i="1"/>
  <c r="E391" i="1"/>
  <c r="E830" i="1"/>
  <c r="E195" i="1"/>
  <c r="E299" i="1"/>
  <c r="E680" i="1"/>
  <c r="E834" i="1"/>
  <c r="E544" i="1"/>
  <c r="E325" i="1"/>
  <c r="E269" i="1"/>
  <c r="E623" i="1"/>
  <c r="E413" i="1"/>
  <c r="E962" i="1"/>
  <c r="E20" i="1"/>
  <c r="E633" i="1"/>
  <c r="E846" i="1"/>
  <c r="E653" i="1"/>
  <c r="E589" i="1"/>
  <c r="E922" i="1"/>
  <c r="E904" i="1"/>
  <c r="E127" i="1"/>
  <c r="E545" i="1"/>
  <c r="E69" i="1"/>
  <c r="E120" i="1"/>
  <c r="E958" i="1"/>
  <c r="E887" i="1"/>
  <c r="E816" i="1"/>
  <c r="E888" i="1"/>
  <c r="E174" i="1"/>
  <c r="E340" i="1"/>
  <c r="E765" i="1"/>
  <c r="E905" i="1"/>
  <c r="E217" i="1"/>
  <c r="E795" i="1"/>
  <c r="E493" i="1"/>
  <c r="E406" i="1"/>
  <c r="E896" i="1"/>
  <c r="E353" i="1"/>
  <c r="E651" i="1"/>
  <c r="E609" i="1"/>
  <c r="E4" i="1"/>
  <c r="E177" i="1"/>
  <c r="E72" i="1"/>
  <c r="E946" i="1"/>
  <c r="E8" i="1"/>
  <c r="E279" i="1"/>
  <c r="E319" i="1"/>
  <c r="E178" i="1"/>
  <c r="E357" i="1"/>
  <c r="E18" i="1"/>
  <c r="E208" i="1"/>
  <c r="E776" i="1"/>
  <c r="E424" i="1"/>
  <c r="E578" i="1"/>
  <c r="E276" i="1"/>
  <c r="E681" i="1"/>
  <c r="E182" i="1"/>
  <c r="E292" i="1"/>
  <c r="E938" i="1"/>
  <c r="E817" i="1"/>
  <c r="E555" i="1"/>
  <c r="E670" i="1"/>
  <c r="E221" i="1"/>
  <c r="E963" i="1"/>
  <c r="E552" i="1"/>
  <c r="E851" i="1"/>
  <c r="E136" i="1"/>
  <c r="E222" i="1"/>
  <c r="E658" i="1"/>
  <c r="E792" i="1"/>
  <c r="E199" i="1"/>
  <c r="E189" i="1"/>
  <c r="E465" i="1"/>
  <c r="E738" i="1"/>
  <c r="E171" i="1"/>
  <c r="E654" i="1"/>
  <c r="E15" i="1"/>
  <c r="E185" i="1"/>
  <c r="E796" i="1"/>
  <c r="E236" i="1"/>
  <c r="E302" i="1"/>
  <c r="E573" i="1"/>
  <c r="E522" i="1"/>
  <c r="E638" i="1"/>
  <c r="E782" i="1"/>
  <c r="E581" i="1"/>
  <c r="E230" i="1"/>
  <c r="E767" i="1"/>
  <c r="E604" i="1"/>
  <c r="E845" i="1"/>
  <c r="E373" i="1"/>
  <c r="E231" i="1"/>
  <c r="E190" i="1"/>
  <c r="E618" i="1"/>
  <c r="E103" i="1"/>
  <c r="E280" i="1"/>
  <c r="E444" i="1"/>
  <c r="E742" i="1"/>
  <c r="E695" i="1"/>
  <c r="E3" i="1"/>
  <c r="E11" i="1"/>
  <c r="E53" i="1"/>
  <c r="E196" i="1"/>
  <c r="E535" i="1"/>
  <c r="E22" i="1"/>
  <c r="E574" i="1"/>
  <c r="E967" i="1"/>
  <c r="E509" i="1"/>
  <c r="E823" i="1"/>
  <c r="E23" i="1"/>
  <c r="E523" i="1"/>
  <c r="E48" i="1"/>
  <c r="E804" i="1"/>
  <c r="E239" i="1"/>
  <c r="E728" i="1"/>
  <c r="E469" i="1"/>
  <c r="E212" i="1"/>
  <c r="E117" i="1"/>
  <c r="E121" i="1"/>
  <c r="E758" i="1"/>
  <c r="E597" i="1"/>
  <c r="E233" i="1"/>
  <c r="E172" i="1"/>
  <c r="E330" i="1"/>
  <c r="E335" i="1"/>
  <c r="E470" i="1"/>
  <c r="E395" i="1"/>
  <c r="E466" i="1"/>
  <c r="E541" i="1"/>
  <c r="E504" i="1"/>
  <c r="E648" i="1"/>
  <c r="E274" i="1"/>
  <c r="E124" i="1"/>
  <c r="E179" i="1"/>
  <c r="E467" i="1"/>
  <c r="E75" i="1"/>
  <c r="E718" i="1"/>
  <c r="E998" i="1"/>
  <c r="E872" i="1"/>
  <c r="E249" i="1"/>
  <c r="E536" i="1"/>
  <c r="E747" i="1"/>
  <c r="E777" i="1"/>
  <c r="E766" i="1"/>
  <c r="E494" i="1"/>
  <c r="E254" i="1"/>
  <c r="E46" i="1"/>
  <c r="E553" i="1"/>
  <c r="E105" i="1"/>
  <c r="E277" i="1"/>
  <c r="E808" i="1"/>
  <c r="E483" i="1"/>
  <c r="E586" i="1"/>
  <c r="E783" i="1"/>
  <c r="E978" i="1"/>
  <c r="E286" i="1"/>
  <c r="E673" i="1"/>
  <c r="E772" i="1"/>
  <c r="E605" i="1"/>
  <c r="E546" i="1"/>
  <c r="E293" i="1"/>
  <c r="E35" i="1"/>
  <c r="E486" i="1"/>
  <c r="E238" i="1"/>
  <c r="E213" i="1"/>
  <c r="E307" i="1"/>
  <c r="E125" i="1"/>
  <c r="E149" i="1"/>
  <c r="E287" i="1"/>
  <c r="E460" i="1"/>
  <c r="E749" i="1"/>
  <c r="E471" i="1"/>
  <c r="E440" i="1"/>
  <c r="E137" i="1"/>
  <c r="E616" i="1"/>
  <c r="E429" i="1"/>
  <c r="E583" i="1"/>
  <c r="E784" i="1"/>
  <c r="E141" i="1"/>
  <c r="E14" i="1"/>
  <c r="E57" i="1"/>
  <c r="E968" i="1"/>
  <c r="E964" i="1"/>
  <c r="E354" i="1"/>
  <c r="E336" i="1"/>
  <c r="E278" i="1"/>
  <c r="E385" i="1"/>
  <c r="E659" i="1"/>
  <c r="E407" i="1"/>
  <c r="E649" i="1"/>
  <c r="E271" i="1"/>
  <c r="E639" i="1"/>
  <c r="E264" i="1"/>
  <c r="E464" i="1"/>
  <c r="E709" i="1"/>
  <c r="E156" i="1"/>
  <c r="E969" i="1"/>
  <c r="E432" i="1"/>
  <c r="E674" i="1"/>
  <c r="E73" i="1"/>
  <c r="E556" i="1"/>
  <c r="E988" i="1"/>
  <c r="E487" i="1"/>
  <c r="E600" i="1"/>
  <c r="E36" i="1"/>
  <c r="E640" i="1"/>
  <c r="E355" i="1"/>
  <c r="E646" i="1"/>
  <c r="E133" i="1"/>
  <c r="E76" i="1"/>
  <c r="E386" i="1"/>
  <c r="E842" i="1"/>
  <c r="E878" i="1"/>
  <c r="E885" i="1"/>
  <c r="E472" i="1"/>
  <c r="E64" i="1"/>
  <c r="E288" i="1"/>
  <c r="E911" i="1"/>
  <c r="E175" i="1"/>
  <c r="E275" i="1"/>
  <c r="E226" i="1"/>
  <c r="E209" i="1"/>
  <c r="E974" i="1"/>
  <c r="E818" i="1"/>
  <c r="E94" i="1"/>
  <c r="E428" i="1"/>
  <c r="E970" i="1"/>
  <c r="E220" i="1"/>
  <c r="E699" i="1"/>
  <c r="E886" i="1"/>
  <c r="E313" i="1"/>
  <c r="E180" i="1"/>
  <c r="E876" i="1"/>
  <c r="E524" i="1"/>
  <c r="E215" i="1"/>
  <c r="E693" i="1"/>
  <c r="E119" i="1"/>
  <c r="E675" i="1"/>
  <c r="E984" i="1"/>
  <c r="E613" i="1"/>
  <c r="E107" i="1"/>
  <c r="E891" i="1"/>
  <c r="E614" i="1"/>
  <c r="E232" i="1"/>
  <c r="E176" i="1"/>
  <c r="E445" i="1"/>
  <c r="E187" i="1"/>
  <c r="E542" i="1"/>
  <c r="E852" i="1"/>
  <c r="E696" i="1"/>
  <c r="E420" i="1"/>
  <c r="E337" i="1"/>
  <c r="E108" i="1"/>
  <c r="E88" i="1"/>
  <c r="E167" i="1"/>
  <c r="E370" i="1"/>
  <c r="E379" i="1"/>
  <c r="E516" i="1"/>
  <c r="E498" i="1"/>
  <c r="E387" i="1"/>
  <c r="E345" i="1"/>
  <c r="E861" i="1"/>
  <c r="E227" i="1"/>
  <c r="E954" i="1"/>
  <c r="E499" i="1"/>
  <c r="E557" i="1"/>
  <c r="E853" i="1"/>
  <c r="E716" i="1"/>
  <c r="E294" i="1"/>
  <c r="E996" i="1"/>
  <c r="E768" i="1"/>
  <c r="E402" i="1"/>
  <c r="E656" i="1"/>
  <c r="E392" i="1"/>
  <c r="E690" i="1"/>
  <c r="E517" i="1"/>
  <c r="E873" i="1"/>
  <c r="E362" i="1"/>
  <c r="E789" i="1"/>
  <c r="E769" i="1"/>
  <c r="E100" i="1"/>
  <c r="E388" i="1"/>
  <c r="E81" i="1"/>
  <c r="E898" i="1"/>
  <c r="E714" i="1"/>
  <c r="E919" i="1"/>
  <c r="E351" i="1"/>
  <c r="E979" i="1"/>
  <c r="E21" i="1"/>
  <c r="E90" i="1"/>
  <c r="E682" i="1"/>
  <c r="E505" i="1"/>
  <c r="E243" i="1"/>
  <c r="E166" i="1"/>
  <c r="E85" i="1"/>
  <c r="E203" i="1"/>
  <c r="E590" i="1"/>
  <c r="E934" i="1"/>
  <c r="E139" i="1"/>
  <c r="E244" i="1"/>
  <c r="E67" i="1"/>
  <c r="E206" i="1"/>
  <c r="E328" i="1"/>
  <c r="E686" i="1"/>
  <c r="E295" i="1"/>
  <c r="E289" i="1"/>
  <c r="E518" i="1"/>
  <c r="E912" i="1"/>
  <c r="E810" i="1"/>
  <c r="E134" i="1"/>
  <c r="E461" i="1"/>
  <c r="E454" i="1"/>
  <c r="E743" i="1"/>
  <c r="E813" i="1"/>
  <c r="E164" i="1"/>
  <c r="E843" i="1"/>
  <c r="E433" i="1"/>
  <c r="E245" i="1"/>
  <c r="E462" i="1"/>
  <c r="E870" i="1"/>
  <c r="E250" i="1"/>
  <c r="E991" i="1"/>
  <c r="E760" i="1"/>
  <c r="E701" i="1"/>
  <c r="E314" i="1"/>
  <c r="E797" i="1"/>
  <c r="E55" i="1"/>
  <c r="E144" i="1"/>
  <c r="E569" i="1"/>
  <c r="E281" i="1"/>
  <c r="E358" i="1"/>
  <c r="E819" i="1"/>
  <c r="E615" i="1"/>
  <c r="E258" i="1"/>
  <c r="E397" i="1"/>
  <c r="E907" i="1"/>
  <c r="E414" i="1"/>
  <c r="E858" i="1"/>
  <c r="E799" i="1"/>
  <c r="E611" i="1"/>
  <c r="E441" i="1"/>
  <c r="E27" i="1"/>
  <c r="E570" i="1"/>
  <c r="E83" i="1"/>
  <c r="E495" i="1"/>
  <c r="E643" i="1"/>
  <c r="E160" i="1"/>
  <c r="E800" i="1"/>
  <c r="E111" i="1"/>
  <c r="E359" i="1"/>
  <c r="E914" i="1"/>
  <c r="E311" i="1"/>
  <c r="E455" i="1"/>
  <c r="E606" i="1"/>
  <c r="E948" i="1"/>
  <c r="E584" i="1"/>
  <c r="E7" i="1"/>
  <c r="E380" i="1"/>
  <c r="E38" i="1"/>
  <c r="E262" i="1"/>
  <c r="E1001" i="1"/>
  <c r="E745" i="1"/>
  <c r="E992" i="1"/>
  <c r="E624" i="1"/>
  <c r="E997" i="1"/>
  <c r="E543" i="1"/>
  <c r="E720" i="1"/>
  <c r="E430" i="1"/>
  <c r="E438" i="1"/>
  <c r="E579" i="1"/>
  <c r="E315" i="1"/>
  <c r="E153" i="1"/>
  <c r="E300" i="1"/>
  <c r="E363" i="1"/>
  <c r="E301" i="1"/>
  <c r="E456" i="1"/>
  <c r="E150" i="1"/>
  <c r="E610" i="1"/>
  <c r="E547" i="1"/>
  <c r="E360" i="1"/>
  <c r="E601" i="1"/>
  <c r="E128" i="1"/>
  <c r="E398" i="1"/>
  <c r="E865" i="1"/>
  <c r="E34" i="1"/>
  <c r="E838" i="1"/>
  <c r="E803" i="1"/>
  <c r="E296" i="1"/>
  <c r="E96" i="1"/>
  <c r="E571" i="1"/>
  <c r="E761" i="1"/>
  <c r="E671" i="1"/>
  <c r="E434" i="1"/>
  <c r="E341" i="1"/>
  <c r="E138" i="1"/>
  <c r="E186" i="1"/>
  <c r="E908" i="1"/>
  <c r="E641" i="1"/>
  <c r="E219" i="1"/>
  <c r="E95" i="1"/>
  <c r="E537" i="1"/>
  <c r="E847" i="1"/>
  <c r="E805" i="1"/>
  <c r="E721" i="1"/>
  <c r="E866" i="1"/>
  <c r="E457" i="1"/>
  <c r="E733" i="1"/>
  <c r="E400" i="1"/>
  <c r="E84" i="1"/>
  <c r="E490" i="1"/>
  <c r="E2" i="1"/>
  <c r="E240" i="1"/>
  <c r="E51" i="1"/>
  <c r="E944" i="1"/>
  <c r="E635" i="1"/>
  <c r="E367" i="1"/>
  <c r="E811" i="1"/>
  <c r="E980" i="1"/>
  <c r="E130" i="1"/>
  <c r="E563" i="1"/>
  <c r="E346" i="1"/>
  <c r="E158" i="1"/>
  <c r="E331" i="1"/>
  <c r="E259" i="1"/>
  <c r="E519" i="1"/>
  <c r="E223" i="1"/>
  <c r="E854" i="1"/>
  <c r="E500" i="1"/>
  <c r="E619" i="1"/>
  <c r="E202" i="1"/>
  <c r="E734" i="1"/>
  <c r="E241" i="1"/>
  <c r="E793" i="1"/>
  <c r="E564" i="1"/>
  <c r="E393" i="1"/>
  <c r="E985" i="1"/>
  <c r="E263" i="1"/>
  <c r="E45" i="1"/>
  <c r="E965" i="1"/>
  <c r="E229" i="1"/>
  <c r="E704" i="1"/>
  <c r="E272" i="1"/>
  <c r="E520" i="1"/>
  <c r="E106" i="1"/>
  <c r="E28" i="1"/>
  <c r="E473" i="1"/>
  <c r="E131" i="1"/>
  <c r="E214" i="1"/>
  <c r="E10" i="1"/>
  <c r="E548" i="1"/>
  <c r="E216" i="1"/>
  <c r="E496" i="1"/>
  <c r="E463" i="1"/>
  <c r="E52" i="1"/>
  <c r="E200" i="1"/>
  <c r="E549" i="1"/>
  <c r="E652" i="1"/>
  <c r="E265" i="1"/>
  <c r="E940" i="1"/>
  <c r="E506" i="1"/>
  <c r="E981" i="1"/>
  <c r="E491" i="1"/>
  <c r="E89" i="1"/>
  <c r="E820" i="1"/>
  <c r="E560" i="1"/>
  <c r="E937" i="1"/>
  <c r="E859" i="1"/>
  <c r="E378" i="1"/>
  <c r="E9" i="1"/>
  <c r="E449" i="1"/>
  <c r="E308" i="1"/>
  <c r="E929" i="1"/>
  <c r="E192" i="1"/>
  <c r="E839" i="1"/>
  <c r="E762" i="1"/>
  <c r="E403" i="1"/>
  <c r="E660" i="1"/>
  <c r="E687" i="1"/>
  <c r="E790" i="1"/>
  <c r="E628" i="1"/>
  <c r="E591" i="1"/>
  <c r="E44" i="1"/>
  <c r="E446" i="1"/>
  <c r="E860" i="1"/>
  <c r="E722" i="1"/>
  <c r="E951" i="1"/>
  <c r="E665" i="1"/>
  <c r="E332" i="1"/>
  <c r="E525" i="1"/>
  <c r="E501" i="1"/>
  <c r="E893" i="1"/>
  <c r="E566" i="1"/>
  <c r="E909" i="1"/>
  <c r="E193" i="1"/>
  <c r="E856" i="1"/>
  <c r="E58" i="1"/>
  <c r="E132" i="1"/>
  <c r="E874" i="1"/>
  <c r="E86" i="1"/>
  <c r="E706" i="1"/>
  <c r="E575" i="1"/>
  <c r="E13" i="1"/>
  <c r="E794" i="1"/>
  <c r="E862" i="1"/>
  <c r="E204" i="1"/>
  <c r="E33" i="1"/>
  <c r="E165" i="1"/>
  <c r="E510" i="1"/>
  <c r="E736" i="1"/>
  <c r="E326" i="1"/>
  <c r="E959" i="1"/>
  <c r="E102" i="1"/>
  <c r="E17" i="1"/>
  <c r="E122" i="1"/>
  <c r="E901" i="1"/>
  <c r="E676" i="1"/>
  <c r="E672" i="1"/>
  <c r="E66" i="1"/>
  <c r="E234" i="1"/>
  <c r="E567" i="1"/>
  <c r="E705" i="1"/>
  <c r="E347" i="1"/>
  <c r="E952" i="1"/>
  <c r="E629" i="1"/>
  <c r="E593" i="1"/>
  <c r="E867" i="1"/>
  <c r="E715" i="1"/>
  <c r="E677" i="1"/>
  <c r="E809" i="1"/>
  <c r="E739" i="1"/>
  <c r="E377" i="1"/>
  <c r="E935" i="1"/>
  <c r="E113" i="1"/>
  <c r="E194" i="1"/>
  <c r="E939" i="1"/>
  <c r="E972" i="1"/>
  <c r="E678" i="1"/>
  <c r="E975" i="1"/>
  <c r="E868" i="1"/>
  <c r="E47" i="1"/>
  <c r="E993" i="1"/>
  <c r="E625" i="1"/>
  <c r="E913" i="1"/>
  <c r="E630" i="1"/>
  <c r="E626" i="1"/>
  <c r="E77" i="1"/>
  <c r="E421" i="1"/>
  <c r="E118" i="1"/>
  <c r="E533" i="1"/>
  <c r="E488" i="1"/>
  <c r="E840" i="1"/>
  <c r="E40" i="1"/>
  <c r="E594" i="1"/>
  <c r="E312" i="1"/>
  <c r="E824" i="1"/>
  <c r="E218" i="1"/>
  <c r="E636" i="1"/>
  <c r="E976" i="1"/>
  <c r="E554" i="1"/>
  <c r="E5" i="1"/>
  <c r="E140" i="1"/>
  <c r="E832" i="1"/>
  <c r="E56" i="1"/>
  <c r="E450" i="1"/>
  <c r="E902" i="1"/>
  <c r="E526" i="1"/>
  <c r="E657" i="1"/>
  <c r="E451" i="1"/>
  <c r="E474" i="1"/>
  <c r="E661" i="1"/>
  <c r="E188" i="1"/>
  <c r="E631" i="1"/>
  <c r="E770" i="1"/>
  <c r="E587" i="1"/>
  <c r="E960" i="1"/>
  <c r="E595" i="1"/>
  <c r="E142" i="1"/>
  <c r="E484" i="1"/>
  <c r="E930" i="1"/>
  <c r="E662" i="1"/>
  <c r="E374" i="1"/>
  <c r="E342" i="1"/>
  <c r="E60" i="1"/>
  <c r="E732" i="1"/>
  <c r="E627" i="1"/>
  <c r="E114" i="1"/>
  <c r="E773" i="1"/>
  <c r="E43" i="1"/>
  <c r="E953" i="1"/>
  <c r="E255" i="1"/>
  <c r="E941" i="1"/>
  <c r="E857" i="1"/>
  <c r="E612" i="1"/>
  <c r="E260" i="1"/>
  <c r="E410" i="1"/>
  <c r="E361" i="1"/>
  <c r="E382" i="1"/>
  <c r="E207" i="1"/>
  <c r="E855" i="1"/>
  <c r="E6" i="1"/>
  <c r="E502" i="1"/>
  <c r="E871" i="1"/>
  <c r="E923" i="1"/>
  <c r="E159" i="1"/>
  <c r="E679" i="1"/>
  <c r="E568" i="1"/>
  <c r="E737" i="1"/>
  <c r="E915" i="1"/>
  <c r="E529" i="1"/>
  <c r="E78" i="1"/>
  <c r="E343" i="1"/>
  <c r="E620" i="1"/>
  <c r="E986" i="1"/>
  <c r="E744" i="1"/>
  <c r="E826" i="1"/>
  <c r="E863" i="1"/>
  <c r="E889" i="1"/>
  <c r="E691" i="1"/>
  <c r="E880" i="1"/>
  <c r="E154" i="1"/>
  <c r="E763" i="1"/>
  <c r="E104" i="1"/>
  <c r="E31" i="1"/>
  <c r="E396" i="1"/>
  <c r="E530" i="1"/>
  <c r="E338" i="1"/>
  <c r="E442" i="1"/>
  <c r="E475" i="1"/>
  <c r="E576" i="1"/>
  <c r="E534" i="1"/>
  <c r="E368" i="1"/>
  <c r="E162" i="1"/>
  <c r="E999" i="1"/>
  <c r="E806" i="1"/>
  <c r="E247" i="1"/>
  <c r="E282" i="1"/>
  <c r="E585" i="1"/>
  <c r="E112" i="1"/>
  <c r="E148" i="1"/>
  <c r="E814" i="1"/>
  <c r="E168" i="1"/>
  <c r="E920" i="1"/>
  <c r="E404" i="1"/>
  <c r="E163" i="1"/>
  <c r="O394" i="1"/>
  <c r="P394" i="1" s="1"/>
  <c r="O592" i="1"/>
  <c r="P592" i="1" s="1"/>
  <c r="O68" i="1"/>
  <c r="P68" i="1" s="1"/>
  <c r="O740" i="1"/>
  <c r="P740" i="1" s="1"/>
  <c r="O607" i="1"/>
  <c r="P607" i="1" s="1"/>
  <c r="O942" i="1"/>
  <c r="P942" i="1" s="1"/>
  <c r="O921" i="1"/>
  <c r="P921" i="1" s="1"/>
  <c r="O717" i="1"/>
  <c r="P717" i="1" s="1"/>
  <c r="O61" i="1"/>
  <c r="P61" i="1" s="1"/>
  <c r="O439" i="1"/>
  <c r="P439" i="1" s="1"/>
  <c r="O447" i="1"/>
  <c r="P447" i="1" s="1"/>
  <c r="O835" i="1"/>
  <c r="P835" i="1" s="1"/>
  <c r="O688" i="1"/>
  <c r="P688" i="1" s="1"/>
  <c r="O697" i="1"/>
  <c r="P697" i="1" s="1"/>
  <c r="O91" i="1"/>
  <c r="P91" i="1" s="1"/>
  <c r="O926" i="1"/>
  <c r="P926" i="1" s="1"/>
  <c r="O987" i="1"/>
  <c r="P987" i="1" s="1"/>
  <c r="O801" i="1"/>
  <c r="P801" i="1" s="1"/>
  <c r="O565" i="1"/>
  <c r="P565" i="1" s="1"/>
  <c r="O109" i="1"/>
  <c r="P109" i="1" s="1"/>
  <c r="O92" i="1"/>
  <c r="P92" i="1" s="1"/>
  <c r="O778" i="1"/>
  <c r="P778" i="1" s="1"/>
  <c r="O710" i="1"/>
  <c r="P710" i="1" s="1"/>
  <c r="O1000" i="1"/>
  <c r="P1000" i="1" s="1"/>
  <c r="O70" i="1"/>
  <c r="P70" i="1" s="1"/>
  <c r="O283" i="1"/>
  <c r="P283" i="1" s="1"/>
  <c r="O949" i="1"/>
  <c r="P949" i="1" s="1"/>
  <c r="O418" i="1"/>
  <c r="P418" i="1" s="1"/>
  <c r="O381" i="1"/>
  <c r="P381" i="1" s="1"/>
  <c r="O864" i="1"/>
  <c r="P864" i="1" s="1"/>
  <c r="O210" i="1"/>
  <c r="P210" i="1" s="1"/>
  <c r="O123" i="1"/>
  <c r="P123" i="1" s="1"/>
  <c r="O746" i="1"/>
  <c r="P746" i="1" s="1"/>
  <c r="O237" i="1"/>
  <c r="P237" i="1" s="1"/>
  <c r="O266" i="1"/>
  <c r="P266" i="1" s="1"/>
  <c r="O369" i="1"/>
  <c r="P369" i="1" s="1"/>
  <c r="O333" i="1"/>
  <c r="P333" i="1" s="1"/>
  <c r="O881" i="1"/>
  <c r="P881" i="1" s="1"/>
  <c r="O692" i="1"/>
  <c r="P692" i="1" s="1"/>
  <c r="O476" i="1"/>
  <c r="P476" i="1" s="1"/>
  <c r="O825" i="1"/>
  <c r="P825" i="1" s="1"/>
  <c r="O246" i="1"/>
  <c r="P246" i="1" s="1"/>
  <c r="O135" i="1"/>
  <c r="P135" i="1" s="1"/>
  <c r="O399" i="1"/>
  <c r="P399" i="1" s="1"/>
  <c r="O821" i="1"/>
  <c r="P821" i="1" s="1"/>
  <c r="O910" i="1"/>
  <c r="P910" i="1" s="1"/>
  <c r="O664" i="1"/>
  <c r="P664" i="1" s="1"/>
  <c r="O666" i="1"/>
  <c r="P666" i="1" s="1"/>
  <c r="O982" i="1"/>
  <c r="P982" i="1" s="1"/>
  <c r="O25" i="1"/>
  <c r="P25" i="1" s="1"/>
  <c r="O848" i="1"/>
  <c r="P848" i="1" s="1"/>
  <c r="O184" i="1"/>
  <c r="P184" i="1" s="1"/>
  <c r="O422" i="1"/>
  <c r="P422" i="1" s="1"/>
  <c r="O273" i="1"/>
  <c r="P273" i="1" s="1"/>
  <c r="O458" i="1"/>
  <c r="P458" i="1" s="1"/>
  <c r="O931" i="1"/>
  <c r="P931" i="1" s="1"/>
  <c r="O97" i="1"/>
  <c r="P97" i="1" s="1"/>
  <c r="O841" i="1"/>
  <c r="P841" i="1" s="1"/>
  <c r="O151" i="1"/>
  <c r="P151" i="1" s="1"/>
  <c r="O877" i="1"/>
  <c r="P877" i="1" s="1"/>
  <c r="O655" i="1"/>
  <c r="P655" i="1" s="1"/>
  <c r="O531" i="1"/>
  <c r="P531" i="1" s="1"/>
  <c r="O667" i="1"/>
  <c r="P667" i="1" s="1"/>
  <c r="O883" i="1"/>
  <c r="P883" i="1" s="1"/>
  <c r="O642" i="1"/>
  <c r="P642" i="1" s="1"/>
  <c r="O621" i="1"/>
  <c r="P621" i="1" s="1"/>
  <c r="O324" i="1"/>
  <c r="P324" i="1" s="1"/>
  <c r="O477" i="1"/>
  <c r="P477" i="1" s="1"/>
  <c r="O702" i="1"/>
  <c r="P702" i="1" s="1"/>
  <c r="O957" i="1"/>
  <c r="P957" i="1" s="1"/>
  <c r="O62" i="1"/>
  <c r="P62" i="1" s="1"/>
  <c r="O423" i="1"/>
  <c r="P423" i="1" s="1"/>
  <c r="O785" i="1"/>
  <c r="P785" i="1" s="1"/>
  <c r="O155" i="1"/>
  <c r="P155" i="1" s="1"/>
  <c r="O191" i="1"/>
  <c r="P191" i="1" s="1"/>
  <c r="O197" i="1"/>
  <c r="P197" i="1" s="1"/>
  <c r="O480" i="1"/>
  <c r="P480" i="1" s="1"/>
  <c r="O79" i="1"/>
  <c r="P79" i="1" s="1"/>
  <c r="O375" i="1"/>
  <c r="P375" i="1" s="1"/>
  <c r="O936" i="1"/>
  <c r="P936" i="1" s="1"/>
  <c r="O757" i="1"/>
  <c r="P757" i="1" s="1"/>
  <c r="O408" i="1"/>
  <c r="P408" i="1" s="1"/>
  <c r="O994" i="1"/>
  <c r="P994" i="1" s="1"/>
  <c r="O916" i="1"/>
  <c r="P916" i="1" s="1"/>
  <c r="O511" i="1"/>
  <c r="P511" i="1" s="1"/>
  <c r="O415" i="1"/>
  <c r="P415" i="1" s="1"/>
  <c r="O668" i="1"/>
  <c r="P668" i="1" s="1"/>
  <c r="O426" i="1"/>
  <c r="P426" i="1" s="1"/>
  <c r="O32" i="1"/>
  <c r="P32" i="1" s="1"/>
  <c r="O899" i="1"/>
  <c r="P899" i="1" s="1"/>
  <c r="O98" i="1"/>
  <c r="P98" i="1" s="1"/>
  <c r="O512" i="1"/>
  <c r="P512" i="1" s="1"/>
  <c r="O320" i="1"/>
  <c r="P320" i="1" s="1"/>
  <c r="O497" i="1"/>
  <c r="P497" i="1" s="1"/>
  <c r="O270" i="1"/>
  <c r="P270" i="1" s="1"/>
  <c r="O459" i="1"/>
  <c r="P459" i="1" s="1"/>
  <c r="O924" i="1"/>
  <c r="P924" i="1" s="1"/>
  <c r="O771" i="1"/>
  <c r="P771" i="1" s="1"/>
  <c r="O950" i="1"/>
  <c r="P950" i="1" s="1"/>
  <c r="O669" i="1"/>
  <c r="P669" i="1" s="1"/>
  <c r="O752" i="1"/>
  <c r="P752" i="1" s="1"/>
  <c r="O712" i="1"/>
  <c r="P712" i="1" s="1"/>
  <c r="O443" i="1"/>
  <c r="P443" i="1" s="1"/>
  <c r="O513" i="1"/>
  <c r="P513" i="1" s="1"/>
  <c r="O478" i="1"/>
  <c r="P478" i="1" s="1"/>
  <c r="O116" i="1"/>
  <c r="P116" i="1" s="1"/>
  <c r="O927" i="1"/>
  <c r="P927" i="1" s="1"/>
  <c r="O894" i="1"/>
  <c r="P894" i="1" s="1"/>
  <c r="O727" i="1"/>
  <c r="P727" i="1" s="1"/>
  <c r="O882" i="1"/>
  <c r="P882" i="1" s="1"/>
  <c r="O348" i="1"/>
  <c r="P348" i="1" s="1"/>
  <c r="O303" i="1"/>
  <c r="P303" i="1" s="1"/>
  <c r="O973" i="1"/>
  <c r="P973" i="1" s="1"/>
  <c r="O774" i="1"/>
  <c r="P774" i="1" s="1"/>
  <c r="O383" i="1"/>
  <c r="P383" i="1" s="1"/>
  <c r="O145" i="1"/>
  <c r="P145" i="1" s="1"/>
  <c r="O409" i="1"/>
  <c r="P409" i="1" s="1"/>
  <c r="O558" i="1"/>
  <c r="P558" i="1" s="1"/>
  <c r="O228" i="1"/>
  <c r="P228" i="1" s="1"/>
  <c r="O321" i="1"/>
  <c r="P321" i="1" s="1"/>
  <c r="O786" i="1"/>
  <c r="P786" i="1" s="1"/>
  <c r="O741" i="1"/>
  <c r="P741" i="1" s="1"/>
  <c r="O753" i="1"/>
  <c r="P753" i="1" s="1"/>
  <c r="O356" i="1"/>
  <c r="P356" i="1" s="1"/>
  <c r="O24" i="1"/>
  <c r="P24" i="1" s="1"/>
  <c r="O827" i="1"/>
  <c r="P827" i="1" s="1"/>
  <c r="O723" i="1"/>
  <c r="P723" i="1" s="1"/>
  <c r="O416" i="1"/>
  <c r="P416" i="1" s="1"/>
  <c r="O468" i="1"/>
  <c r="P468" i="1" s="1"/>
  <c r="O602" i="1"/>
  <c r="P602" i="1" s="1"/>
  <c r="O828" i="1"/>
  <c r="P828" i="1" s="1"/>
  <c r="O110" i="1"/>
  <c r="P110" i="1" s="1"/>
  <c r="O181" i="1"/>
  <c r="P181" i="1" s="1"/>
  <c r="O572" i="1"/>
  <c r="P572" i="1" s="1"/>
  <c r="O50" i="1"/>
  <c r="P50" i="1" s="1"/>
  <c r="O703" i="1"/>
  <c r="P703" i="1" s="1"/>
  <c r="O538" i="1"/>
  <c r="P538" i="1" s="1"/>
  <c r="O869" i="1"/>
  <c r="P869" i="1" s="1"/>
  <c r="O596" i="1"/>
  <c r="P596" i="1" s="1"/>
  <c r="O339" i="1"/>
  <c r="P339" i="1" s="1"/>
  <c r="O603" i="1"/>
  <c r="P603" i="1" s="1"/>
  <c r="O256" i="1"/>
  <c r="P256" i="1" s="1"/>
  <c r="O831" i="1"/>
  <c r="P831" i="1" s="1"/>
  <c r="O989" i="1"/>
  <c r="P989" i="1" s="1"/>
  <c r="O822" i="1"/>
  <c r="P822" i="1" s="1"/>
  <c r="O836" i="1"/>
  <c r="P836" i="1" s="1"/>
  <c r="O684" i="1"/>
  <c r="P684" i="1" s="1"/>
  <c r="O775" i="1"/>
  <c r="P775" i="1" s="1"/>
  <c r="O329" i="1"/>
  <c r="P329" i="1" s="1"/>
  <c r="O685" i="1"/>
  <c r="P685" i="1" s="1"/>
  <c r="O925" i="1"/>
  <c r="P925" i="1" s="1"/>
  <c r="O990" i="1"/>
  <c r="P990" i="1" s="1"/>
  <c r="O126" i="1"/>
  <c r="P126" i="1" s="1"/>
  <c r="O713" i="1"/>
  <c r="P713" i="1" s="1"/>
  <c r="O71" i="1"/>
  <c r="P71" i="1" s="1"/>
  <c r="O917" i="1"/>
  <c r="P917" i="1" s="1"/>
  <c r="O507" i="1"/>
  <c r="P507" i="1" s="1"/>
  <c r="O966" i="1"/>
  <c r="P966" i="1" s="1"/>
  <c r="O304" i="1"/>
  <c r="P304" i="1" s="1"/>
  <c r="O647" i="1"/>
  <c r="P647" i="1" s="1"/>
  <c r="O683" i="1"/>
  <c r="P683" i="1" s="1"/>
  <c r="O251" i="1"/>
  <c r="P251" i="1" s="1"/>
  <c r="O371" i="1"/>
  <c r="P371" i="1" s="1"/>
  <c r="O205" i="1"/>
  <c r="P205" i="1" s="1"/>
  <c r="O807" i="1"/>
  <c r="P807" i="1" s="1"/>
  <c r="O791" i="1"/>
  <c r="P791" i="1" s="1"/>
  <c r="O16" i="1"/>
  <c r="P16" i="1" s="1"/>
  <c r="O550" i="1"/>
  <c r="P550" i="1" s="1"/>
  <c r="O284" i="1"/>
  <c r="P284" i="1" s="1"/>
  <c r="O928" i="1"/>
  <c r="P928" i="1" s="1"/>
  <c r="O802" i="1"/>
  <c r="P802" i="1" s="1"/>
  <c r="O173" i="1"/>
  <c r="P173" i="1" s="1"/>
  <c r="O59" i="1"/>
  <c r="P59" i="1" s="1"/>
  <c r="O711" i="1"/>
  <c r="P711" i="1" s="1"/>
  <c r="O983" i="1"/>
  <c r="P983" i="1" s="1"/>
  <c r="O352" i="1"/>
  <c r="P352" i="1" s="1"/>
  <c r="O622" i="1"/>
  <c r="P622" i="1" s="1"/>
  <c r="O779" i="1"/>
  <c r="P779" i="1" s="1"/>
  <c r="O977" i="1"/>
  <c r="P977" i="1" s="1"/>
  <c r="O389" i="1"/>
  <c r="P389" i="1" s="1"/>
  <c r="O30" i="1"/>
  <c r="P30" i="1" s="1"/>
  <c r="O390" i="1"/>
  <c r="P390" i="1" s="1"/>
  <c r="O995" i="1"/>
  <c r="P995" i="1" s="1"/>
  <c r="O316" i="1"/>
  <c r="P316" i="1" s="1"/>
  <c r="O492" i="1"/>
  <c r="P492" i="1" s="1"/>
  <c r="O74" i="1"/>
  <c r="P74" i="1" s="1"/>
  <c r="O849" i="1"/>
  <c r="P849" i="1" s="1"/>
  <c r="O617" i="1"/>
  <c r="P617" i="1" s="1"/>
  <c r="O539" i="1"/>
  <c r="P539" i="1" s="1"/>
  <c r="O730" i="1"/>
  <c r="P730" i="1" s="1"/>
  <c r="O242" i="1"/>
  <c r="P242" i="1" s="1"/>
  <c r="O344" i="1"/>
  <c r="P344" i="1" s="1"/>
  <c r="O599" i="1"/>
  <c r="P599" i="1" s="1"/>
  <c r="O322" i="1"/>
  <c r="P322" i="1" s="1"/>
  <c r="O879" i="1"/>
  <c r="P879" i="1" s="1"/>
  <c r="O759" i="1"/>
  <c r="P759" i="1" s="1"/>
  <c r="O508" i="1"/>
  <c r="P508" i="1" s="1"/>
  <c r="O485" i="1"/>
  <c r="P485" i="1" s="1"/>
  <c r="O890" i="1"/>
  <c r="P890" i="1" s="1"/>
  <c r="O285" i="1"/>
  <c r="P285" i="1" s="1"/>
  <c r="O764" i="1"/>
  <c r="P764" i="1" s="1"/>
  <c r="O248" i="1"/>
  <c r="P248" i="1" s="1"/>
  <c r="O169" i="1"/>
  <c r="P169" i="1" s="1"/>
  <c r="O577" i="1"/>
  <c r="P577" i="1" s="1"/>
  <c r="O327" i="1"/>
  <c r="P327" i="1" s="1"/>
  <c r="O267" i="1"/>
  <c r="P267" i="1" s="1"/>
  <c r="O435" i="1"/>
  <c r="P435" i="1" s="1"/>
  <c r="O780" i="1"/>
  <c r="P780" i="1" s="1"/>
  <c r="O532" i="1"/>
  <c r="P532" i="1" s="1"/>
  <c r="O527" i="1"/>
  <c r="P527" i="1" s="1"/>
  <c r="O37" i="1"/>
  <c r="P37" i="1" s="1"/>
  <c r="O183" i="1"/>
  <c r="P183" i="1" s="1"/>
  <c r="O735" i="1"/>
  <c r="P735" i="1" s="1"/>
  <c r="O481" i="1"/>
  <c r="P481" i="1" s="1"/>
  <c r="O540" i="1"/>
  <c r="P540" i="1" s="1"/>
  <c r="O401" i="1"/>
  <c r="P401" i="1" s="1"/>
  <c r="O309" i="1"/>
  <c r="P309" i="1" s="1"/>
  <c r="O157" i="1"/>
  <c r="P157" i="1" s="1"/>
  <c r="O431" i="1"/>
  <c r="P431" i="1" s="1"/>
  <c r="O644" i="1"/>
  <c r="P644" i="1" s="1"/>
  <c r="O376" i="1"/>
  <c r="P376" i="1" s="1"/>
  <c r="O101" i="1"/>
  <c r="P101" i="1" s="1"/>
  <c r="O608" i="1"/>
  <c r="P608" i="1" s="1"/>
  <c r="O364" i="1"/>
  <c r="P364" i="1" s="1"/>
  <c r="O755" i="1"/>
  <c r="P755" i="1" s="1"/>
  <c r="O812" i="1"/>
  <c r="P812" i="1" s="1"/>
  <c r="O411" i="1"/>
  <c r="P411" i="1" s="1"/>
  <c r="O943" i="1"/>
  <c r="P943" i="1" s="1"/>
  <c r="O152" i="1"/>
  <c r="P152" i="1" s="1"/>
  <c r="O235" i="1"/>
  <c r="P235" i="1" s="1"/>
  <c r="O115" i="1"/>
  <c r="P115" i="1" s="1"/>
  <c r="O452" i="1"/>
  <c r="P452" i="1" s="1"/>
  <c r="O305" i="1"/>
  <c r="P305" i="1" s="1"/>
  <c r="O971" i="1"/>
  <c r="P971" i="1" s="1"/>
  <c r="O689" i="1"/>
  <c r="P689" i="1" s="1"/>
  <c r="O837" i="1"/>
  <c r="P837" i="1" s="1"/>
  <c r="O161" i="1"/>
  <c r="P161" i="1" s="1"/>
  <c r="O405" i="1"/>
  <c r="P405" i="1" s="1"/>
  <c r="O634" i="1"/>
  <c r="P634" i="1" s="1"/>
  <c r="O632" i="1"/>
  <c r="P632" i="1" s="1"/>
  <c r="O26" i="1"/>
  <c r="P26" i="1" s="1"/>
  <c r="O918" i="1"/>
  <c r="P918" i="1" s="1"/>
  <c r="O224" i="1"/>
  <c r="P224" i="1" s="1"/>
  <c r="O588" i="1"/>
  <c r="P588" i="1" s="1"/>
  <c r="O729" i="1"/>
  <c r="P729" i="1" s="1"/>
  <c r="O756" i="1"/>
  <c r="P756" i="1" s="1"/>
  <c r="O80" i="1"/>
  <c r="P80" i="1" s="1"/>
  <c r="O947" i="1"/>
  <c r="P947" i="1" s="1"/>
  <c r="O707" i="1"/>
  <c r="P707" i="1" s="1"/>
  <c r="O955" i="1"/>
  <c r="P955" i="1" s="1"/>
  <c r="O290" i="1"/>
  <c r="P290" i="1" s="1"/>
  <c r="O65" i="1"/>
  <c r="P65" i="1" s="1"/>
  <c r="O479" i="1"/>
  <c r="P479" i="1" s="1"/>
  <c r="O748" i="1"/>
  <c r="P748" i="1" s="1"/>
  <c r="O41" i="1"/>
  <c r="P41" i="1" s="1"/>
  <c r="O143" i="1"/>
  <c r="P143" i="1" s="1"/>
  <c r="O637" i="1"/>
  <c r="P637" i="1" s="1"/>
  <c r="O561" i="1"/>
  <c r="P561" i="1" s="1"/>
  <c r="O514" i="1"/>
  <c r="P514" i="1" s="1"/>
  <c r="O787" i="1"/>
  <c r="P787" i="1" s="1"/>
  <c r="O198" i="1"/>
  <c r="P198" i="1" s="1"/>
  <c r="O29" i="1"/>
  <c r="P29" i="1" s="1"/>
  <c r="O906" i="1"/>
  <c r="P906" i="1" s="1"/>
  <c r="O731" i="1"/>
  <c r="P731" i="1" s="1"/>
  <c r="O900" i="1"/>
  <c r="P900" i="1" s="1"/>
  <c r="O897" i="1"/>
  <c r="P897" i="1" s="1"/>
  <c r="O698" i="1"/>
  <c r="P698" i="1" s="1"/>
  <c r="O291" i="1"/>
  <c r="P291" i="1" s="1"/>
  <c r="O725" i="1"/>
  <c r="P725" i="1" s="1"/>
  <c r="O436" i="1"/>
  <c r="P436" i="1" s="1"/>
  <c r="O425" i="1"/>
  <c r="P425" i="1" s="1"/>
  <c r="O297" i="1"/>
  <c r="P297" i="1" s="1"/>
  <c r="O384" i="1"/>
  <c r="P384" i="1" s="1"/>
  <c r="O310" i="1"/>
  <c r="P310" i="1" s="1"/>
  <c r="O349" i="1"/>
  <c r="P349" i="1" s="1"/>
  <c r="O350" i="1"/>
  <c r="P350" i="1" s="1"/>
  <c r="O257" i="1"/>
  <c r="P257" i="1" s="1"/>
  <c r="O781" i="1"/>
  <c r="P781" i="1" s="1"/>
  <c r="O645" i="1"/>
  <c r="P645" i="1" s="1"/>
  <c r="O489" i="1"/>
  <c r="P489" i="1" s="1"/>
  <c r="O945" i="1"/>
  <c r="P945" i="1" s="1"/>
  <c r="O99" i="1"/>
  <c r="P99" i="1" s="1"/>
  <c r="O437" i="1"/>
  <c r="P437" i="1" s="1"/>
  <c r="O875" i="1"/>
  <c r="P875" i="1" s="1"/>
  <c r="O833" i="1"/>
  <c r="P833" i="1" s="1"/>
  <c r="O412" i="1"/>
  <c r="P412" i="1" s="1"/>
  <c r="O895" i="1"/>
  <c r="P895" i="1" s="1"/>
  <c r="O726" i="1"/>
  <c r="P726" i="1" s="1"/>
  <c r="O903" i="1"/>
  <c r="P903" i="1" s="1"/>
  <c r="O54" i="1"/>
  <c r="P54" i="1" s="1"/>
  <c r="O448" i="1"/>
  <c r="P448" i="1" s="1"/>
  <c r="O503" i="1"/>
  <c r="P503" i="1" s="1"/>
  <c r="O751" i="1"/>
  <c r="P751" i="1" s="1"/>
  <c r="O815" i="1"/>
  <c r="P815" i="1" s="1"/>
  <c r="O754" i="1"/>
  <c r="P754" i="1" s="1"/>
  <c r="O417" i="1"/>
  <c r="P417" i="1" s="1"/>
  <c r="O170" i="1"/>
  <c r="P170" i="1" s="1"/>
  <c r="O317" i="1"/>
  <c r="P317" i="1" s="1"/>
  <c r="O650" i="1"/>
  <c r="P650" i="1" s="1"/>
  <c r="O365" i="1"/>
  <c r="P365" i="1" s="1"/>
  <c r="O580" i="1"/>
  <c r="P580" i="1" s="1"/>
  <c r="O42" i="1"/>
  <c r="P42" i="1" s="1"/>
  <c r="O528" i="1"/>
  <c r="P528" i="1" s="1"/>
  <c r="O694" i="1"/>
  <c r="P694" i="1" s="1"/>
  <c r="O129" i="1"/>
  <c r="P129" i="1" s="1"/>
  <c r="O252" i="1"/>
  <c r="P252" i="1" s="1"/>
  <c r="O323" i="1"/>
  <c r="P323" i="1" s="1"/>
  <c r="O719" i="1"/>
  <c r="P719" i="1" s="1"/>
  <c r="O961" i="1"/>
  <c r="P961" i="1" s="1"/>
  <c r="O884" i="1"/>
  <c r="P884" i="1" s="1"/>
  <c r="O559" i="1"/>
  <c r="P559" i="1" s="1"/>
  <c r="O372" i="1"/>
  <c r="P372" i="1" s="1"/>
  <c r="O932" i="1"/>
  <c r="P932" i="1" s="1"/>
  <c r="O956" i="1"/>
  <c r="P956" i="1" s="1"/>
  <c r="O334" i="1"/>
  <c r="P334" i="1" s="1"/>
  <c r="O724" i="1"/>
  <c r="P724" i="1" s="1"/>
  <c r="O318" i="1"/>
  <c r="P318" i="1" s="1"/>
  <c r="O515" i="1"/>
  <c r="P515" i="1" s="1"/>
  <c r="O427" i="1"/>
  <c r="P427" i="1" s="1"/>
  <c r="O551" i="1"/>
  <c r="P551" i="1" s="1"/>
  <c r="O63" i="1"/>
  <c r="P63" i="1" s="1"/>
  <c r="O892" i="1"/>
  <c r="P892" i="1" s="1"/>
  <c r="O19" i="1"/>
  <c r="P19" i="1" s="1"/>
  <c r="O225" i="1"/>
  <c r="P225" i="1" s="1"/>
  <c r="O93" i="1"/>
  <c r="P93" i="1" s="1"/>
  <c r="O366" i="1"/>
  <c r="P366" i="1" s="1"/>
  <c r="O306" i="1"/>
  <c r="P306" i="1" s="1"/>
  <c r="O298" i="1"/>
  <c r="P298" i="1" s="1"/>
  <c r="O562" i="1"/>
  <c r="P562" i="1" s="1"/>
  <c r="O82" i="1"/>
  <c r="P82" i="1" s="1"/>
  <c r="O146" i="1"/>
  <c r="P146" i="1" s="1"/>
  <c r="O482" i="1"/>
  <c r="P482" i="1" s="1"/>
  <c r="O582" i="1"/>
  <c r="P582" i="1" s="1"/>
  <c r="O39" i="1"/>
  <c r="P39" i="1" s="1"/>
  <c r="O663" i="1"/>
  <c r="P663" i="1" s="1"/>
  <c r="O933" i="1"/>
  <c r="P933" i="1" s="1"/>
  <c r="O700" i="1"/>
  <c r="P700" i="1" s="1"/>
  <c r="O708" i="1"/>
  <c r="P708" i="1" s="1"/>
  <c r="O12" i="1"/>
  <c r="P12" i="1" s="1"/>
  <c r="O419" i="1"/>
  <c r="P419" i="1" s="1"/>
  <c r="O850" i="1"/>
  <c r="P850" i="1" s="1"/>
  <c r="O788" i="1"/>
  <c r="P788" i="1" s="1"/>
  <c r="O750" i="1"/>
  <c r="P750" i="1" s="1"/>
  <c r="O521" i="1"/>
  <c r="P521" i="1" s="1"/>
  <c r="O253" i="1"/>
  <c r="P253" i="1" s="1"/>
  <c r="O829" i="1"/>
  <c r="P829" i="1" s="1"/>
  <c r="O268" i="1"/>
  <c r="P268" i="1" s="1"/>
  <c r="O201" i="1"/>
  <c r="P201" i="1" s="1"/>
  <c r="O261" i="1"/>
  <c r="P261" i="1" s="1"/>
  <c r="O147" i="1"/>
  <c r="P147" i="1" s="1"/>
  <c r="O798" i="1"/>
  <c r="P798" i="1" s="1"/>
  <c r="O598" i="1"/>
  <c r="P598" i="1" s="1"/>
  <c r="O453" i="1"/>
  <c r="P453" i="1" s="1"/>
  <c r="O49" i="1"/>
  <c r="P49" i="1" s="1"/>
  <c r="O211" i="1"/>
  <c r="P211" i="1" s="1"/>
  <c r="O87" i="1"/>
  <c r="P87" i="1" s="1"/>
  <c r="O844" i="1"/>
  <c r="P844" i="1" s="1"/>
  <c r="O391" i="1"/>
  <c r="P391" i="1" s="1"/>
  <c r="O830" i="1"/>
  <c r="P830" i="1" s="1"/>
  <c r="O195" i="1"/>
  <c r="P195" i="1" s="1"/>
  <c r="O299" i="1"/>
  <c r="P299" i="1" s="1"/>
  <c r="O680" i="1"/>
  <c r="P680" i="1" s="1"/>
  <c r="O834" i="1"/>
  <c r="P834" i="1" s="1"/>
  <c r="O544" i="1"/>
  <c r="P544" i="1" s="1"/>
  <c r="O325" i="1"/>
  <c r="P325" i="1" s="1"/>
  <c r="O269" i="1"/>
  <c r="P269" i="1" s="1"/>
  <c r="O623" i="1"/>
  <c r="P623" i="1" s="1"/>
  <c r="O413" i="1"/>
  <c r="P413" i="1" s="1"/>
  <c r="O962" i="1"/>
  <c r="P962" i="1" s="1"/>
  <c r="O20" i="1"/>
  <c r="P20" i="1" s="1"/>
  <c r="O633" i="1"/>
  <c r="P633" i="1" s="1"/>
  <c r="O846" i="1"/>
  <c r="P846" i="1" s="1"/>
  <c r="O653" i="1"/>
  <c r="P653" i="1" s="1"/>
  <c r="O589" i="1"/>
  <c r="P589" i="1" s="1"/>
  <c r="O922" i="1"/>
  <c r="P922" i="1" s="1"/>
  <c r="O904" i="1"/>
  <c r="P904" i="1" s="1"/>
  <c r="O127" i="1"/>
  <c r="P127" i="1" s="1"/>
  <c r="O545" i="1"/>
  <c r="P545" i="1" s="1"/>
  <c r="O69" i="1"/>
  <c r="P69" i="1" s="1"/>
  <c r="O120" i="1"/>
  <c r="P120" i="1" s="1"/>
  <c r="O958" i="1"/>
  <c r="P958" i="1" s="1"/>
  <c r="O887" i="1"/>
  <c r="P887" i="1" s="1"/>
  <c r="O816" i="1"/>
  <c r="P816" i="1" s="1"/>
  <c r="O888" i="1"/>
  <c r="P888" i="1" s="1"/>
  <c r="O174" i="1"/>
  <c r="P174" i="1" s="1"/>
  <c r="O340" i="1"/>
  <c r="P340" i="1" s="1"/>
  <c r="O765" i="1"/>
  <c r="P765" i="1" s="1"/>
  <c r="O905" i="1"/>
  <c r="P905" i="1" s="1"/>
  <c r="O217" i="1"/>
  <c r="P217" i="1" s="1"/>
  <c r="O795" i="1"/>
  <c r="P795" i="1" s="1"/>
  <c r="O493" i="1"/>
  <c r="P493" i="1" s="1"/>
  <c r="O406" i="1"/>
  <c r="P406" i="1" s="1"/>
  <c r="O896" i="1"/>
  <c r="P896" i="1" s="1"/>
  <c r="O353" i="1"/>
  <c r="P353" i="1" s="1"/>
  <c r="O651" i="1"/>
  <c r="P651" i="1" s="1"/>
  <c r="O609" i="1"/>
  <c r="P609" i="1" s="1"/>
  <c r="O4" i="1"/>
  <c r="P4" i="1" s="1"/>
  <c r="O177" i="1"/>
  <c r="P177" i="1" s="1"/>
  <c r="O72" i="1"/>
  <c r="P72" i="1" s="1"/>
  <c r="O946" i="1"/>
  <c r="P946" i="1" s="1"/>
  <c r="O8" i="1"/>
  <c r="P8" i="1" s="1"/>
  <c r="O279" i="1"/>
  <c r="P279" i="1" s="1"/>
  <c r="O319" i="1"/>
  <c r="P319" i="1" s="1"/>
  <c r="O178" i="1"/>
  <c r="P178" i="1" s="1"/>
  <c r="O357" i="1"/>
  <c r="P357" i="1" s="1"/>
  <c r="O18" i="1"/>
  <c r="P18" i="1" s="1"/>
  <c r="O208" i="1"/>
  <c r="P208" i="1" s="1"/>
  <c r="O776" i="1"/>
  <c r="P776" i="1" s="1"/>
  <c r="O424" i="1"/>
  <c r="P424" i="1" s="1"/>
  <c r="O578" i="1"/>
  <c r="P578" i="1" s="1"/>
  <c r="O276" i="1"/>
  <c r="P276" i="1" s="1"/>
  <c r="O681" i="1"/>
  <c r="P681" i="1" s="1"/>
  <c r="O182" i="1"/>
  <c r="P182" i="1" s="1"/>
  <c r="O292" i="1"/>
  <c r="P292" i="1" s="1"/>
  <c r="O938" i="1"/>
  <c r="P938" i="1" s="1"/>
  <c r="O817" i="1"/>
  <c r="P817" i="1" s="1"/>
  <c r="O555" i="1"/>
  <c r="P555" i="1" s="1"/>
  <c r="O670" i="1"/>
  <c r="P670" i="1" s="1"/>
  <c r="O221" i="1"/>
  <c r="P221" i="1" s="1"/>
  <c r="O963" i="1"/>
  <c r="P963" i="1" s="1"/>
  <c r="O552" i="1"/>
  <c r="P552" i="1" s="1"/>
  <c r="O851" i="1"/>
  <c r="P851" i="1" s="1"/>
  <c r="O136" i="1"/>
  <c r="P136" i="1" s="1"/>
  <c r="O222" i="1"/>
  <c r="P222" i="1" s="1"/>
  <c r="O658" i="1"/>
  <c r="P658" i="1" s="1"/>
  <c r="O792" i="1"/>
  <c r="P792" i="1" s="1"/>
  <c r="O199" i="1"/>
  <c r="P199" i="1" s="1"/>
  <c r="O189" i="1"/>
  <c r="P189" i="1" s="1"/>
  <c r="O465" i="1"/>
  <c r="P465" i="1" s="1"/>
  <c r="O738" i="1"/>
  <c r="P738" i="1" s="1"/>
  <c r="O171" i="1"/>
  <c r="P171" i="1" s="1"/>
  <c r="O654" i="1"/>
  <c r="P654" i="1" s="1"/>
  <c r="O15" i="1"/>
  <c r="P15" i="1" s="1"/>
  <c r="O185" i="1"/>
  <c r="P185" i="1" s="1"/>
  <c r="O796" i="1"/>
  <c r="P796" i="1" s="1"/>
  <c r="O236" i="1"/>
  <c r="P236" i="1" s="1"/>
  <c r="O302" i="1"/>
  <c r="P302" i="1" s="1"/>
  <c r="O573" i="1"/>
  <c r="P573" i="1" s="1"/>
  <c r="O522" i="1"/>
  <c r="P522" i="1" s="1"/>
  <c r="O638" i="1"/>
  <c r="P638" i="1" s="1"/>
  <c r="O782" i="1"/>
  <c r="P782" i="1" s="1"/>
  <c r="O581" i="1"/>
  <c r="P581" i="1" s="1"/>
  <c r="O230" i="1"/>
  <c r="P230" i="1" s="1"/>
  <c r="O767" i="1"/>
  <c r="P767" i="1" s="1"/>
  <c r="O604" i="1"/>
  <c r="P604" i="1" s="1"/>
  <c r="O845" i="1"/>
  <c r="P845" i="1" s="1"/>
  <c r="O373" i="1"/>
  <c r="P373" i="1" s="1"/>
  <c r="O231" i="1"/>
  <c r="P231" i="1" s="1"/>
  <c r="O190" i="1"/>
  <c r="P190" i="1" s="1"/>
  <c r="O618" i="1"/>
  <c r="P618" i="1" s="1"/>
  <c r="O103" i="1"/>
  <c r="P103" i="1" s="1"/>
  <c r="O280" i="1"/>
  <c r="P280" i="1" s="1"/>
  <c r="O444" i="1"/>
  <c r="P444" i="1" s="1"/>
  <c r="O742" i="1"/>
  <c r="P742" i="1" s="1"/>
  <c r="O695" i="1"/>
  <c r="P695" i="1" s="1"/>
  <c r="O3" i="1"/>
  <c r="P3" i="1" s="1"/>
  <c r="O11" i="1"/>
  <c r="P11" i="1" s="1"/>
  <c r="O53" i="1"/>
  <c r="P53" i="1" s="1"/>
  <c r="O196" i="1"/>
  <c r="P196" i="1" s="1"/>
  <c r="O535" i="1"/>
  <c r="P535" i="1" s="1"/>
  <c r="O22" i="1"/>
  <c r="P22" i="1" s="1"/>
  <c r="O574" i="1"/>
  <c r="P574" i="1" s="1"/>
  <c r="O967" i="1"/>
  <c r="P967" i="1" s="1"/>
  <c r="O509" i="1"/>
  <c r="P509" i="1" s="1"/>
  <c r="O823" i="1"/>
  <c r="P823" i="1" s="1"/>
  <c r="O23" i="1"/>
  <c r="P23" i="1" s="1"/>
  <c r="O523" i="1"/>
  <c r="P523" i="1" s="1"/>
  <c r="O48" i="1"/>
  <c r="P48" i="1" s="1"/>
  <c r="O804" i="1"/>
  <c r="P804" i="1" s="1"/>
  <c r="O239" i="1"/>
  <c r="P239" i="1" s="1"/>
  <c r="O728" i="1"/>
  <c r="P728" i="1" s="1"/>
  <c r="O469" i="1"/>
  <c r="P469" i="1" s="1"/>
  <c r="O212" i="1"/>
  <c r="P212" i="1" s="1"/>
  <c r="O117" i="1"/>
  <c r="P117" i="1" s="1"/>
  <c r="O121" i="1"/>
  <c r="P121" i="1" s="1"/>
  <c r="O758" i="1"/>
  <c r="P758" i="1" s="1"/>
  <c r="O597" i="1"/>
  <c r="P597" i="1" s="1"/>
  <c r="O233" i="1"/>
  <c r="P233" i="1" s="1"/>
  <c r="O172" i="1"/>
  <c r="P172" i="1" s="1"/>
  <c r="O330" i="1"/>
  <c r="P330" i="1" s="1"/>
  <c r="O335" i="1"/>
  <c r="P335" i="1" s="1"/>
  <c r="O470" i="1"/>
  <c r="P470" i="1" s="1"/>
  <c r="O395" i="1"/>
  <c r="P395" i="1" s="1"/>
  <c r="O466" i="1"/>
  <c r="P466" i="1" s="1"/>
  <c r="O541" i="1"/>
  <c r="P541" i="1" s="1"/>
  <c r="O504" i="1"/>
  <c r="P504" i="1" s="1"/>
  <c r="O648" i="1"/>
  <c r="P648" i="1" s="1"/>
  <c r="O274" i="1"/>
  <c r="P274" i="1" s="1"/>
  <c r="O124" i="1"/>
  <c r="P124" i="1" s="1"/>
  <c r="O179" i="1"/>
  <c r="P179" i="1" s="1"/>
  <c r="O467" i="1"/>
  <c r="P467" i="1" s="1"/>
  <c r="O75" i="1"/>
  <c r="P75" i="1" s="1"/>
  <c r="O718" i="1"/>
  <c r="P718" i="1" s="1"/>
  <c r="O998" i="1"/>
  <c r="P998" i="1" s="1"/>
  <c r="O872" i="1"/>
  <c r="P872" i="1" s="1"/>
  <c r="O249" i="1"/>
  <c r="P249" i="1" s="1"/>
  <c r="O536" i="1"/>
  <c r="P536" i="1" s="1"/>
  <c r="O747" i="1"/>
  <c r="P747" i="1" s="1"/>
  <c r="O777" i="1"/>
  <c r="P777" i="1" s="1"/>
  <c r="O766" i="1"/>
  <c r="P766" i="1" s="1"/>
  <c r="O494" i="1"/>
  <c r="P494" i="1" s="1"/>
  <c r="O254" i="1"/>
  <c r="P254" i="1" s="1"/>
  <c r="O46" i="1"/>
  <c r="P46" i="1" s="1"/>
  <c r="O553" i="1"/>
  <c r="P553" i="1" s="1"/>
  <c r="O105" i="1"/>
  <c r="P105" i="1" s="1"/>
  <c r="O277" i="1"/>
  <c r="P277" i="1" s="1"/>
  <c r="O808" i="1"/>
  <c r="P808" i="1" s="1"/>
  <c r="O483" i="1"/>
  <c r="P483" i="1" s="1"/>
  <c r="O586" i="1"/>
  <c r="P586" i="1" s="1"/>
  <c r="O783" i="1"/>
  <c r="P783" i="1" s="1"/>
  <c r="O978" i="1"/>
  <c r="P978" i="1" s="1"/>
  <c r="O286" i="1"/>
  <c r="P286" i="1" s="1"/>
  <c r="O673" i="1"/>
  <c r="P673" i="1" s="1"/>
  <c r="O772" i="1"/>
  <c r="P772" i="1" s="1"/>
  <c r="O605" i="1"/>
  <c r="P605" i="1" s="1"/>
  <c r="O546" i="1"/>
  <c r="P546" i="1" s="1"/>
  <c r="O293" i="1"/>
  <c r="P293" i="1" s="1"/>
  <c r="O35" i="1"/>
  <c r="P35" i="1" s="1"/>
  <c r="O486" i="1"/>
  <c r="P486" i="1" s="1"/>
  <c r="O238" i="1"/>
  <c r="P238" i="1" s="1"/>
  <c r="O213" i="1"/>
  <c r="P213" i="1" s="1"/>
  <c r="O307" i="1"/>
  <c r="P307" i="1" s="1"/>
  <c r="O125" i="1"/>
  <c r="P125" i="1" s="1"/>
  <c r="O149" i="1"/>
  <c r="P149" i="1" s="1"/>
  <c r="O287" i="1"/>
  <c r="P287" i="1" s="1"/>
  <c r="O460" i="1"/>
  <c r="P460" i="1" s="1"/>
  <c r="O749" i="1"/>
  <c r="P749" i="1" s="1"/>
  <c r="O471" i="1"/>
  <c r="P471" i="1" s="1"/>
  <c r="O440" i="1"/>
  <c r="P440" i="1" s="1"/>
  <c r="O137" i="1"/>
  <c r="P137" i="1" s="1"/>
  <c r="O616" i="1"/>
  <c r="P616" i="1" s="1"/>
  <c r="O429" i="1"/>
  <c r="P429" i="1" s="1"/>
  <c r="O583" i="1"/>
  <c r="P583" i="1" s="1"/>
  <c r="O784" i="1"/>
  <c r="P784" i="1" s="1"/>
  <c r="O141" i="1"/>
  <c r="P141" i="1" s="1"/>
  <c r="O14" i="1"/>
  <c r="P14" i="1" s="1"/>
  <c r="O57" i="1"/>
  <c r="P57" i="1" s="1"/>
  <c r="O968" i="1"/>
  <c r="P968" i="1" s="1"/>
  <c r="O964" i="1"/>
  <c r="P964" i="1" s="1"/>
  <c r="O354" i="1"/>
  <c r="P354" i="1" s="1"/>
  <c r="O336" i="1"/>
  <c r="P336" i="1" s="1"/>
  <c r="O278" i="1"/>
  <c r="P278" i="1" s="1"/>
  <c r="O385" i="1"/>
  <c r="P385" i="1" s="1"/>
  <c r="O659" i="1"/>
  <c r="P659" i="1" s="1"/>
  <c r="O407" i="1"/>
  <c r="P407" i="1" s="1"/>
  <c r="O649" i="1"/>
  <c r="P649" i="1" s="1"/>
  <c r="O271" i="1"/>
  <c r="P271" i="1" s="1"/>
  <c r="O639" i="1"/>
  <c r="P639" i="1" s="1"/>
  <c r="O264" i="1"/>
  <c r="P264" i="1" s="1"/>
  <c r="O464" i="1"/>
  <c r="P464" i="1" s="1"/>
  <c r="O709" i="1"/>
  <c r="P709" i="1" s="1"/>
  <c r="O156" i="1"/>
  <c r="P156" i="1" s="1"/>
  <c r="O969" i="1"/>
  <c r="P969" i="1" s="1"/>
  <c r="O432" i="1"/>
  <c r="P432" i="1" s="1"/>
  <c r="O674" i="1"/>
  <c r="P674" i="1" s="1"/>
  <c r="O73" i="1"/>
  <c r="P73" i="1" s="1"/>
  <c r="O556" i="1"/>
  <c r="P556" i="1" s="1"/>
  <c r="O988" i="1"/>
  <c r="P988" i="1" s="1"/>
  <c r="O487" i="1"/>
  <c r="P487" i="1" s="1"/>
  <c r="O600" i="1"/>
  <c r="P600" i="1" s="1"/>
  <c r="O36" i="1"/>
  <c r="P36" i="1" s="1"/>
  <c r="O640" i="1"/>
  <c r="P640" i="1" s="1"/>
  <c r="O355" i="1"/>
  <c r="P355" i="1" s="1"/>
  <c r="O646" i="1"/>
  <c r="P646" i="1" s="1"/>
  <c r="O133" i="1"/>
  <c r="P133" i="1" s="1"/>
  <c r="O76" i="1"/>
  <c r="P76" i="1" s="1"/>
  <c r="O386" i="1"/>
  <c r="P386" i="1" s="1"/>
  <c r="O842" i="1"/>
  <c r="P842" i="1" s="1"/>
  <c r="O878" i="1"/>
  <c r="P878" i="1" s="1"/>
  <c r="O885" i="1"/>
  <c r="P885" i="1" s="1"/>
  <c r="O472" i="1"/>
  <c r="P472" i="1" s="1"/>
  <c r="O64" i="1"/>
  <c r="P64" i="1" s="1"/>
  <c r="O288" i="1"/>
  <c r="P288" i="1" s="1"/>
  <c r="O911" i="1"/>
  <c r="P911" i="1" s="1"/>
  <c r="O175" i="1"/>
  <c r="P175" i="1" s="1"/>
  <c r="O275" i="1"/>
  <c r="P275" i="1" s="1"/>
  <c r="O226" i="1"/>
  <c r="P226" i="1" s="1"/>
  <c r="O209" i="1"/>
  <c r="P209" i="1" s="1"/>
  <c r="O974" i="1"/>
  <c r="P974" i="1" s="1"/>
  <c r="O818" i="1"/>
  <c r="P818" i="1" s="1"/>
  <c r="O94" i="1"/>
  <c r="P94" i="1" s="1"/>
  <c r="O428" i="1"/>
  <c r="P428" i="1" s="1"/>
  <c r="O970" i="1"/>
  <c r="P970" i="1" s="1"/>
  <c r="O220" i="1"/>
  <c r="P220" i="1" s="1"/>
  <c r="O699" i="1"/>
  <c r="P699" i="1" s="1"/>
  <c r="O886" i="1"/>
  <c r="P886" i="1" s="1"/>
  <c r="O313" i="1"/>
  <c r="P313" i="1" s="1"/>
  <c r="O180" i="1"/>
  <c r="P180" i="1" s="1"/>
  <c r="O876" i="1"/>
  <c r="P876" i="1" s="1"/>
  <c r="O524" i="1"/>
  <c r="P524" i="1" s="1"/>
  <c r="O215" i="1"/>
  <c r="P215" i="1" s="1"/>
  <c r="O693" i="1"/>
  <c r="P693" i="1" s="1"/>
  <c r="O119" i="1"/>
  <c r="P119" i="1" s="1"/>
  <c r="O675" i="1"/>
  <c r="P675" i="1" s="1"/>
  <c r="O984" i="1"/>
  <c r="P984" i="1" s="1"/>
  <c r="O613" i="1"/>
  <c r="P613" i="1" s="1"/>
  <c r="O107" i="1"/>
  <c r="P107" i="1" s="1"/>
  <c r="O891" i="1"/>
  <c r="P891" i="1" s="1"/>
  <c r="O614" i="1"/>
  <c r="P614" i="1" s="1"/>
  <c r="O232" i="1"/>
  <c r="P232" i="1" s="1"/>
  <c r="O176" i="1"/>
  <c r="P176" i="1" s="1"/>
  <c r="O445" i="1"/>
  <c r="P445" i="1" s="1"/>
  <c r="O187" i="1"/>
  <c r="P187" i="1" s="1"/>
  <c r="O542" i="1"/>
  <c r="P542" i="1" s="1"/>
  <c r="O852" i="1"/>
  <c r="P852" i="1" s="1"/>
  <c r="O696" i="1"/>
  <c r="P696" i="1" s="1"/>
  <c r="O420" i="1"/>
  <c r="P420" i="1" s="1"/>
  <c r="O337" i="1"/>
  <c r="P337" i="1" s="1"/>
  <c r="O108" i="1"/>
  <c r="P108" i="1" s="1"/>
  <c r="O88" i="1"/>
  <c r="P88" i="1" s="1"/>
  <c r="O167" i="1"/>
  <c r="P167" i="1" s="1"/>
  <c r="O370" i="1"/>
  <c r="P370" i="1" s="1"/>
  <c r="O379" i="1"/>
  <c r="P379" i="1" s="1"/>
  <c r="O516" i="1"/>
  <c r="P516" i="1" s="1"/>
  <c r="O498" i="1"/>
  <c r="P498" i="1" s="1"/>
  <c r="O387" i="1"/>
  <c r="P387" i="1" s="1"/>
  <c r="O345" i="1"/>
  <c r="P345" i="1" s="1"/>
  <c r="O861" i="1"/>
  <c r="P861" i="1" s="1"/>
  <c r="O227" i="1"/>
  <c r="P227" i="1" s="1"/>
  <c r="O954" i="1"/>
  <c r="P954" i="1" s="1"/>
  <c r="O499" i="1"/>
  <c r="P499" i="1" s="1"/>
  <c r="O557" i="1"/>
  <c r="P557" i="1" s="1"/>
  <c r="O853" i="1"/>
  <c r="P853" i="1" s="1"/>
  <c r="O716" i="1"/>
  <c r="P716" i="1" s="1"/>
  <c r="O294" i="1"/>
  <c r="P294" i="1" s="1"/>
  <c r="O996" i="1"/>
  <c r="P996" i="1" s="1"/>
  <c r="O768" i="1"/>
  <c r="P768" i="1" s="1"/>
  <c r="O402" i="1"/>
  <c r="P402" i="1" s="1"/>
  <c r="O656" i="1"/>
  <c r="P656" i="1" s="1"/>
  <c r="O392" i="1"/>
  <c r="P392" i="1" s="1"/>
  <c r="O690" i="1"/>
  <c r="P690" i="1" s="1"/>
  <c r="O517" i="1"/>
  <c r="P517" i="1" s="1"/>
  <c r="O873" i="1"/>
  <c r="P873" i="1" s="1"/>
  <c r="O362" i="1"/>
  <c r="P362" i="1" s="1"/>
  <c r="O789" i="1"/>
  <c r="P789" i="1" s="1"/>
  <c r="O769" i="1"/>
  <c r="P769" i="1" s="1"/>
  <c r="O100" i="1"/>
  <c r="P100" i="1" s="1"/>
  <c r="O388" i="1"/>
  <c r="P388" i="1" s="1"/>
  <c r="O81" i="1"/>
  <c r="P81" i="1" s="1"/>
  <c r="O898" i="1"/>
  <c r="P898" i="1" s="1"/>
  <c r="O714" i="1"/>
  <c r="P714" i="1" s="1"/>
  <c r="O919" i="1"/>
  <c r="P919" i="1" s="1"/>
  <c r="O351" i="1"/>
  <c r="P351" i="1" s="1"/>
  <c r="O979" i="1"/>
  <c r="P979" i="1" s="1"/>
  <c r="O21" i="1"/>
  <c r="P21" i="1" s="1"/>
  <c r="O90" i="1"/>
  <c r="P90" i="1" s="1"/>
  <c r="O682" i="1"/>
  <c r="P682" i="1" s="1"/>
  <c r="O505" i="1"/>
  <c r="P505" i="1" s="1"/>
  <c r="O243" i="1"/>
  <c r="P243" i="1" s="1"/>
  <c r="O166" i="1"/>
  <c r="P166" i="1" s="1"/>
  <c r="O85" i="1"/>
  <c r="P85" i="1" s="1"/>
  <c r="O203" i="1"/>
  <c r="P203" i="1" s="1"/>
  <c r="O590" i="1"/>
  <c r="P590" i="1" s="1"/>
  <c r="O934" i="1"/>
  <c r="P934" i="1" s="1"/>
  <c r="O139" i="1"/>
  <c r="P139" i="1" s="1"/>
  <c r="O244" i="1"/>
  <c r="P244" i="1" s="1"/>
  <c r="O67" i="1"/>
  <c r="P67" i="1" s="1"/>
  <c r="O206" i="1"/>
  <c r="P206" i="1" s="1"/>
  <c r="O328" i="1"/>
  <c r="P328" i="1" s="1"/>
  <c r="O686" i="1"/>
  <c r="P686" i="1" s="1"/>
  <c r="O295" i="1"/>
  <c r="P295" i="1" s="1"/>
  <c r="O289" i="1"/>
  <c r="P289" i="1" s="1"/>
  <c r="O518" i="1"/>
  <c r="P518" i="1" s="1"/>
  <c r="O912" i="1"/>
  <c r="P912" i="1" s="1"/>
  <c r="O810" i="1"/>
  <c r="P810" i="1" s="1"/>
  <c r="O134" i="1"/>
  <c r="P134" i="1" s="1"/>
  <c r="O461" i="1"/>
  <c r="P461" i="1" s="1"/>
  <c r="O454" i="1"/>
  <c r="P454" i="1" s="1"/>
  <c r="O743" i="1"/>
  <c r="P743" i="1" s="1"/>
  <c r="O813" i="1"/>
  <c r="P813" i="1" s="1"/>
  <c r="O164" i="1"/>
  <c r="P164" i="1" s="1"/>
  <c r="O843" i="1"/>
  <c r="P843" i="1" s="1"/>
  <c r="O433" i="1"/>
  <c r="P433" i="1" s="1"/>
  <c r="O245" i="1"/>
  <c r="P245" i="1" s="1"/>
  <c r="O462" i="1"/>
  <c r="P462" i="1" s="1"/>
  <c r="O870" i="1"/>
  <c r="P870" i="1" s="1"/>
  <c r="O250" i="1"/>
  <c r="P250" i="1" s="1"/>
  <c r="O991" i="1"/>
  <c r="P991" i="1" s="1"/>
  <c r="O760" i="1"/>
  <c r="P760" i="1" s="1"/>
  <c r="O701" i="1"/>
  <c r="P701" i="1" s="1"/>
  <c r="O314" i="1"/>
  <c r="P314" i="1" s="1"/>
  <c r="O797" i="1"/>
  <c r="P797" i="1" s="1"/>
  <c r="O55" i="1"/>
  <c r="P55" i="1" s="1"/>
  <c r="O144" i="1"/>
  <c r="P144" i="1" s="1"/>
  <c r="O569" i="1"/>
  <c r="P569" i="1" s="1"/>
  <c r="O281" i="1"/>
  <c r="P281" i="1" s="1"/>
  <c r="O358" i="1"/>
  <c r="P358" i="1" s="1"/>
  <c r="O819" i="1"/>
  <c r="P819" i="1" s="1"/>
  <c r="O615" i="1"/>
  <c r="P615" i="1" s="1"/>
  <c r="O258" i="1"/>
  <c r="P258" i="1" s="1"/>
  <c r="O397" i="1"/>
  <c r="P397" i="1" s="1"/>
  <c r="O907" i="1"/>
  <c r="P907" i="1" s="1"/>
  <c r="O414" i="1"/>
  <c r="P414" i="1" s="1"/>
  <c r="O858" i="1"/>
  <c r="P858" i="1" s="1"/>
  <c r="O799" i="1"/>
  <c r="P799" i="1" s="1"/>
  <c r="O611" i="1"/>
  <c r="P611" i="1" s="1"/>
  <c r="O441" i="1"/>
  <c r="P441" i="1" s="1"/>
  <c r="O27" i="1"/>
  <c r="P27" i="1" s="1"/>
  <c r="O570" i="1"/>
  <c r="P570" i="1" s="1"/>
  <c r="O83" i="1"/>
  <c r="P83" i="1" s="1"/>
  <c r="O495" i="1"/>
  <c r="P495" i="1" s="1"/>
  <c r="O643" i="1"/>
  <c r="P643" i="1" s="1"/>
  <c r="O160" i="1"/>
  <c r="P160" i="1" s="1"/>
  <c r="O800" i="1"/>
  <c r="P800" i="1" s="1"/>
  <c r="O111" i="1"/>
  <c r="P111" i="1" s="1"/>
  <c r="O359" i="1"/>
  <c r="P359" i="1" s="1"/>
  <c r="O914" i="1"/>
  <c r="P914" i="1" s="1"/>
  <c r="O311" i="1"/>
  <c r="P311" i="1" s="1"/>
  <c r="O455" i="1"/>
  <c r="P455" i="1" s="1"/>
  <c r="O606" i="1"/>
  <c r="P606" i="1" s="1"/>
  <c r="O948" i="1"/>
  <c r="P948" i="1" s="1"/>
  <c r="O584" i="1"/>
  <c r="P584" i="1" s="1"/>
  <c r="O7" i="1"/>
  <c r="P7" i="1" s="1"/>
  <c r="O380" i="1"/>
  <c r="P380" i="1" s="1"/>
  <c r="O38" i="1"/>
  <c r="P38" i="1" s="1"/>
  <c r="O262" i="1"/>
  <c r="P262" i="1" s="1"/>
  <c r="O1001" i="1"/>
  <c r="P1001" i="1" s="1"/>
  <c r="O745" i="1"/>
  <c r="P745" i="1" s="1"/>
  <c r="O992" i="1"/>
  <c r="P992" i="1" s="1"/>
  <c r="O624" i="1"/>
  <c r="P624" i="1" s="1"/>
  <c r="O997" i="1"/>
  <c r="P997" i="1" s="1"/>
  <c r="O543" i="1"/>
  <c r="P543" i="1" s="1"/>
  <c r="O720" i="1"/>
  <c r="P720" i="1" s="1"/>
  <c r="O430" i="1"/>
  <c r="P430" i="1" s="1"/>
  <c r="O438" i="1"/>
  <c r="P438" i="1" s="1"/>
  <c r="O579" i="1"/>
  <c r="P579" i="1" s="1"/>
  <c r="O315" i="1"/>
  <c r="P315" i="1" s="1"/>
  <c r="O153" i="1"/>
  <c r="P153" i="1" s="1"/>
  <c r="O300" i="1"/>
  <c r="P300" i="1" s="1"/>
  <c r="O363" i="1"/>
  <c r="P363" i="1" s="1"/>
  <c r="O301" i="1"/>
  <c r="P301" i="1" s="1"/>
  <c r="O456" i="1"/>
  <c r="P456" i="1" s="1"/>
  <c r="O150" i="1"/>
  <c r="P150" i="1" s="1"/>
  <c r="O610" i="1"/>
  <c r="P610" i="1" s="1"/>
  <c r="O547" i="1"/>
  <c r="P547" i="1" s="1"/>
  <c r="O360" i="1"/>
  <c r="P360" i="1" s="1"/>
  <c r="O601" i="1"/>
  <c r="P601" i="1" s="1"/>
  <c r="O128" i="1"/>
  <c r="P128" i="1" s="1"/>
  <c r="O398" i="1"/>
  <c r="P398" i="1" s="1"/>
  <c r="O865" i="1"/>
  <c r="P865" i="1" s="1"/>
  <c r="O34" i="1"/>
  <c r="P34" i="1" s="1"/>
  <c r="O838" i="1"/>
  <c r="P838" i="1" s="1"/>
  <c r="O803" i="1"/>
  <c r="P803" i="1" s="1"/>
  <c r="O296" i="1"/>
  <c r="P296" i="1" s="1"/>
  <c r="O96" i="1"/>
  <c r="P96" i="1" s="1"/>
  <c r="O571" i="1"/>
  <c r="P571" i="1" s="1"/>
  <c r="O761" i="1"/>
  <c r="P761" i="1" s="1"/>
  <c r="O671" i="1"/>
  <c r="P671" i="1" s="1"/>
  <c r="O434" i="1"/>
  <c r="P434" i="1" s="1"/>
  <c r="O341" i="1"/>
  <c r="P341" i="1" s="1"/>
  <c r="O138" i="1"/>
  <c r="P138" i="1" s="1"/>
  <c r="O186" i="1"/>
  <c r="P186" i="1" s="1"/>
  <c r="O908" i="1"/>
  <c r="P908" i="1" s="1"/>
  <c r="O641" i="1"/>
  <c r="P641" i="1" s="1"/>
  <c r="O219" i="1"/>
  <c r="P219" i="1" s="1"/>
  <c r="O95" i="1"/>
  <c r="P95" i="1" s="1"/>
  <c r="O537" i="1"/>
  <c r="P537" i="1" s="1"/>
  <c r="O847" i="1"/>
  <c r="P847" i="1" s="1"/>
  <c r="O805" i="1"/>
  <c r="P805" i="1" s="1"/>
  <c r="O721" i="1"/>
  <c r="P721" i="1" s="1"/>
  <c r="O866" i="1"/>
  <c r="P866" i="1" s="1"/>
  <c r="O457" i="1"/>
  <c r="P457" i="1" s="1"/>
  <c r="O733" i="1"/>
  <c r="P733" i="1" s="1"/>
  <c r="O400" i="1"/>
  <c r="P400" i="1" s="1"/>
  <c r="O84" i="1"/>
  <c r="P84" i="1" s="1"/>
  <c r="O490" i="1"/>
  <c r="P490" i="1" s="1"/>
  <c r="O2" i="1"/>
  <c r="P2" i="1" s="1"/>
  <c r="O240" i="1"/>
  <c r="P240" i="1" s="1"/>
  <c r="O51" i="1"/>
  <c r="P51" i="1" s="1"/>
  <c r="O944" i="1"/>
  <c r="P944" i="1" s="1"/>
  <c r="O635" i="1"/>
  <c r="P635" i="1" s="1"/>
  <c r="O367" i="1"/>
  <c r="P367" i="1" s="1"/>
  <c r="O811" i="1"/>
  <c r="P811" i="1" s="1"/>
  <c r="O980" i="1"/>
  <c r="P980" i="1" s="1"/>
  <c r="O130" i="1"/>
  <c r="P130" i="1" s="1"/>
  <c r="O563" i="1"/>
  <c r="P563" i="1" s="1"/>
  <c r="O346" i="1"/>
  <c r="P346" i="1" s="1"/>
  <c r="O158" i="1"/>
  <c r="P158" i="1" s="1"/>
  <c r="O331" i="1"/>
  <c r="P331" i="1" s="1"/>
  <c r="O259" i="1"/>
  <c r="P259" i="1" s="1"/>
  <c r="O519" i="1"/>
  <c r="P519" i="1" s="1"/>
  <c r="O223" i="1"/>
  <c r="P223" i="1" s="1"/>
  <c r="O854" i="1"/>
  <c r="P854" i="1" s="1"/>
  <c r="O500" i="1"/>
  <c r="P500" i="1" s="1"/>
  <c r="O619" i="1"/>
  <c r="P619" i="1" s="1"/>
  <c r="O202" i="1"/>
  <c r="P202" i="1" s="1"/>
  <c r="O734" i="1"/>
  <c r="P734" i="1" s="1"/>
  <c r="O241" i="1"/>
  <c r="P241" i="1" s="1"/>
  <c r="O793" i="1"/>
  <c r="P793" i="1" s="1"/>
  <c r="O564" i="1"/>
  <c r="P564" i="1" s="1"/>
  <c r="O393" i="1"/>
  <c r="P393" i="1" s="1"/>
  <c r="O985" i="1"/>
  <c r="P985" i="1" s="1"/>
  <c r="O263" i="1"/>
  <c r="P263" i="1" s="1"/>
  <c r="O45" i="1"/>
  <c r="P45" i="1" s="1"/>
  <c r="O965" i="1"/>
  <c r="P965" i="1" s="1"/>
  <c r="O229" i="1"/>
  <c r="P229" i="1" s="1"/>
  <c r="O704" i="1"/>
  <c r="P704" i="1" s="1"/>
  <c r="O272" i="1"/>
  <c r="P272" i="1" s="1"/>
  <c r="O520" i="1"/>
  <c r="P520" i="1" s="1"/>
  <c r="O106" i="1"/>
  <c r="P106" i="1" s="1"/>
  <c r="O28" i="1"/>
  <c r="P28" i="1" s="1"/>
  <c r="O473" i="1"/>
  <c r="P473" i="1" s="1"/>
  <c r="O131" i="1"/>
  <c r="P131" i="1" s="1"/>
  <c r="O214" i="1"/>
  <c r="P214" i="1" s="1"/>
  <c r="O10" i="1"/>
  <c r="P10" i="1" s="1"/>
  <c r="O548" i="1"/>
  <c r="P548" i="1" s="1"/>
  <c r="O216" i="1"/>
  <c r="P216" i="1" s="1"/>
  <c r="O496" i="1"/>
  <c r="P496" i="1" s="1"/>
  <c r="O463" i="1"/>
  <c r="P463" i="1" s="1"/>
  <c r="O52" i="1"/>
  <c r="P52" i="1" s="1"/>
  <c r="O200" i="1"/>
  <c r="P200" i="1" s="1"/>
  <c r="O549" i="1"/>
  <c r="P549" i="1" s="1"/>
  <c r="O652" i="1"/>
  <c r="P652" i="1" s="1"/>
  <c r="O265" i="1"/>
  <c r="P265" i="1" s="1"/>
  <c r="O940" i="1"/>
  <c r="P940" i="1" s="1"/>
  <c r="O506" i="1"/>
  <c r="P506" i="1" s="1"/>
  <c r="O981" i="1"/>
  <c r="P981" i="1" s="1"/>
  <c r="O491" i="1"/>
  <c r="P491" i="1" s="1"/>
  <c r="O89" i="1"/>
  <c r="P89" i="1" s="1"/>
  <c r="O820" i="1"/>
  <c r="P820" i="1" s="1"/>
  <c r="O560" i="1"/>
  <c r="P560" i="1" s="1"/>
  <c r="O937" i="1"/>
  <c r="P937" i="1" s="1"/>
  <c r="O859" i="1"/>
  <c r="P859" i="1" s="1"/>
  <c r="O378" i="1"/>
  <c r="P378" i="1" s="1"/>
  <c r="O9" i="1"/>
  <c r="P9" i="1" s="1"/>
  <c r="O449" i="1"/>
  <c r="P449" i="1" s="1"/>
  <c r="O308" i="1"/>
  <c r="P308" i="1" s="1"/>
  <c r="O929" i="1"/>
  <c r="P929" i="1" s="1"/>
  <c r="O192" i="1"/>
  <c r="P192" i="1" s="1"/>
  <c r="O839" i="1"/>
  <c r="P839" i="1" s="1"/>
  <c r="O762" i="1"/>
  <c r="P762" i="1" s="1"/>
  <c r="O403" i="1"/>
  <c r="P403" i="1" s="1"/>
  <c r="O660" i="1"/>
  <c r="P660" i="1" s="1"/>
  <c r="O687" i="1"/>
  <c r="P687" i="1" s="1"/>
  <c r="O790" i="1"/>
  <c r="P790" i="1" s="1"/>
  <c r="O628" i="1"/>
  <c r="P628" i="1" s="1"/>
  <c r="O591" i="1"/>
  <c r="P591" i="1" s="1"/>
  <c r="O44" i="1"/>
  <c r="P44" i="1" s="1"/>
  <c r="O446" i="1"/>
  <c r="P446" i="1" s="1"/>
  <c r="O860" i="1"/>
  <c r="P860" i="1" s="1"/>
  <c r="O722" i="1"/>
  <c r="P722" i="1" s="1"/>
  <c r="O951" i="1"/>
  <c r="P951" i="1" s="1"/>
  <c r="O665" i="1"/>
  <c r="P665" i="1" s="1"/>
  <c r="O332" i="1"/>
  <c r="P332" i="1" s="1"/>
  <c r="O525" i="1"/>
  <c r="P525" i="1" s="1"/>
  <c r="O501" i="1"/>
  <c r="P501" i="1" s="1"/>
  <c r="O893" i="1"/>
  <c r="P893" i="1" s="1"/>
  <c r="O566" i="1"/>
  <c r="P566" i="1" s="1"/>
  <c r="O909" i="1"/>
  <c r="P909" i="1" s="1"/>
  <c r="O193" i="1"/>
  <c r="P193" i="1" s="1"/>
  <c r="O856" i="1"/>
  <c r="P856" i="1" s="1"/>
  <c r="O58" i="1"/>
  <c r="P58" i="1" s="1"/>
  <c r="O132" i="1"/>
  <c r="P132" i="1" s="1"/>
  <c r="O874" i="1"/>
  <c r="P874" i="1" s="1"/>
  <c r="O86" i="1"/>
  <c r="P86" i="1" s="1"/>
  <c r="O706" i="1"/>
  <c r="P706" i="1" s="1"/>
  <c r="O575" i="1"/>
  <c r="P575" i="1" s="1"/>
  <c r="O13" i="1"/>
  <c r="P13" i="1" s="1"/>
  <c r="O794" i="1"/>
  <c r="P794" i="1" s="1"/>
  <c r="O862" i="1"/>
  <c r="P862" i="1" s="1"/>
  <c r="O204" i="1"/>
  <c r="P204" i="1" s="1"/>
  <c r="O33" i="1"/>
  <c r="P33" i="1" s="1"/>
  <c r="O165" i="1"/>
  <c r="P165" i="1" s="1"/>
  <c r="O510" i="1"/>
  <c r="P510" i="1" s="1"/>
  <c r="O736" i="1"/>
  <c r="P736" i="1" s="1"/>
  <c r="O326" i="1"/>
  <c r="P326" i="1" s="1"/>
  <c r="O959" i="1"/>
  <c r="P959" i="1" s="1"/>
  <c r="O102" i="1"/>
  <c r="P102" i="1" s="1"/>
  <c r="O17" i="1"/>
  <c r="P17" i="1" s="1"/>
  <c r="O122" i="1"/>
  <c r="P122" i="1" s="1"/>
  <c r="O901" i="1"/>
  <c r="P901" i="1" s="1"/>
  <c r="O676" i="1"/>
  <c r="P676" i="1" s="1"/>
  <c r="O672" i="1"/>
  <c r="P672" i="1" s="1"/>
  <c r="O66" i="1"/>
  <c r="P66" i="1" s="1"/>
  <c r="O234" i="1"/>
  <c r="P234" i="1" s="1"/>
  <c r="O567" i="1"/>
  <c r="P567" i="1" s="1"/>
  <c r="O705" i="1"/>
  <c r="P705" i="1" s="1"/>
  <c r="O347" i="1"/>
  <c r="P347" i="1" s="1"/>
  <c r="O952" i="1"/>
  <c r="P952" i="1" s="1"/>
  <c r="O629" i="1"/>
  <c r="P629" i="1" s="1"/>
  <c r="O593" i="1"/>
  <c r="P593" i="1" s="1"/>
  <c r="O867" i="1"/>
  <c r="P867" i="1" s="1"/>
  <c r="O715" i="1"/>
  <c r="P715" i="1" s="1"/>
  <c r="O677" i="1"/>
  <c r="P677" i="1" s="1"/>
  <c r="O809" i="1"/>
  <c r="P809" i="1" s="1"/>
  <c r="O739" i="1"/>
  <c r="P739" i="1" s="1"/>
  <c r="O377" i="1"/>
  <c r="P377" i="1" s="1"/>
  <c r="O935" i="1"/>
  <c r="P935" i="1" s="1"/>
  <c r="O113" i="1"/>
  <c r="P113" i="1" s="1"/>
  <c r="O194" i="1"/>
  <c r="P194" i="1" s="1"/>
  <c r="O939" i="1"/>
  <c r="P939" i="1" s="1"/>
  <c r="O972" i="1"/>
  <c r="P972" i="1" s="1"/>
  <c r="O678" i="1"/>
  <c r="P678" i="1" s="1"/>
  <c r="O975" i="1"/>
  <c r="P975" i="1" s="1"/>
  <c r="O868" i="1"/>
  <c r="P868" i="1" s="1"/>
  <c r="O47" i="1"/>
  <c r="P47" i="1" s="1"/>
  <c r="O993" i="1"/>
  <c r="P993" i="1" s="1"/>
  <c r="O625" i="1"/>
  <c r="P625" i="1" s="1"/>
  <c r="O913" i="1"/>
  <c r="P913" i="1" s="1"/>
  <c r="O630" i="1"/>
  <c r="P630" i="1" s="1"/>
  <c r="O626" i="1"/>
  <c r="P626" i="1" s="1"/>
  <c r="O77" i="1"/>
  <c r="P77" i="1" s="1"/>
  <c r="O421" i="1"/>
  <c r="P421" i="1" s="1"/>
  <c r="O118" i="1"/>
  <c r="P118" i="1" s="1"/>
  <c r="O533" i="1"/>
  <c r="P533" i="1" s="1"/>
  <c r="O488" i="1"/>
  <c r="P488" i="1" s="1"/>
  <c r="O840" i="1"/>
  <c r="P840" i="1" s="1"/>
  <c r="O40" i="1"/>
  <c r="P40" i="1" s="1"/>
  <c r="O594" i="1"/>
  <c r="P594" i="1" s="1"/>
  <c r="O312" i="1"/>
  <c r="P312" i="1" s="1"/>
  <c r="O824" i="1"/>
  <c r="P824" i="1" s="1"/>
  <c r="O218" i="1"/>
  <c r="P218" i="1" s="1"/>
  <c r="O636" i="1"/>
  <c r="P636" i="1" s="1"/>
  <c r="O976" i="1"/>
  <c r="P976" i="1" s="1"/>
  <c r="O554" i="1"/>
  <c r="P554" i="1" s="1"/>
  <c r="O5" i="1"/>
  <c r="P5" i="1" s="1"/>
  <c r="O140" i="1"/>
  <c r="P140" i="1" s="1"/>
  <c r="O832" i="1"/>
  <c r="P832" i="1" s="1"/>
  <c r="O56" i="1"/>
  <c r="P56" i="1" s="1"/>
  <c r="O450" i="1"/>
  <c r="P450" i="1" s="1"/>
  <c r="O902" i="1"/>
  <c r="P902" i="1" s="1"/>
  <c r="O526" i="1"/>
  <c r="P526" i="1" s="1"/>
  <c r="O657" i="1"/>
  <c r="P657" i="1" s="1"/>
  <c r="O451" i="1"/>
  <c r="P451" i="1" s="1"/>
  <c r="O474" i="1"/>
  <c r="P474" i="1" s="1"/>
  <c r="O661" i="1"/>
  <c r="P661" i="1" s="1"/>
  <c r="O188" i="1"/>
  <c r="P188" i="1" s="1"/>
  <c r="O631" i="1"/>
  <c r="P631" i="1" s="1"/>
  <c r="O770" i="1"/>
  <c r="P770" i="1" s="1"/>
  <c r="O587" i="1"/>
  <c r="P587" i="1" s="1"/>
  <c r="O960" i="1"/>
  <c r="P960" i="1" s="1"/>
  <c r="O595" i="1"/>
  <c r="P595" i="1" s="1"/>
  <c r="O142" i="1"/>
  <c r="P142" i="1" s="1"/>
  <c r="O484" i="1"/>
  <c r="P484" i="1" s="1"/>
  <c r="O930" i="1"/>
  <c r="P930" i="1" s="1"/>
  <c r="O662" i="1"/>
  <c r="P662" i="1" s="1"/>
  <c r="O374" i="1"/>
  <c r="P374" i="1" s="1"/>
  <c r="O342" i="1"/>
  <c r="P342" i="1" s="1"/>
  <c r="O60" i="1"/>
  <c r="P60" i="1" s="1"/>
  <c r="O732" i="1"/>
  <c r="P732" i="1" s="1"/>
  <c r="O627" i="1"/>
  <c r="P627" i="1" s="1"/>
  <c r="O114" i="1"/>
  <c r="P114" i="1" s="1"/>
  <c r="O773" i="1"/>
  <c r="P773" i="1" s="1"/>
  <c r="O43" i="1"/>
  <c r="P43" i="1" s="1"/>
  <c r="O953" i="1"/>
  <c r="P953" i="1" s="1"/>
  <c r="O255" i="1"/>
  <c r="P255" i="1" s="1"/>
  <c r="O941" i="1"/>
  <c r="P941" i="1" s="1"/>
  <c r="O857" i="1"/>
  <c r="P857" i="1" s="1"/>
  <c r="O612" i="1"/>
  <c r="P612" i="1" s="1"/>
  <c r="O260" i="1"/>
  <c r="P260" i="1" s="1"/>
  <c r="O410" i="1"/>
  <c r="P410" i="1" s="1"/>
  <c r="O361" i="1"/>
  <c r="P361" i="1" s="1"/>
  <c r="O382" i="1"/>
  <c r="P382" i="1" s="1"/>
  <c r="O207" i="1"/>
  <c r="P207" i="1" s="1"/>
  <c r="O855" i="1"/>
  <c r="P855" i="1" s="1"/>
  <c r="O6" i="1"/>
  <c r="P6" i="1" s="1"/>
  <c r="O502" i="1"/>
  <c r="P502" i="1" s="1"/>
  <c r="O871" i="1"/>
  <c r="P871" i="1" s="1"/>
  <c r="O923" i="1"/>
  <c r="P923" i="1" s="1"/>
  <c r="O159" i="1"/>
  <c r="P159" i="1" s="1"/>
  <c r="O679" i="1"/>
  <c r="P679" i="1" s="1"/>
  <c r="O568" i="1"/>
  <c r="P568" i="1" s="1"/>
  <c r="O737" i="1"/>
  <c r="P737" i="1" s="1"/>
  <c r="O915" i="1"/>
  <c r="P915" i="1" s="1"/>
  <c r="O529" i="1"/>
  <c r="P529" i="1" s="1"/>
  <c r="O78" i="1"/>
  <c r="P78" i="1" s="1"/>
  <c r="O343" i="1"/>
  <c r="P343" i="1" s="1"/>
  <c r="O620" i="1"/>
  <c r="P620" i="1" s="1"/>
  <c r="O986" i="1"/>
  <c r="P986" i="1" s="1"/>
  <c r="O744" i="1"/>
  <c r="P744" i="1" s="1"/>
  <c r="O826" i="1"/>
  <c r="P826" i="1" s="1"/>
  <c r="O863" i="1"/>
  <c r="P863" i="1" s="1"/>
  <c r="O889" i="1"/>
  <c r="P889" i="1" s="1"/>
  <c r="O691" i="1"/>
  <c r="P691" i="1" s="1"/>
  <c r="O880" i="1"/>
  <c r="P880" i="1" s="1"/>
  <c r="O154" i="1"/>
  <c r="P154" i="1" s="1"/>
  <c r="O763" i="1"/>
  <c r="P763" i="1" s="1"/>
  <c r="O104" i="1"/>
  <c r="P104" i="1" s="1"/>
  <c r="O31" i="1"/>
  <c r="P31" i="1" s="1"/>
  <c r="O396" i="1"/>
  <c r="P396" i="1" s="1"/>
  <c r="O530" i="1"/>
  <c r="P530" i="1" s="1"/>
  <c r="O338" i="1"/>
  <c r="P338" i="1" s="1"/>
  <c r="O442" i="1"/>
  <c r="P442" i="1" s="1"/>
  <c r="O475" i="1"/>
  <c r="P475" i="1" s="1"/>
  <c r="O576" i="1"/>
  <c r="P576" i="1" s="1"/>
  <c r="O534" i="1"/>
  <c r="P534" i="1" s="1"/>
  <c r="O368" i="1"/>
  <c r="P368" i="1" s="1"/>
  <c r="O162" i="1"/>
  <c r="P162" i="1" s="1"/>
  <c r="O999" i="1"/>
  <c r="P999" i="1" s="1"/>
  <c r="O806" i="1"/>
  <c r="P806" i="1" s="1"/>
  <c r="O247" i="1"/>
  <c r="P247" i="1" s="1"/>
  <c r="O282" i="1"/>
  <c r="P282" i="1" s="1"/>
  <c r="O585" i="1"/>
  <c r="P585" i="1" s="1"/>
  <c r="O112" i="1"/>
  <c r="P112" i="1" s="1"/>
  <c r="O148" i="1"/>
  <c r="P148" i="1" s="1"/>
  <c r="O814" i="1"/>
  <c r="P814" i="1" s="1"/>
  <c r="O168" i="1"/>
  <c r="P168" i="1" s="1"/>
  <c r="O920" i="1"/>
  <c r="P920" i="1" s="1"/>
  <c r="O404" i="1"/>
  <c r="P404" i="1" s="1"/>
  <c r="O163" i="1"/>
  <c r="P163" i="1" s="1"/>
  <c r="Q854" i="1" l="1"/>
  <c r="Q749" i="1"/>
  <c r="Q425" i="1"/>
  <c r="Q2" i="1"/>
  <c r="Q978" i="1"/>
  <c r="Q41" i="1"/>
  <c r="Q138" i="1"/>
  <c r="Q872" i="1"/>
  <c r="Q608" i="1"/>
  <c r="Q247" i="1"/>
  <c r="Q547" i="1"/>
  <c r="Q172" i="1"/>
  <c r="Q435" i="1"/>
  <c r="Q880" i="1"/>
  <c r="Q992" i="1"/>
  <c r="Q967" i="1"/>
  <c r="Q242" i="1"/>
  <c r="Q923" i="1"/>
  <c r="Q160" i="1"/>
  <c r="Q373" i="1"/>
  <c r="Q983" i="1"/>
  <c r="Q773" i="1"/>
  <c r="Q358" i="1"/>
  <c r="Q171" i="1"/>
  <c r="Q304" i="1"/>
  <c r="Q188" i="1"/>
  <c r="Q164" i="1"/>
  <c r="Q938" i="1"/>
  <c r="Q831" i="1"/>
  <c r="Q824" i="1"/>
  <c r="Q139" i="1"/>
  <c r="Q72" i="1"/>
  <c r="Q723" i="1"/>
  <c r="Q868" i="1"/>
  <c r="Q81" i="1"/>
  <c r="Q816" i="1"/>
  <c r="Q348" i="1"/>
  <c r="Q952" i="1"/>
  <c r="Q853" i="1"/>
  <c r="Q623" i="1"/>
  <c r="Q270" i="1"/>
  <c r="Q165" i="1"/>
  <c r="Q420" i="1"/>
  <c r="Q798" i="1"/>
  <c r="Q375" i="1"/>
  <c r="Q893" i="1"/>
  <c r="Q215" i="1"/>
  <c r="Q663" i="1"/>
  <c r="Q667" i="1"/>
  <c r="Q762" i="1"/>
  <c r="Q175" i="1"/>
  <c r="Q427" i="1"/>
  <c r="Q664" i="1"/>
  <c r="Q940" i="1"/>
  <c r="Q487" i="1"/>
  <c r="Q443" i="1"/>
  <c r="Q210" i="1"/>
  <c r="Q520" i="1"/>
  <c r="Q385" i="1"/>
  <c r="Q895" i="1"/>
  <c r="Q91" i="1"/>
  <c r="Q439" i="1"/>
  <c r="Q806" i="1"/>
  <c r="Q691" i="1"/>
  <c r="Q871" i="1"/>
  <c r="Q114" i="1"/>
  <c r="Q661" i="1"/>
  <c r="Q312" i="1"/>
  <c r="Q975" i="1"/>
  <c r="Q347" i="1"/>
  <c r="Q33" i="1"/>
  <c r="Q501" i="1"/>
  <c r="Q839" i="1"/>
  <c r="Q265" i="1"/>
  <c r="Q272" i="1"/>
  <c r="Q223" i="1"/>
  <c r="Q490" i="1"/>
  <c r="Q341" i="1"/>
  <c r="Q610" i="1"/>
  <c r="Q745" i="1"/>
  <c r="Q643" i="1"/>
  <c r="Q281" i="1"/>
  <c r="Q813" i="1"/>
  <c r="Q934" i="1"/>
  <c r="Q388" i="1"/>
  <c r="Q557" i="1"/>
  <c r="Q696" i="1"/>
  <c r="Q524" i="1"/>
  <c r="Q911" i="1"/>
  <c r="Q988" i="1"/>
  <c r="Q278" i="1"/>
  <c r="Q460" i="1"/>
  <c r="Q783" i="1"/>
  <c r="Q998" i="1"/>
  <c r="Q233" i="1"/>
  <c r="Q574" i="1"/>
  <c r="Q845" i="1"/>
  <c r="Q738" i="1"/>
  <c r="Q292" i="1"/>
  <c r="Q177" i="1"/>
  <c r="Q887" i="1"/>
  <c r="Q269" i="1"/>
  <c r="Q147" i="1"/>
  <c r="Q39" i="1"/>
  <c r="Q515" i="1"/>
  <c r="Q42" i="1"/>
  <c r="Q412" i="1"/>
  <c r="Q436" i="1"/>
  <c r="Q748" i="1"/>
  <c r="Q405" i="1"/>
  <c r="Q101" i="1"/>
  <c r="Q267" i="1"/>
  <c r="Q730" i="1"/>
  <c r="Q711" i="1"/>
  <c r="Q966" i="1"/>
  <c r="Q256" i="1"/>
  <c r="Q827" i="1"/>
  <c r="Q882" i="1"/>
  <c r="Q497" i="1"/>
  <c r="Q79" i="1"/>
  <c r="Q531" i="1"/>
  <c r="Q910" i="1"/>
  <c r="Q864" i="1"/>
  <c r="Q697" i="1"/>
  <c r="Q999" i="1"/>
  <c r="Q889" i="1"/>
  <c r="Q502" i="1"/>
  <c r="Q627" i="1"/>
  <c r="Q474" i="1"/>
  <c r="Q594" i="1"/>
  <c r="Q678" i="1"/>
  <c r="Q705" i="1"/>
  <c r="Q204" i="1"/>
  <c r="Q525" i="1"/>
  <c r="Q192" i="1"/>
  <c r="Q652" i="1"/>
  <c r="Q704" i="1"/>
  <c r="Q519" i="1"/>
  <c r="Q84" i="1"/>
  <c r="Q434" i="1"/>
  <c r="Q150" i="1"/>
  <c r="Q1001" i="1"/>
  <c r="Q495" i="1"/>
  <c r="Q569" i="1"/>
  <c r="Q743" i="1"/>
  <c r="Q590" i="1"/>
  <c r="Q100" i="1"/>
  <c r="Q499" i="1"/>
  <c r="Q852" i="1"/>
  <c r="Q876" i="1"/>
  <c r="Q288" i="1"/>
  <c r="Q556" i="1"/>
  <c r="Q336" i="1"/>
  <c r="Q287" i="1"/>
  <c r="Q586" i="1"/>
  <c r="Q718" i="1"/>
  <c r="Q597" i="1"/>
  <c r="Q22" i="1"/>
  <c r="Q604" i="1"/>
  <c r="Q465" i="1"/>
  <c r="Q182" i="1"/>
  <c r="Q4" i="1"/>
  <c r="Q958" i="1"/>
  <c r="Q325" i="1"/>
  <c r="Q261" i="1"/>
  <c r="Q464" i="1"/>
  <c r="Q318" i="1"/>
  <c r="Q580" i="1"/>
  <c r="Q833" i="1"/>
  <c r="Q725" i="1"/>
  <c r="Q479" i="1"/>
  <c r="Q161" i="1"/>
  <c r="Q376" i="1"/>
  <c r="Q327" i="1"/>
  <c r="Q539" i="1"/>
  <c r="Q59" i="1"/>
  <c r="Q507" i="1"/>
  <c r="Q603" i="1"/>
  <c r="Q24" i="1"/>
  <c r="Q727" i="1"/>
  <c r="Q320" i="1"/>
  <c r="Q480" i="1"/>
  <c r="Q655" i="1"/>
  <c r="Q821" i="1"/>
  <c r="Q381" i="1"/>
  <c r="Q688" i="1"/>
  <c r="Q162" i="1"/>
  <c r="Q863" i="1"/>
  <c r="Q6" i="1"/>
  <c r="Q732" i="1"/>
  <c r="Q451" i="1"/>
  <c r="Q40" i="1"/>
  <c r="Q972" i="1"/>
  <c r="Q567" i="1"/>
  <c r="Q862" i="1"/>
  <c r="Q332" i="1"/>
  <c r="Q929" i="1"/>
  <c r="Q549" i="1"/>
  <c r="Q229" i="1"/>
  <c r="Q259" i="1"/>
  <c r="Q634" i="1"/>
  <c r="Q671" i="1"/>
  <c r="Q456" i="1"/>
  <c r="Q262" i="1"/>
  <c r="Q83" i="1"/>
  <c r="Q144" i="1"/>
  <c r="Q454" i="1"/>
  <c r="Q203" i="1"/>
  <c r="Q769" i="1"/>
  <c r="Q954" i="1"/>
  <c r="Q542" i="1"/>
  <c r="Q180" i="1"/>
  <c r="Q64" i="1"/>
  <c r="Q73" i="1"/>
  <c r="Q354" i="1"/>
  <c r="Q149" i="1"/>
  <c r="Q483" i="1"/>
  <c r="Q75" i="1"/>
  <c r="Q758" i="1"/>
  <c r="Q535" i="1"/>
  <c r="Q767" i="1"/>
  <c r="Q189" i="1"/>
  <c r="Q681" i="1"/>
  <c r="Q609" i="1"/>
  <c r="Q120" i="1"/>
  <c r="Q544" i="1"/>
  <c r="Q201" i="1"/>
  <c r="Q482" i="1"/>
  <c r="Q724" i="1"/>
  <c r="Q365" i="1"/>
  <c r="Q875" i="1"/>
  <c r="Q291" i="1"/>
  <c r="Q65" i="1"/>
  <c r="Q837" i="1"/>
  <c r="Q644" i="1"/>
  <c r="Q577" i="1"/>
  <c r="Q617" i="1"/>
  <c r="Q173" i="1"/>
  <c r="Q917" i="1"/>
  <c r="Q339" i="1"/>
  <c r="Q356" i="1"/>
  <c r="Q894" i="1"/>
  <c r="Q512" i="1"/>
  <c r="Q197" i="1"/>
  <c r="Q877" i="1"/>
  <c r="Q399" i="1"/>
  <c r="Q418" i="1"/>
  <c r="Q835" i="1"/>
  <c r="Q368" i="1"/>
  <c r="Q826" i="1"/>
  <c r="Q855" i="1"/>
  <c r="Q60" i="1"/>
  <c r="Q657" i="1"/>
  <c r="Q840" i="1"/>
  <c r="Q939" i="1"/>
  <c r="Q234" i="1"/>
  <c r="Q794" i="1"/>
  <c r="Q665" i="1"/>
  <c r="Q308" i="1"/>
  <c r="Q200" i="1"/>
  <c r="Q965" i="1"/>
  <c r="Q331" i="1"/>
  <c r="Q733" i="1"/>
  <c r="Q761" i="1"/>
  <c r="Q301" i="1"/>
  <c r="Q38" i="1"/>
  <c r="Q570" i="1"/>
  <c r="Q55" i="1"/>
  <c r="Q461" i="1"/>
  <c r="Q85" i="1"/>
  <c r="Q789" i="1"/>
  <c r="Q227" i="1"/>
  <c r="Q187" i="1"/>
  <c r="Q313" i="1"/>
  <c r="Q472" i="1"/>
  <c r="Q674" i="1"/>
  <c r="Q964" i="1"/>
  <c r="Q125" i="1"/>
  <c r="Q808" i="1"/>
  <c r="Q467" i="1"/>
  <c r="Q121" i="1"/>
  <c r="Q196" i="1"/>
  <c r="Q230" i="1"/>
  <c r="Q199" i="1"/>
  <c r="Q276" i="1"/>
  <c r="Q651" i="1"/>
  <c r="Q69" i="1"/>
  <c r="Q834" i="1"/>
  <c r="Q268" i="1"/>
  <c r="Q146" i="1"/>
  <c r="Q334" i="1"/>
  <c r="Q650" i="1"/>
  <c r="Q437" i="1"/>
  <c r="Q698" i="1"/>
  <c r="Q290" i="1"/>
  <c r="Q689" i="1"/>
  <c r="Q431" i="1"/>
  <c r="Q169" i="1"/>
  <c r="Q849" i="1"/>
  <c r="Q802" i="1"/>
  <c r="Q71" i="1"/>
  <c r="Q596" i="1"/>
  <c r="Q753" i="1"/>
  <c r="Q927" i="1"/>
  <c r="Q98" i="1"/>
  <c r="Q191" i="1"/>
  <c r="Q151" i="1"/>
  <c r="Q135" i="1"/>
  <c r="Q949" i="1"/>
  <c r="Q447" i="1"/>
  <c r="Q534" i="1"/>
  <c r="Q744" i="1"/>
  <c r="Q207" i="1"/>
  <c r="Q342" i="1"/>
  <c r="Q526" i="1"/>
  <c r="Q488" i="1"/>
  <c r="Q194" i="1"/>
  <c r="Q66" i="1"/>
  <c r="Q13" i="1"/>
  <c r="Q951" i="1"/>
  <c r="Q449" i="1"/>
  <c r="Q52" i="1"/>
  <c r="Q45" i="1"/>
  <c r="Q158" i="1"/>
  <c r="Q457" i="1"/>
  <c r="Q571" i="1"/>
  <c r="Q363" i="1"/>
  <c r="Q380" i="1"/>
  <c r="Q27" i="1"/>
  <c r="Q797" i="1"/>
  <c r="Q134" i="1"/>
  <c r="Q166" i="1"/>
  <c r="Q362" i="1"/>
  <c r="Q861" i="1"/>
  <c r="Q445" i="1"/>
  <c r="Q886" i="1"/>
  <c r="Q885" i="1"/>
  <c r="Q432" i="1"/>
  <c r="Q968" i="1"/>
  <c r="Q307" i="1"/>
  <c r="Q277" i="1"/>
  <c r="Q179" i="1"/>
  <c r="Q117" i="1"/>
  <c r="Q53" i="1"/>
  <c r="Q581" i="1"/>
  <c r="Q792" i="1"/>
  <c r="Q578" i="1"/>
  <c r="Q353" i="1"/>
  <c r="Q545" i="1"/>
  <c r="Q680" i="1"/>
  <c r="Q829" i="1"/>
  <c r="Q82" i="1"/>
  <c r="Q956" i="1"/>
  <c r="Q317" i="1"/>
  <c r="Q99" i="1"/>
  <c r="Q897" i="1"/>
  <c r="Q955" i="1"/>
  <c r="Q971" i="1"/>
  <c r="Q157" i="1"/>
  <c r="Q248" i="1"/>
  <c r="Q74" i="1"/>
  <c r="Q928" i="1"/>
  <c r="Q713" i="1"/>
  <c r="Q869" i="1"/>
  <c r="Q741" i="1"/>
  <c r="Q116" i="1"/>
  <c r="Q899" i="1"/>
  <c r="Q155" i="1"/>
  <c r="Q841" i="1"/>
  <c r="Q246" i="1"/>
  <c r="Q283" i="1"/>
  <c r="Q371" i="1"/>
  <c r="Q576" i="1"/>
  <c r="Q986" i="1"/>
  <c r="Q382" i="1"/>
  <c r="Q666" i="1"/>
  <c r="Q902" i="1"/>
  <c r="Q533" i="1"/>
  <c r="Q113" i="1"/>
  <c r="Q672" i="1"/>
  <c r="Q575" i="1"/>
  <c r="Q722" i="1"/>
  <c r="Q9" i="1"/>
  <c r="Q463" i="1"/>
  <c r="Q263" i="1"/>
  <c r="Q346" i="1"/>
  <c r="Q866" i="1"/>
  <c r="Q96" i="1"/>
  <c r="Q300" i="1"/>
  <c r="Q7" i="1"/>
  <c r="Q441" i="1"/>
  <c r="Q314" i="1"/>
  <c r="Q810" i="1"/>
  <c r="Q243" i="1"/>
  <c r="Q873" i="1"/>
  <c r="Q345" i="1"/>
  <c r="Q176" i="1"/>
  <c r="Q699" i="1"/>
  <c r="Q878" i="1"/>
  <c r="Q969" i="1"/>
  <c r="Q57" i="1"/>
  <c r="Q213" i="1"/>
  <c r="Q105" i="1"/>
  <c r="Q124" i="1"/>
  <c r="Q212" i="1"/>
  <c r="Q11" i="1"/>
  <c r="Q782" i="1"/>
  <c r="Q658" i="1"/>
  <c r="Q528" i="1"/>
  <c r="Q896" i="1"/>
  <c r="Q127" i="1"/>
  <c r="Q299" i="1"/>
  <c r="Q253" i="1"/>
  <c r="Q562" i="1"/>
  <c r="Q932" i="1"/>
  <c r="Q170" i="1"/>
  <c r="Q945" i="1"/>
  <c r="Q900" i="1"/>
  <c r="Q707" i="1"/>
  <c r="Q305" i="1"/>
  <c r="Q309" i="1"/>
  <c r="Q764" i="1"/>
  <c r="Q492" i="1"/>
  <c r="Q284" i="1"/>
  <c r="Q126" i="1"/>
  <c r="Q538" i="1"/>
  <c r="Q786" i="1"/>
  <c r="Q478" i="1"/>
  <c r="Q32" i="1"/>
  <c r="Q785" i="1"/>
  <c r="Q97" i="1"/>
  <c r="Q825" i="1"/>
  <c r="Q70" i="1"/>
  <c r="Q61" i="1"/>
  <c r="Q475" i="1"/>
  <c r="Q620" i="1"/>
  <c r="Q361" i="1"/>
  <c r="Q662" i="1"/>
  <c r="Q450" i="1"/>
  <c r="Q118" i="1"/>
  <c r="Q935" i="1"/>
  <c r="Q676" i="1"/>
  <c r="Q706" i="1"/>
  <c r="Q860" i="1"/>
  <c r="Q642" i="1"/>
  <c r="Q496" i="1"/>
  <c r="Q985" i="1"/>
  <c r="Q563" i="1"/>
  <c r="Q721" i="1"/>
  <c r="Q296" i="1"/>
  <c r="Q153" i="1"/>
  <c r="Q584" i="1"/>
  <c r="Q611" i="1"/>
  <c r="Q701" i="1"/>
  <c r="Q912" i="1"/>
  <c r="Q505" i="1"/>
  <c r="Q517" i="1"/>
  <c r="Q387" i="1"/>
  <c r="Q232" i="1"/>
  <c r="Q220" i="1"/>
  <c r="Q842" i="1"/>
  <c r="Q156" i="1"/>
  <c r="Q14" i="1"/>
  <c r="Q238" i="1"/>
  <c r="Q553" i="1"/>
  <c r="Q274" i="1"/>
  <c r="Q469" i="1"/>
  <c r="Q3" i="1"/>
  <c r="Q638" i="1"/>
  <c r="Q222" i="1"/>
  <c r="Q776" i="1"/>
  <c r="Q406" i="1"/>
  <c r="Q904" i="1"/>
  <c r="Q195" i="1"/>
  <c r="Q521" i="1"/>
  <c r="Q298" i="1"/>
  <c r="Q372" i="1"/>
  <c r="Q417" i="1"/>
  <c r="Q489" i="1"/>
  <c r="Q731" i="1"/>
  <c r="Q947" i="1"/>
  <c r="Q452" i="1"/>
  <c r="Q401" i="1"/>
  <c r="Q285" i="1"/>
  <c r="Q316" i="1"/>
  <c r="Q550" i="1"/>
  <c r="Q990" i="1"/>
  <c r="Q703" i="1"/>
  <c r="Q321" i="1"/>
  <c r="Q513" i="1"/>
  <c r="Q426" i="1"/>
  <c r="Q397" i="1"/>
  <c r="Q931" i="1"/>
  <c r="Q476" i="1"/>
  <c r="Q1000" i="1"/>
  <c r="Q717" i="1"/>
  <c r="Q404" i="1"/>
  <c r="Q442" i="1"/>
  <c r="Q343" i="1"/>
  <c r="Q683" i="1"/>
  <c r="Q930" i="1"/>
  <c r="Q56" i="1"/>
  <c r="Q421" i="1"/>
  <c r="Q377" i="1"/>
  <c r="Q901" i="1"/>
  <c r="Q86" i="1"/>
  <c r="Q446" i="1"/>
  <c r="Q859" i="1"/>
  <c r="Q216" i="1"/>
  <c r="Q393" i="1"/>
  <c r="Q130" i="1"/>
  <c r="Q805" i="1"/>
  <c r="Q803" i="1"/>
  <c r="Q315" i="1"/>
  <c r="Q948" i="1"/>
  <c r="Q799" i="1"/>
  <c r="Q760" i="1"/>
  <c r="Q518" i="1"/>
  <c r="Q682" i="1"/>
  <c r="Q690" i="1"/>
  <c r="Q498" i="1"/>
  <c r="Q614" i="1"/>
  <c r="Q970" i="1"/>
  <c r="Q386" i="1"/>
  <c r="Q709" i="1"/>
  <c r="Q141" i="1"/>
  <c r="Q486" i="1"/>
  <c r="Q46" i="1"/>
  <c r="Q648" i="1"/>
  <c r="Q728" i="1"/>
  <c r="Q695" i="1"/>
  <c r="Q522" i="1"/>
  <c r="Q136" i="1"/>
  <c r="Q208" i="1"/>
  <c r="Q493" i="1"/>
  <c r="Q922" i="1"/>
  <c r="Q830" i="1"/>
  <c r="Q750" i="1"/>
  <c r="Q306" i="1"/>
  <c r="Q559" i="1"/>
  <c r="Q754" i="1"/>
  <c r="Q645" i="1"/>
  <c r="Q906" i="1"/>
  <c r="Q80" i="1"/>
  <c r="Q115" i="1"/>
  <c r="Q540" i="1"/>
  <c r="Q890" i="1"/>
  <c r="Q995" i="1"/>
  <c r="Q16" i="1"/>
  <c r="Q925" i="1"/>
  <c r="Q50" i="1"/>
  <c r="Q228" i="1"/>
  <c r="Q400" i="1"/>
  <c r="Q668" i="1"/>
  <c r="Q62" i="1"/>
  <c r="Q458" i="1"/>
  <c r="Q692" i="1"/>
  <c r="Q710" i="1"/>
  <c r="Q921" i="1"/>
  <c r="Q920" i="1"/>
  <c r="Q338" i="1"/>
  <c r="Q78" i="1"/>
  <c r="Q260" i="1"/>
  <c r="Q484" i="1"/>
  <c r="Q832" i="1"/>
  <c r="Q77" i="1"/>
  <c r="Q739" i="1"/>
  <c r="Q122" i="1"/>
  <c r="Q874" i="1"/>
  <c r="Q44" i="1"/>
  <c r="Q937" i="1"/>
  <c r="Q548" i="1"/>
  <c r="Q564" i="1"/>
  <c r="Q980" i="1"/>
  <c r="Q847" i="1"/>
  <c r="Q838" i="1"/>
  <c r="Q579" i="1"/>
  <c r="Q606" i="1"/>
  <c r="Q858" i="1"/>
  <c r="Q991" i="1"/>
  <c r="Q289" i="1"/>
  <c r="Q90" i="1"/>
  <c r="Q392" i="1"/>
  <c r="Q516" i="1"/>
  <c r="Q891" i="1"/>
  <c r="Q428" i="1"/>
  <c r="Q76" i="1"/>
  <c r="Q592" i="1"/>
  <c r="Q784" i="1"/>
  <c r="Q35" i="1"/>
  <c r="Q254" i="1"/>
  <c r="Q504" i="1"/>
  <c r="Q239" i="1"/>
  <c r="Q742" i="1"/>
  <c r="Q573" i="1"/>
  <c r="Q851" i="1"/>
  <c r="Q18" i="1"/>
  <c r="Q795" i="1"/>
  <c r="Q589" i="1"/>
  <c r="Q391" i="1"/>
  <c r="Q788" i="1"/>
  <c r="Q366" i="1"/>
  <c r="Q884" i="1"/>
  <c r="Q815" i="1"/>
  <c r="Q781" i="1"/>
  <c r="Q29" i="1"/>
  <c r="Q756" i="1"/>
  <c r="Q235" i="1"/>
  <c r="Q481" i="1"/>
  <c r="Q485" i="1"/>
  <c r="Q390" i="1"/>
  <c r="Q791" i="1"/>
  <c r="Q685" i="1"/>
  <c r="Q572" i="1"/>
  <c r="Q558" i="1"/>
  <c r="Q712" i="1"/>
  <c r="Q415" i="1"/>
  <c r="Q957" i="1"/>
  <c r="Q273" i="1"/>
  <c r="Q881" i="1"/>
  <c r="Q778" i="1"/>
  <c r="Q942" i="1"/>
  <c r="Q168" i="1"/>
  <c r="Q530" i="1"/>
  <c r="Q529" i="1"/>
  <c r="Q612" i="1"/>
  <c r="Q142" i="1"/>
  <c r="Q140" i="1"/>
  <c r="Q626" i="1"/>
  <c r="Q809" i="1"/>
  <c r="Q17" i="1"/>
  <c r="Q132" i="1"/>
  <c r="Q591" i="1"/>
  <c r="Q560" i="1"/>
  <c r="Q10" i="1"/>
  <c r="Q793" i="1"/>
  <c r="Q811" i="1"/>
  <c r="Q537" i="1"/>
  <c r="Q34" i="1"/>
  <c r="Q438" i="1"/>
  <c r="Q455" i="1"/>
  <c r="Q414" i="1"/>
  <c r="Q250" i="1"/>
  <c r="Q295" i="1"/>
  <c r="Q21" i="1"/>
  <c r="Q593" i="1"/>
  <c r="Q379" i="1"/>
  <c r="Q107" i="1"/>
  <c r="Q94" i="1"/>
  <c r="Q133" i="1"/>
  <c r="Q264" i="1"/>
  <c r="Q583" i="1"/>
  <c r="Q293" i="1"/>
  <c r="Q494" i="1"/>
  <c r="Q541" i="1"/>
  <c r="Q804" i="1"/>
  <c r="Q444" i="1"/>
  <c r="Q302" i="1"/>
  <c r="Q552" i="1"/>
  <c r="Q357" i="1"/>
  <c r="Q217" i="1"/>
  <c r="Q653" i="1"/>
  <c r="Q844" i="1"/>
  <c r="Q850" i="1"/>
  <c r="Q93" i="1"/>
  <c r="Q961" i="1"/>
  <c r="Q751" i="1"/>
  <c r="Q257" i="1"/>
  <c r="Q198" i="1"/>
  <c r="Q729" i="1"/>
  <c r="Q152" i="1"/>
  <c r="Q735" i="1"/>
  <c r="Q508" i="1"/>
  <c r="Q30" i="1"/>
  <c r="Q807" i="1"/>
  <c r="Q329" i="1"/>
  <c r="Q181" i="1"/>
  <c r="Q409" i="1"/>
  <c r="Q752" i="1"/>
  <c r="Q511" i="1"/>
  <c r="Q702" i="1"/>
  <c r="Q422" i="1"/>
  <c r="Q333" i="1"/>
  <c r="Q92" i="1"/>
  <c r="Q607" i="1"/>
  <c r="Q814" i="1"/>
  <c r="Q396" i="1"/>
  <c r="Q915" i="1"/>
  <c r="Q857" i="1"/>
  <c r="Q595" i="1"/>
  <c r="Q5" i="1"/>
  <c r="Q630" i="1"/>
  <c r="Q677" i="1"/>
  <c r="Q102" i="1"/>
  <c r="Q58" i="1"/>
  <c r="Q628" i="1"/>
  <c r="Q820" i="1"/>
  <c r="Q214" i="1"/>
  <c r="Q241" i="1"/>
  <c r="Q367" i="1"/>
  <c r="Q95" i="1"/>
  <c r="Q865" i="1"/>
  <c r="Q430" i="1"/>
  <c r="Q311" i="1"/>
  <c r="Q907" i="1"/>
  <c r="Q870" i="1"/>
  <c r="Q686" i="1"/>
  <c r="Q979" i="1"/>
  <c r="Q402" i="1"/>
  <c r="Q370" i="1"/>
  <c r="Q613" i="1"/>
  <c r="Q818" i="1"/>
  <c r="Q646" i="1"/>
  <c r="Q639" i="1"/>
  <c r="Q429" i="1"/>
  <c r="Q546" i="1"/>
  <c r="Q766" i="1"/>
  <c r="Q466" i="1"/>
  <c r="Q48" i="1"/>
  <c r="Q280" i="1"/>
  <c r="Q236" i="1"/>
  <c r="Q963" i="1"/>
  <c r="Q178" i="1"/>
  <c r="Q905" i="1"/>
  <c r="Q846" i="1"/>
  <c r="Q87" i="1"/>
  <c r="Q419" i="1"/>
  <c r="Q225" i="1"/>
  <c r="Q719" i="1"/>
  <c r="Q503" i="1"/>
  <c r="Q350" i="1"/>
  <c r="Q787" i="1"/>
  <c r="Q588" i="1"/>
  <c r="Q943" i="1"/>
  <c r="Q183" i="1"/>
  <c r="Q759" i="1"/>
  <c r="Q389" i="1"/>
  <c r="Q205" i="1"/>
  <c r="Q775" i="1"/>
  <c r="Q110" i="1"/>
  <c r="Q145" i="1"/>
  <c r="Q669" i="1"/>
  <c r="Q916" i="1"/>
  <c r="Q477" i="1"/>
  <c r="Q184" i="1"/>
  <c r="Q369" i="1"/>
  <c r="Q109" i="1"/>
  <c r="Q740" i="1"/>
  <c r="Q148" i="1"/>
  <c r="Q31" i="1"/>
  <c r="Q737" i="1"/>
  <c r="Q941" i="1"/>
  <c r="Q960" i="1"/>
  <c r="Q554" i="1"/>
  <c r="Q913" i="1"/>
  <c r="Q715" i="1"/>
  <c r="Q959" i="1"/>
  <c r="Q856" i="1"/>
  <c r="Q790" i="1"/>
  <c r="Q89" i="1"/>
  <c r="Q131" i="1"/>
  <c r="Q734" i="1"/>
  <c r="Q635" i="1"/>
  <c r="Q219" i="1"/>
  <c r="Q398" i="1"/>
  <c r="Q720" i="1"/>
  <c r="Q914" i="1"/>
  <c r="Q598" i="1"/>
  <c r="Q462" i="1"/>
  <c r="Q328" i="1"/>
  <c r="Q351" i="1"/>
  <c r="Q768" i="1"/>
  <c r="Q167" i="1"/>
  <c r="Q984" i="1"/>
  <c r="Q974" i="1"/>
  <c r="Q355" i="1"/>
  <c r="Q271" i="1"/>
  <c r="Q616" i="1"/>
  <c r="Q605" i="1"/>
  <c r="Q777" i="1"/>
  <c r="Q395" i="1"/>
  <c r="Q523" i="1"/>
  <c r="Q103" i="1"/>
  <c r="Q796" i="1"/>
  <c r="Q221" i="1"/>
  <c r="Q319" i="1"/>
  <c r="Q765" i="1"/>
  <c r="Q633" i="1"/>
  <c r="Q211" i="1"/>
  <c r="Q12" i="1"/>
  <c r="Q19" i="1"/>
  <c r="Q323" i="1"/>
  <c r="Q448" i="1"/>
  <c r="Q349" i="1"/>
  <c r="Q514" i="1"/>
  <c r="Q224" i="1"/>
  <c r="Q411" i="1"/>
  <c r="Q37" i="1"/>
  <c r="Q879" i="1"/>
  <c r="Q977" i="1"/>
  <c r="Q423" i="1"/>
  <c r="Q684" i="1"/>
  <c r="Q828" i="1"/>
  <c r="Q383" i="1"/>
  <c r="Q950" i="1"/>
  <c r="Q994" i="1"/>
  <c r="Q324" i="1"/>
  <c r="Q848" i="1"/>
  <c r="Q266" i="1"/>
  <c r="Q565" i="1"/>
  <c r="Q68" i="1"/>
  <c r="Q112" i="1"/>
  <c r="Q104" i="1"/>
  <c r="Q568" i="1"/>
  <c r="Q255" i="1"/>
  <c r="Q587" i="1"/>
  <c r="Q976" i="1"/>
  <c r="Q625" i="1"/>
  <c r="Q867" i="1"/>
  <c r="Q326" i="1"/>
  <c r="Q193" i="1"/>
  <c r="Q687" i="1"/>
  <c r="Q491" i="1"/>
  <c r="Q473" i="1"/>
  <c r="Q202" i="1"/>
  <c r="Q944" i="1"/>
  <c r="Q641" i="1"/>
  <c r="Q128" i="1"/>
  <c r="Q543" i="1"/>
  <c r="Q359" i="1"/>
  <c r="Q258" i="1"/>
  <c r="Q245" i="1"/>
  <c r="Q206" i="1"/>
  <c r="Q919" i="1"/>
  <c r="Q996" i="1"/>
  <c r="Q88" i="1"/>
  <c r="Q675" i="1"/>
  <c r="Q209" i="1"/>
  <c r="Q640" i="1"/>
  <c r="Q649" i="1"/>
  <c r="Q137" i="1"/>
  <c r="Q772" i="1"/>
  <c r="Q747" i="1"/>
  <c r="Q470" i="1"/>
  <c r="Q23" i="1"/>
  <c r="Q618" i="1"/>
  <c r="Q185" i="1"/>
  <c r="Q670" i="1"/>
  <c r="Q279" i="1"/>
  <c r="Q340" i="1"/>
  <c r="Q20" i="1"/>
  <c r="Q49" i="1"/>
  <c r="Q708" i="1"/>
  <c r="Q892" i="1"/>
  <c r="Q252" i="1"/>
  <c r="Q54" i="1"/>
  <c r="Q310" i="1"/>
  <c r="Q561" i="1"/>
  <c r="Q918" i="1"/>
  <c r="Q812" i="1"/>
  <c r="Q527" i="1"/>
  <c r="Q322" i="1"/>
  <c r="Q779" i="1"/>
  <c r="Q251" i="1"/>
  <c r="Q836" i="1"/>
  <c r="Q602" i="1"/>
  <c r="Q774" i="1"/>
  <c r="Q771" i="1"/>
  <c r="Q408" i="1"/>
  <c r="Q621" i="1"/>
  <c r="Q25" i="1"/>
  <c r="Q237" i="1"/>
  <c r="Q801" i="1"/>
  <c r="Q364" i="1"/>
  <c r="Q585" i="1"/>
  <c r="Q763" i="1"/>
  <c r="Q679" i="1"/>
  <c r="Q953" i="1"/>
  <c r="Q770" i="1"/>
  <c r="Q636" i="1"/>
  <c r="Q993" i="1"/>
  <c r="Q656" i="1"/>
  <c r="Q736" i="1"/>
  <c r="Q909" i="1"/>
  <c r="Q660" i="1"/>
  <c r="Q981" i="1"/>
  <c r="Q28" i="1"/>
  <c r="Q619" i="1"/>
  <c r="Q51" i="1"/>
  <c r="Q908" i="1"/>
  <c r="Q601" i="1"/>
  <c r="Q997" i="1"/>
  <c r="Q111" i="1"/>
  <c r="Q615" i="1"/>
  <c r="Q433" i="1"/>
  <c r="Q67" i="1"/>
  <c r="Q714" i="1"/>
  <c r="Q294" i="1"/>
  <c r="Q108" i="1"/>
  <c r="Q119" i="1"/>
  <c r="Q226" i="1"/>
  <c r="Q36" i="1"/>
  <c r="Q407" i="1"/>
  <c r="Q440" i="1"/>
  <c r="Q673" i="1"/>
  <c r="Q536" i="1"/>
  <c r="Q335" i="1"/>
  <c r="Q823" i="1"/>
  <c r="Q190" i="1"/>
  <c r="Q15" i="1"/>
  <c r="Q555" i="1"/>
  <c r="Q8" i="1"/>
  <c r="Q174" i="1"/>
  <c r="Q962" i="1"/>
  <c r="Q453" i="1"/>
  <c r="Q700" i="1"/>
  <c r="Q63" i="1"/>
  <c r="Q129" i="1"/>
  <c r="Q903" i="1"/>
  <c r="Q384" i="1"/>
  <c r="Q637" i="1"/>
  <c r="Q26" i="1"/>
  <c r="Q755" i="1"/>
  <c r="Q532" i="1"/>
  <c r="Q599" i="1"/>
  <c r="Q622" i="1"/>
  <c r="Q410" i="1"/>
  <c r="Q822" i="1"/>
  <c r="Q468" i="1"/>
  <c r="Q973" i="1"/>
  <c r="Q924" i="1"/>
  <c r="Q757" i="1"/>
  <c r="Q378" i="1"/>
  <c r="Q982" i="1"/>
  <c r="Q746" i="1"/>
  <c r="Q987" i="1"/>
  <c r="Q394" i="1"/>
  <c r="Q282" i="1"/>
  <c r="Q154" i="1"/>
  <c r="Q159" i="1"/>
  <c r="Q43" i="1"/>
  <c r="Q631" i="1"/>
  <c r="Q218" i="1"/>
  <c r="Q47" i="1"/>
  <c r="Q629" i="1"/>
  <c r="Q510" i="1"/>
  <c r="Q566" i="1"/>
  <c r="Q403" i="1"/>
  <c r="Q506" i="1"/>
  <c r="Q106" i="1"/>
  <c r="Q500" i="1"/>
  <c r="Q240" i="1"/>
  <c r="Q186" i="1"/>
  <c r="Q360" i="1"/>
  <c r="Q624" i="1"/>
  <c r="Q800" i="1"/>
  <c r="Q819" i="1"/>
  <c r="Q843" i="1"/>
  <c r="Q244" i="1"/>
  <c r="Q898" i="1"/>
  <c r="Q716" i="1"/>
  <c r="Q337" i="1"/>
  <c r="Q693" i="1"/>
  <c r="Q275" i="1"/>
  <c r="Q600" i="1"/>
  <c r="Q659" i="1"/>
  <c r="Q471" i="1"/>
  <c r="Q286" i="1"/>
  <c r="Q249" i="1"/>
  <c r="Q330" i="1"/>
  <c r="Q582" i="1"/>
  <c r="Q231" i="1"/>
  <c r="Q654" i="1"/>
  <c r="Q817" i="1"/>
  <c r="Q946" i="1"/>
  <c r="Q888" i="1"/>
  <c r="Q413" i="1"/>
  <c r="Q509" i="1"/>
  <c r="Q933" i="1"/>
  <c r="Q551" i="1"/>
  <c r="Q694" i="1"/>
  <c r="Q726" i="1"/>
  <c r="Q297" i="1"/>
  <c r="Q143" i="1"/>
  <c r="Q632" i="1"/>
  <c r="Q424" i="1"/>
  <c r="Q780" i="1"/>
  <c r="Q344" i="1"/>
  <c r="Q352" i="1"/>
  <c r="Q647" i="1"/>
  <c r="Q989" i="1"/>
  <c r="Q416" i="1"/>
  <c r="Q303" i="1"/>
  <c r="Q459" i="1"/>
  <c r="Q936" i="1"/>
  <c r="Q883" i="1"/>
  <c r="Q374" i="1"/>
  <c r="Q123" i="1"/>
  <c r="Q926" i="1"/>
  <c r="Q16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60C9B7-FC99-4EE6-995F-4139114C69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F22326A-6F00-49BC-B0BD-A1430F5A4ACD}" name="WorksheetConnection_RetailSalesData_StablePricing.xlsx!Table1" type="102" refreshedVersion="8" minRefreshableVersion="5">
    <extLst>
      <ext xmlns:x15="http://schemas.microsoft.com/office/spreadsheetml/2010/11/main" uri="{DE250136-89BD-433C-8126-D09CA5730AF9}">
        <x15:connection id="Table1" autoDelete="1">
          <x15:rangePr sourceName="_xlcn.WorksheetConnection_RetailSalesData_StablePricing.xlsxTable1"/>
        </x15:connection>
      </ext>
    </extLst>
  </connection>
</connections>
</file>

<file path=xl/sharedStrings.xml><?xml version="1.0" encoding="utf-8"?>
<sst xmlns="http://schemas.openxmlformats.org/spreadsheetml/2006/main" count="1242" uniqueCount="119">
  <si>
    <t>Date</t>
  </si>
  <si>
    <t>StoreID</t>
  </si>
  <si>
    <t>RepID</t>
  </si>
  <si>
    <t>ProductID</t>
  </si>
  <si>
    <t>Quantity</t>
  </si>
  <si>
    <t>UnitPrice</t>
  </si>
  <si>
    <t>Discount%</t>
  </si>
  <si>
    <t>Region</t>
  </si>
  <si>
    <t>North</t>
  </si>
  <si>
    <t>East</t>
  </si>
  <si>
    <t>South</t>
  </si>
  <si>
    <t>West</t>
  </si>
  <si>
    <t>StoreName</t>
  </si>
  <si>
    <t>City</t>
  </si>
  <si>
    <t>OpeningDate</t>
  </si>
  <si>
    <t>Store_101</t>
  </si>
  <si>
    <t>Store_102</t>
  </si>
  <si>
    <t>Store_103</t>
  </si>
  <si>
    <t>Store_104</t>
  </si>
  <si>
    <t>Store_105</t>
  </si>
  <si>
    <t>Store_106</t>
  </si>
  <si>
    <t>Store_107</t>
  </si>
  <si>
    <t>Store_108</t>
  </si>
  <si>
    <t>Store_109</t>
  </si>
  <si>
    <t>Store_110</t>
  </si>
  <si>
    <t>City_101</t>
  </si>
  <si>
    <t>City_102</t>
  </si>
  <si>
    <t>City_103</t>
  </si>
  <si>
    <t>City_104</t>
  </si>
  <si>
    <t>City_105</t>
  </si>
  <si>
    <t>City_106</t>
  </si>
  <si>
    <t>City_107</t>
  </si>
  <si>
    <t>City_108</t>
  </si>
  <si>
    <t>City_109</t>
  </si>
  <si>
    <t>City_110</t>
  </si>
  <si>
    <t>Category</t>
  </si>
  <si>
    <t>SubCategory</t>
  </si>
  <si>
    <t>Brand</t>
  </si>
  <si>
    <t>CostPrice</t>
  </si>
  <si>
    <t>Electronics</t>
  </si>
  <si>
    <t>Toys</t>
  </si>
  <si>
    <t>Home &amp; Kitchen</t>
  </si>
  <si>
    <t>Clothing</t>
  </si>
  <si>
    <t>Mobiles</t>
  </si>
  <si>
    <t>Outdoor</t>
  </si>
  <si>
    <t>Furniture</t>
  </si>
  <si>
    <t>Accessories</t>
  </si>
  <si>
    <t>Men</t>
  </si>
  <si>
    <t>Laptops</t>
  </si>
  <si>
    <t>Board Games</t>
  </si>
  <si>
    <t>Women</t>
  </si>
  <si>
    <t>Kids</t>
  </si>
  <si>
    <t>Educational</t>
  </si>
  <si>
    <t>BrandA</t>
  </si>
  <si>
    <t>BrandD</t>
  </si>
  <si>
    <t>BrandC</t>
  </si>
  <si>
    <t>BrandB</t>
  </si>
  <si>
    <t>RepName</t>
  </si>
  <si>
    <t>JoinDate</t>
  </si>
  <si>
    <t>Status</t>
  </si>
  <si>
    <t>Rep_201</t>
  </si>
  <si>
    <t>Rep_202</t>
  </si>
  <si>
    <t>Rep_203</t>
  </si>
  <si>
    <t>Rep_204</t>
  </si>
  <si>
    <t>Rep_205</t>
  </si>
  <si>
    <t>Rep_206</t>
  </si>
  <si>
    <t>Rep_207</t>
  </si>
  <si>
    <t>Rep_208</t>
  </si>
  <si>
    <t>Rep_209</t>
  </si>
  <si>
    <t>Rep_210</t>
  </si>
  <si>
    <t>Rep_211</t>
  </si>
  <si>
    <t>Rep_212</t>
  </si>
  <si>
    <t>Rep_213</t>
  </si>
  <si>
    <t>Rep_214</t>
  </si>
  <si>
    <t>Rep_215</t>
  </si>
  <si>
    <t>Rep_216</t>
  </si>
  <si>
    <t>Rep_217</t>
  </si>
  <si>
    <t>Rep_218</t>
  </si>
  <si>
    <t>Rep_219</t>
  </si>
  <si>
    <t>Rep_220</t>
  </si>
  <si>
    <t>Active</t>
  </si>
  <si>
    <t>Left</t>
  </si>
  <si>
    <t>Saleprice</t>
  </si>
  <si>
    <t>Sales</t>
  </si>
  <si>
    <t>Joining date</t>
  </si>
  <si>
    <t>Opening Date</t>
  </si>
  <si>
    <t>Year</t>
  </si>
  <si>
    <t>Month</t>
  </si>
  <si>
    <t>Month name</t>
  </si>
  <si>
    <t>Row Labels</t>
  </si>
  <si>
    <t>April</t>
  </si>
  <si>
    <t>August</t>
  </si>
  <si>
    <t>December</t>
  </si>
  <si>
    <t>February</t>
  </si>
  <si>
    <t>January</t>
  </si>
  <si>
    <t>July</t>
  </si>
  <si>
    <t>June</t>
  </si>
  <si>
    <t>March</t>
  </si>
  <si>
    <t>May</t>
  </si>
  <si>
    <t>November</t>
  </si>
  <si>
    <t>October</t>
  </si>
  <si>
    <t>September</t>
  </si>
  <si>
    <t>Grand Total</t>
  </si>
  <si>
    <t>Sum of Sales</t>
  </si>
  <si>
    <t>2021</t>
  </si>
  <si>
    <t>2022</t>
  </si>
  <si>
    <t>Performance per rep</t>
  </si>
  <si>
    <t>Subcategory</t>
  </si>
  <si>
    <t>2020</t>
  </si>
  <si>
    <t>Average of Discount%</t>
  </si>
  <si>
    <t>Profit</t>
  </si>
  <si>
    <t>Costprice</t>
  </si>
  <si>
    <t>Sum of Profit</t>
  </si>
  <si>
    <t>Average sales per month</t>
  </si>
  <si>
    <t>Column Labels</t>
  </si>
  <si>
    <t>Total sales</t>
  </si>
  <si>
    <t>Total quantity</t>
  </si>
  <si>
    <t>Total profit</t>
  </si>
  <si>
    <t>Avg sales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</si>
</sst>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8"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14" fontId="1" fillId="0" borderId="1" xfId="0" applyNumberFormat="1" applyFont="1" applyBorder="1" applyAlignment="1">
      <alignment horizontal="left" vertical="top"/>
    </xf>
    <xf numFmtId="0" fontId="1" fillId="0" borderId="1" xfId="0" applyFont="1" applyBorder="1" applyAlignment="1">
      <alignment horizontal="left" vertical="top"/>
    </xf>
    <xf numFmtId="0" fontId="1" fillId="0" borderId="2" xfId="0" applyFont="1" applyBorder="1" applyAlignment="1">
      <alignment horizontal="left" vertical="top"/>
    </xf>
    <xf numFmtId="164" fontId="1" fillId="0" borderId="1" xfId="0" applyNumberFormat="1" applyFont="1" applyBorder="1" applyAlignment="1">
      <alignment horizontal="left" vertical="top"/>
    </xf>
    <xf numFmtId="10" fontId="1" fillId="0" borderId="1" xfId="0" applyNumberFormat="1" applyFont="1" applyBorder="1" applyAlignment="1">
      <alignment horizontal="left" vertical="top"/>
    </xf>
    <xf numFmtId="1" fontId="0" fillId="0" borderId="0" xfId="0" applyNumberFormat="1"/>
  </cellXfs>
  <cellStyles count="1">
    <cellStyle name="Normal" xfId="0" builtinId="0"/>
  </cellStyles>
  <dxfs count="81">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4" formatCode="0.00%"/>
    </dxf>
    <dxf>
      <numFmt numFmtId="14" formatCode="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4" formatCode="0.00%"/>
    </dxf>
    <dxf>
      <numFmt numFmtId="14" formatCode="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4" formatCode="0.00%"/>
    </dxf>
    <dxf>
      <numFmt numFmtId="14" formatCode="0.00%"/>
    </dxf>
    <dxf>
      <numFmt numFmtId="164" formatCode="[$$-409]#,##0.00"/>
    </dxf>
    <dxf>
      <numFmt numFmtId="164" formatCode="[$$-409]#,##0.00"/>
    </dxf>
    <dxf>
      <numFmt numFmtId="164" formatCode="[$$-409]#,##0.00"/>
    </dxf>
    <dxf>
      <numFmt numFmtId="164" formatCode="[$$-409]#,##0.00"/>
    </dxf>
    <dxf>
      <numFmt numFmtId="14" formatCode="0.00%"/>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14" formatCode="0.00%"/>
    </dxf>
    <dxf>
      <numFmt numFmtId="14" formatCode="0.00%"/>
    </dxf>
    <dxf>
      <numFmt numFmtId="164" formatCode="[$$-409]#,##0.00"/>
    </dxf>
    <dxf>
      <numFmt numFmtId="164" formatCode="[$$-409]#,##0.00"/>
    </dxf>
    <dxf>
      <numFmt numFmtId="1" formatCode="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aredStrings" Target="sharedStrings.xml"/><Relationship Id="rId11" Type="http://schemas.openxmlformats.org/officeDocument/2006/relationships/pivotCacheDefinition" Target="pivotCache/pivotCacheDefinition4.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3.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a:t>
            </a:r>
          </a:p>
        </c:rich>
      </c:tx>
      <c:layout>
        <c:manualLayout>
          <c:xMode val="edge"/>
          <c:yMode val="edge"/>
          <c:x val="0.3989389338278107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40436071770893"/>
          <c:y val="0.28316858852418297"/>
          <c:w val="0.82331008751892365"/>
          <c:h val="0.48764413931372358"/>
        </c:manualLayout>
      </c:layout>
      <c:barChart>
        <c:barDir val="col"/>
        <c:grouping val="clustered"/>
        <c:varyColors val="0"/>
        <c:ser>
          <c:idx val="0"/>
          <c:order val="0"/>
          <c:tx>
            <c:strRef>
              <c:f>'Pivot tables'!$B$1:$B$2</c:f>
              <c:strCache>
                <c:ptCount val="1"/>
                <c:pt idx="0">
                  <c:v>East</c:v>
                </c:pt>
              </c:strCache>
            </c:strRef>
          </c:tx>
          <c:spPr>
            <a:solidFill>
              <a:schemeClr val="accent6"/>
            </a:solidFill>
            <a:ln>
              <a:noFill/>
            </a:ln>
            <a:effectLst/>
          </c:spPr>
          <c:invertIfNegative val="0"/>
          <c:cat>
            <c:strRef>
              <c:f>'Pivot tables'!$A$3:$A$15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tables'!$B$3:$B$15</c:f>
              <c:numCache>
                <c:formatCode>[$$-409]#,##0.00</c:formatCode>
                <c:ptCount val="12"/>
                <c:pt idx="3">
                  <c:v>32723.5275</c:v>
                </c:pt>
                <c:pt idx="4">
                  <c:v>31487.698200000006</c:v>
                </c:pt>
                <c:pt idx="5">
                  <c:v>41609.585100000011</c:v>
                </c:pt>
                <c:pt idx="6">
                  <c:v>1960.5389999999998</c:v>
                </c:pt>
              </c:numCache>
            </c:numRef>
          </c:val>
          <c:extLst>
            <c:ext xmlns:c16="http://schemas.microsoft.com/office/drawing/2014/chart" uri="{C3380CC4-5D6E-409C-BE32-E72D297353CC}">
              <c16:uniqueId val="{00000017-C15A-4B4A-ACDB-CE931D80E588}"/>
            </c:ext>
          </c:extLst>
        </c:ser>
        <c:ser>
          <c:idx val="1"/>
          <c:order val="1"/>
          <c:tx>
            <c:strRef>
              <c:f>'Pivot tables'!$C$1:$C$2</c:f>
              <c:strCache>
                <c:ptCount val="1"/>
                <c:pt idx="0">
                  <c:v>North</c:v>
                </c:pt>
              </c:strCache>
            </c:strRef>
          </c:tx>
          <c:spPr>
            <a:solidFill>
              <a:schemeClr val="accent5"/>
            </a:solidFill>
            <a:ln>
              <a:noFill/>
            </a:ln>
            <a:effectLst/>
          </c:spPr>
          <c:invertIfNegative val="0"/>
          <c:cat>
            <c:strRef>
              <c:f>'Pivot tables'!$A$3:$A$15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tables'!$C$3:$C$15</c:f>
              <c:numCache>
                <c:formatCode>[$$-409]#,##0.00</c:formatCode>
                <c:ptCount val="12"/>
                <c:pt idx="0">
                  <c:v>76269.208900000027</c:v>
                </c:pt>
                <c:pt idx="1">
                  <c:v>68745.405100000018</c:v>
                </c:pt>
                <c:pt idx="4">
                  <c:v>23930.800600000002</c:v>
                </c:pt>
                <c:pt idx="5">
                  <c:v>40447.690199999997</c:v>
                </c:pt>
                <c:pt idx="6">
                  <c:v>42827.763599999998</c:v>
                </c:pt>
                <c:pt idx="7">
                  <c:v>19461.313300000002</c:v>
                </c:pt>
                <c:pt idx="8">
                  <c:v>15078.178400000001</c:v>
                </c:pt>
                <c:pt idx="9">
                  <c:v>43039.677299999996</c:v>
                </c:pt>
                <c:pt idx="10">
                  <c:v>68043.596099999981</c:v>
                </c:pt>
                <c:pt idx="11">
                  <c:v>133723.59089999989</c:v>
                </c:pt>
              </c:numCache>
            </c:numRef>
          </c:val>
          <c:extLst>
            <c:ext xmlns:c16="http://schemas.microsoft.com/office/drawing/2014/chart" uri="{C3380CC4-5D6E-409C-BE32-E72D297353CC}">
              <c16:uniqueId val="{00000007-6A1A-4D0A-8192-B55E52A490C3}"/>
            </c:ext>
          </c:extLst>
        </c:ser>
        <c:ser>
          <c:idx val="2"/>
          <c:order val="2"/>
          <c:tx>
            <c:strRef>
              <c:f>'Pivot tables'!$D$1:$D$2</c:f>
              <c:strCache>
                <c:ptCount val="1"/>
                <c:pt idx="0">
                  <c:v>South</c:v>
                </c:pt>
              </c:strCache>
            </c:strRef>
          </c:tx>
          <c:spPr>
            <a:solidFill>
              <a:schemeClr val="accent4"/>
            </a:solidFill>
            <a:ln>
              <a:noFill/>
            </a:ln>
            <a:effectLst/>
          </c:spPr>
          <c:invertIfNegative val="0"/>
          <c:cat>
            <c:strRef>
              <c:f>'Pivot tables'!$A$3:$A$15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tables'!$D$3:$D$15</c:f>
              <c:numCache>
                <c:formatCode>[$$-409]#,##0.00</c:formatCode>
                <c:ptCount val="12"/>
                <c:pt idx="0">
                  <c:v>6442.7451000000001</c:v>
                </c:pt>
                <c:pt idx="1">
                  <c:v>5051.2498000000005</c:v>
                </c:pt>
                <c:pt idx="2">
                  <c:v>22920.817499999994</c:v>
                </c:pt>
                <c:pt idx="3">
                  <c:v>36693.144999999997</c:v>
                </c:pt>
                <c:pt idx="4">
                  <c:v>54263.9637</c:v>
                </c:pt>
                <c:pt idx="5">
                  <c:v>57027.792799999988</c:v>
                </c:pt>
                <c:pt idx="6">
                  <c:v>44955.494799999993</c:v>
                </c:pt>
                <c:pt idx="7">
                  <c:v>12254.7197</c:v>
                </c:pt>
                <c:pt idx="8">
                  <c:v>22555.936999999994</c:v>
                </c:pt>
                <c:pt idx="9">
                  <c:v>11485.2284</c:v>
                </c:pt>
                <c:pt idx="10">
                  <c:v>9079.4734999999982</c:v>
                </c:pt>
                <c:pt idx="11">
                  <c:v>9345.7288000000008</c:v>
                </c:pt>
              </c:numCache>
            </c:numRef>
          </c:val>
          <c:extLst>
            <c:ext xmlns:c16="http://schemas.microsoft.com/office/drawing/2014/chart" uri="{C3380CC4-5D6E-409C-BE32-E72D297353CC}">
              <c16:uniqueId val="{00000008-6A1A-4D0A-8192-B55E52A490C3}"/>
            </c:ext>
          </c:extLst>
        </c:ser>
        <c:ser>
          <c:idx val="3"/>
          <c:order val="3"/>
          <c:tx>
            <c:strRef>
              <c:f>'Pivot tables'!$E$1:$E$2</c:f>
              <c:strCache>
                <c:ptCount val="1"/>
                <c:pt idx="0">
                  <c:v>West</c:v>
                </c:pt>
              </c:strCache>
            </c:strRef>
          </c:tx>
          <c:spPr>
            <a:solidFill>
              <a:schemeClr val="accent6">
                <a:lumMod val="60000"/>
              </a:schemeClr>
            </a:solidFill>
            <a:ln>
              <a:noFill/>
            </a:ln>
            <a:effectLst/>
          </c:spPr>
          <c:invertIfNegative val="0"/>
          <c:cat>
            <c:strRef>
              <c:f>'Pivot tables'!$A$3:$A$15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tables'!$E$3:$E$15</c:f>
              <c:numCache>
                <c:formatCode>[$$-409]#,##0.00</c:formatCode>
                <c:ptCount val="12"/>
                <c:pt idx="1">
                  <c:v>13309.1034</c:v>
                </c:pt>
                <c:pt idx="2">
                  <c:v>22572.680700000001</c:v>
                </c:pt>
                <c:pt idx="3">
                  <c:v>24568.227800000001</c:v>
                </c:pt>
                <c:pt idx="4">
                  <c:v>7047.3888000000006</c:v>
                </c:pt>
                <c:pt idx="5">
                  <c:v>16536.615900000001</c:v>
                </c:pt>
                <c:pt idx="6">
                  <c:v>17090.453599999997</c:v>
                </c:pt>
                <c:pt idx="7">
                  <c:v>20349.019299999996</c:v>
                </c:pt>
              </c:numCache>
            </c:numRef>
          </c:val>
          <c:extLst>
            <c:ext xmlns:c16="http://schemas.microsoft.com/office/drawing/2014/chart" uri="{C3380CC4-5D6E-409C-BE32-E72D297353CC}">
              <c16:uniqueId val="{00000002-F8CF-41DD-BB14-06C051E3EDFF}"/>
            </c:ext>
          </c:extLst>
        </c:ser>
        <c:dLbls>
          <c:showLegendKey val="0"/>
          <c:showVal val="0"/>
          <c:showCatName val="0"/>
          <c:showSerName val="0"/>
          <c:showPercent val="0"/>
          <c:showBubbleSize val="0"/>
        </c:dLbls>
        <c:gapWidth val="219"/>
        <c:overlap val="-27"/>
        <c:axId val="712754031"/>
        <c:axId val="712746351"/>
      </c:barChart>
      <c:catAx>
        <c:axId val="71275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46351"/>
        <c:crosses val="autoZero"/>
        <c:auto val="1"/>
        <c:lblAlgn val="ctr"/>
        <c:lblOffset val="100"/>
        <c:noMultiLvlLbl val="0"/>
      </c:catAx>
      <c:valAx>
        <c:axId val="712746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54031"/>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per day by each</a:t>
            </a:r>
            <a:r>
              <a:rPr lang="en-US" baseline="0"/>
              <a:t> rep</a:t>
            </a:r>
            <a:endParaRPr lang="en-US"/>
          </a:p>
        </c:rich>
      </c:tx>
      <c:layout>
        <c:manualLayout>
          <c:xMode val="edge"/>
          <c:yMode val="edge"/>
          <c:x val="0.35477150796607193"/>
          <c:y val="2.31481825767119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9622954960972"/>
          <c:y val="0.17514720689875704"/>
          <c:w val="0.82989621199470798"/>
          <c:h val="0.58923028528168975"/>
        </c:manualLayout>
      </c:layout>
      <c:barChart>
        <c:barDir val="col"/>
        <c:grouping val="clustered"/>
        <c:varyColors val="0"/>
        <c:ser>
          <c:idx val="0"/>
          <c:order val="0"/>
          <c:tx>
            <c:strRef>
              <c:f>'Pivot tables'!$I$1:$I$2</c:f>
              <c:strCache>
                <c:ptCount val="1"/>
                <c:pt idx="0">
                  <c:v>Active</c:v>
                </c:pt>
              </c:strCache>
            </c:strRef>
          </c:tx>
          <c:spPr>
            <a:solidFill>
              <a:schemeClr val="accent1"/>
            </a:solidFill>
            <a:ln>
              <a:noFill/>
            </a:ln>
            <a:effectLst/>
          </c:spPr>
          <c:invertIfNegative val="0"/>
          <c:cat>
            <c:multiLvlStrRef>
              <c:f>'Pivot tables'!$H$3:$H$25</c:f>
              <c:multiLvlStrCache>
                <c:ptCount val="20"/>
                <c:lvl>
                  <c:pt idx="0">
                    <c:v>204</c:v>
                  </c:pt>
                  <c:pt idx="1">
                    <c:v>205</c:v>
                  </c:pt>
                  <c:pt idx="2">
                    <c:v>206</c:v>
                  </c:pt>
                  <c:pt idx="3">
                    <c:v>208</c:v>
                  </c:pt>
                  <c:pt idx="4">
                    <c:v>209</c:v>
                  </c:pt>
                  <c:pt idx="5">
                    <c:v>210</c:v>
                  </c:pt>
                  <c:pt idx="6">
                    <c:v>213</c:v>
                  </c:pt>
                  <c:pt idx="7">
                    <c:v>218</c:v>
                  </c:pt>
                  <c:pt idx="8">
                    <c:v>201</c:v>
                  </c:pt>
                  <c:pt idx="9">
                    <c:v>202</c:v>
                  </c:pt>
                  <c:pt idx="10">
                    <c:v>203</c:v>
                  </c:pt>
                  <c:pt idx="11">
                    <c:v>207</c:v>
                  </c:pt>
                  <c:pt idx="12">
                    <c:v>211</c:v>
                  </c:pt>
                  <c:pt idx="13">
                    <c:v>212</c:v>
                  </c:pt>
                  <c:pt idx="14">
                    <c:v>214</c:v>
                  </c:pt>
                  <c:pt idx="15">
                    <c:v>215</c:v>
                  </c:pt>
                  <c:pt idx="16">
                    <c:v>216</c:v>
                  </c:pt>
                  <c:pt idx="17">
                    <c:v>217</c:v>
                  </c:pt>
                  <c:pt idx="18">
                    <c:v>219</c:v>
                  </c:pt>
                  <c:pt idx="19">
                    <c:v>220</c:v>
                  </c:pt>
                </c:lvl>
                <c:lvl>
                  <c:pt idx="0">
                    <c:v>2021</c:v>
                  </c:pt>
                  <c:pt idx="8">
                    <c:v>2022</c:v>
                  </c:pt>
                </c:lvl>
              </c:multiLvlStrCache>
            </c:multiLvlStrRef>
          </c:cat>
          <c:val>
            <c:numRef>
              <c:f>'Pivot tables'!$I$3:$I$25</c:f>
              <c:numCache>
                <c:formatCode>[$$-409]#,##0.00</c:formatCode>
                <c:ptCount val="20"/>
                <c:pt idx="0">
                  <c:v>5348.2647916666674</c:v>
                </c:pt>
                <c:pt idx="1">
                  <c:v>8076.1624499999989</c:v>
                </c:pt>
                <c:pt idx="2">
                  <c:v>2546.9414500000007</c:v>
                </c:pt>
                <c:pt idx="3">
                  <c:v>1532.5465333333332</c:v>
                </c:pt>
                <c:pt idx="5">
                  <c:v>2173.0278916666662</c:v>
                </c:pt>
                <c:pt idx="6">
                  <c:v>2016.4564250000003</c:v>
                </c:pt>
                <c:pt idx="7">
                  <c:v>1377.9882833333334</c:v>
                </c:pt>
                <c:pt idx="8">
                  <c:v>1915.1163750000003</c:v>
                </c:pt>
                <c:pt idx="9">
                  <c:v>4548.8798666666662</c:v>
                </c:pt>
                <c:pt idx="10">
                  <c:v>1863.8678833333331</c:v>
                </c:pt>
                <c:pt idx="11">
                  <c:v>8981.7791500000039</c:v>
                </c:pt>
                <c:pt idx="12">
                  <c:v>4209.075291666667</c:v>
                </c:pt>
                <c:pt idx="13">
                  <c:v>2015.2018833333329</c:v>
                </c:pt>
                <c:pt idx="14">
                  <c:v>4774.5259999999989</c:v>
                </c:pt>
                <c:pt idx="15">
                  <c:v>4317.4977833333323</c:v>
                </c:pt>
                <c:pt idx="18">
                  <c:v>10171.43501666667</c:v>
                </c:pt>
                <c:pt idx="19">
                  <c:v>1560.9908583333338</c:v>
                </c:pt>
              </c:numCache>
            </c:numRef>
          </c:val>
          <c:extLst>
            <c:ext xmlns:c16="http://schemas.microsoft.com/office/drawing/2014/chart" uri="{C3380CC4-5D6E-409C-BE32-E72D297353CC}">
              <c16:uniqueId val="{00000000-2ABE-4503-A7F1-DD1215F0ECE5}"/>
            </c:ext>
          </c:extLst>
        </c:ser>
        <c:ser>
          <c:idx val="1"/>
          <c:order val="1"/>
          <c:tx>
            <c:strRef>
              <c:f>'Pivot tables'!$J$1:$J$2</c:f>
              <c:strCache>
                <c:ptCount val="1"/>
                <c:pt idx="0">
                  <c:v>Left</c:v>
                </c:pt>
              </c:strCache>
            </c:strRef>
          </c:tx>
          <c:spPr>
            <a:solidFill>
              <a:schemeClr val="accent3"/>
            </a:solidFill>
            <a:ln>
              <a:noFill/>
            </a:ln>
            <a:effectLst/>
          </c:spPr>
          <c:invertIfNegative val="0"/>
          <c:cat>
            <c:multiLvlStrRef>
              <c:f>'Pivot tables'!$H$3:$H$25</c:f>
              <c:multiLvlStrCache>
                <c:ptCount val="20"/>
                <c:lvl>
                  <c:pt idx="0">
                    <c:v>204</c:v>
                  </c:pt>
                  <c:pt idx="1">
                    <c:v>205</c:v>
                  </c:pt>
                  <c:pt idx="2">
                    <c:v>206</c:v>
                  </c:pt>
                  <c:pt idx="3">
                    <c:v>208</c:v>
                  </c:pt>
                  <c:pt idx="4">
                    <c:v>209</c:v>
                  </c:pt>
                  <c:pt idx="5">
                    <c:v>210</c:v>
                  </c:pt>
                  <c:pt idx="6">
                    <c:v>213</c:v>
                  </c:pt>
                  <c:pt idx="7">
                    <c:v>218</c:v>
                  </c:pt>
                  <c:pt idx="8">
                    <c:v>201</c:v>
                  </c:pt>
                  <c:pt idx="9">
                    <c:v>202</c:v>
                  </c:pt>
                  <c:pt idx="10">
                    <c:v>203</c:v>
                  </c:pt>
                  <c:pt idx="11">
                    <c:v>207</c:v>
                  </c:pt>
                  <c:pt idx="12">
                    <c:v>211</c:v>
                  </c:pt>
                  <c:pt idx="13">
                    <c:v>212</c:v>
                  </c:pt>
                  <c:pt idx="14">
                    <c:v>214</c:v>
                  </c:pt>
                  <c:pt idx="15">
                    <c:v>215</c:v>
                  </c:pt>
                  <c:pt idx="16">
                    <c:v>216</c:v>
                  </c:pt>
                  <c:pt idx="17">
                    <c:v>217</c:v>
                  </c:pt>
                  <c:pt idx="18">
                    <c:v>219</c:v>
                  </c:pt>
                  <c:pt idx="19">
                    <c:v>220</c:v>
                  </c:pt>
                </c:lvl>
                <c:lvl>
                  <c:pt idx="0">
                    <c:v>2021</c:v>
                  </c:pt>
                  <c:pt idx="8">
                    <c:v>2022</c:v>
                  </c:pt>
                </c:lvl>
              </c:multiLvlStrCache>
            </c:multiLvlStrRef>
          </c:cat>
          <c:val>
            <c:numRef>
              <c:f>'Pivot tables'!$J$3:$J$25</c:f>
              <c:numCache>
                <c:formatCode>[$$-409]#,##0.00</c:formatCode>
                <c:ptCount val="20"/>
                <c:pt idx="4">
                  <c:v>1723.5018916666668</c:v>
                </c:pt>
                <c:pt idx="16">
                  <c:v>9407.5541333333349</c:v>
                </c:pt>
                <c:pt idx="17">
                  <c:v>9180.7160249999997</c:v>
                </c:pt>
              </c:numCache>
            </c:numRef>
          </c:val>
          <c:extLst>
            <c:ext xmlns:c16="http://schemas.microsoft.com/office/drawing/2014/chart" uri="{C3380CC4-5D6E-409C-BE32-E72D297353CC}">
              <c16:uniqueId val="{00000003-8BB0-4F42-932C-F49541196A09}"/>
            </c:ext>
          </c:extLst>
        </c:ser>
        <c:dLbls>
          <c:showLegendKey val="0"/>
          <c:showVal val="0"/>
          <c:showCatName val="0"/>
          <c:showSerName val="0"/>
          <c:showPercent val="0"/>
          <c:showBubbleSize val="0"/>
        </c:dLbls>
        <c:gapWidth val="219"/>
        <c:overlap val="-27"/>
        <c:axId val="1719902607"/>
        <c:axId val="1719903087"/>
      </c:barChart>
      <c:catAx>
        <c:axId val="1719902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Joining</a:t>
                </a:r>
                <a:r>
                  <a:rPr lang="en-IN" baseline="0"/>
                  <a:t> year</a:t>
                </a:r>
                <a:endParaRPr lang="en-IN"/>
              </a:p>
            </c:rich>
          </c:tx>
          <c:layout>
            <c:manualLayout>
              <c:xMode val="edge"/>
              <c:yMode val="edge"/>
              <c:x val="0.48132029988910441"/>
              <c:y val="0.92819843147870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03087"/>
        <c:crosses val="autoZero"/>
        <c:auto val="1"/>
        <c:lblAlgn val="ctr"/>
        <c:lblOffset val="100"/>
        <c:noMultiLvlLbl val="0"/>
      </c:catAx>
      <c:valAx>
        <c:axId val="1719903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02607"/>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[RetailSalesData_StablePricing(AutoRecovered).xlsx]Pivot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after</a:t>
            </a:r>
            <a:r>
              <a:rPr lang="en-US" baseline="0"/>
              <a:t> opening</a:t>
            </a:r>
            <a:endParaRPr lang="en-US"/>
          </a:p>
        </c:rich>
      </c:tx>
      <c:layout>
        <c:manualLayout>
          <c:xMode val="edge"/>
          <c:yMode val="edge"/>
          <c:x val="0.4102430008748906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02559055118109"/>
          <c:y val="0.17514720689875704"/>
          <c:w val="0.78241885389326338"/>
          <c:h val="0.53631760399671002"/>
        </c:manualLayout>
      </c:layout>
      <c:barChart>
        <c:barDir val="col"/>
        <c:grouping val="clustered"/>
        <c:varyColors val="0"/>
        <c:ser>
          <c:idx val="0"/>
          <c:order val="0"/>
          <c:tx>
            <c:strRef>
              <c:f>'Pivot tables'!$O$1</c:f>
              <c:strCache>
                <c:ptCount val="1"/>
                <c:pt idx="0">
                  <c:v>Total</c:v>
                </c:pt>
              </c:strCache>
            </c:strRef>
          </c:tx>
          <c:spPr>
            <a:solidFill>
              <a:schemeClr val="accent6"/>
            </a:solidFill>
            <a:ln>
              <a:noFill/>
            </a:ln>
            <a:effectLst/>
          </c:spPr>
          <c:invertIfNegative val="0"/>
          <c:cat>
            <c:multiLvlStrRef>
              <c:f>'Pivot tables'!$N$2:$N$15</c:f>
              <c:multiLvlStrCache>
                <c:ptCount val="10"/>
                <c:lvl>
                  <c:pt idx="0">
                    <c:v>103</c:v>
                  </c:pt>
                  <c:pt idx="1">
                    <c:v>105</c:v>
                  </c:pt>
                  <c:pt idx="2">
                    <c:v>106</c:v>
                  </c:pt>
                  <c:pt idx="3">
                    <c:v>108</c:v>
                  </c:pt>
                  <c:pt idx="4">
                    <c:v>110</c:v>
                  </c:pt>
                  <c:pt idx="5">
                    <c:v>104</c:v>
                  </c:pt>
                  <c:pt idx="6">
                    <c:v>101</c:v>
                  </c:pt>
                  <c:pt idx="7">
                    <c:v>102</c:v>
                  </c:pt>
                  <c:pt idx="8">
                    <c:v>107</c:v>
                  </c:pt>
                  <c:pt idx="9">
                    <c:v>109</c:v>
                  </c:pt>
                </c:lvl>
                <c:lvl>
                  <c:pt idx="0">
                    <c:v>2020</c:v>
                  </c:pt>
                  <c:pt idx="5">
                    <c:v>2021</c:v>
                  </c:pt>
                  <c:pt idx="6">
                    <c:v>2022</c:v>
                  </c:pt>
                </c:lvl>
              </c:multiLvlStrCache>
            </c:multiLvlStrRef>
          </c:cat>
          <c:val>
            <c:numRef>
              <c:f>'Pivot tables'!$O$2:$O$15</c:f>
              <c:numCache>
                <c:formatCode>[$$-409]#,##0.00</c:formatCode>
                <c:ptCount val="10"/>
                <c:pt idx="0">
                  <c:v>107781.34980000004</c:v>
                </c:pt>
                <c:pt idx="1">
                  <c:v>112890.64960000002</c:v>
                </c:pt>
                <c:pt idx="2">
                  <c:v>85185.175100000022</c:v>
                </c:pt>
                <c:pt idx="3">
                  <c:v>96913.949399999983</c:v>
                </c:pt>
                <c:pt idx="4">
                  <c:v>110168.5923</c:v>
                </c:pt>
                <c:pt idx="5">
                  <c:v>94000.471400000053</c:v>
                </c:pt>
                <c:pt idx="6">
                  <c:v>100108.58560000003</c:v>
                </c:pt>
                <c:pt idx="7">
                  <c:v>122057.22020000004</c:v>
                </c:pt>
                <c:pt idx="8">
                  <c:v>102318.87689999997</c:v>
                </c:pt>
                <c:pt idx="9">
                  <c:v>121473.48950000001</c:v>
                </c:pt>
              </c:numCache>
            </c:numRef>
          </c:val>
          <c:extLst>
            <c:ext xmlns:c16="http://schemas.microsoft.com/office/drawing/2014/chart" uri="{C3380CC4-5D6E-409C-BE32-E72D297353CC}">
              <c16:uniqueId val="{00000002-E23E-4703-9E35-073474507669}"/>
            </c:ext>
          </c:extLst>
        </c:ser>
        <c:dLbls>
          <c:showLegendKey val="0"/>
          <c:showVal val="0"/>
          <c:showCatName val="0"/>
          <c:showSerName val="0"/>
          <c:showPercent val="0"/>
          <c:showBubbleSize val="0"/>
        </c:dLbls>
        <c:gapWidth val="219"/>
        <c:overlap val="-27"/>
        <c:axId val="1781905503"/>
        <c:axId val="1781917023"/>
      </c:barChart>
      <c:catAx>
        <c:axId val="1781905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Opening</a:t>
                </a:r>
                <a:r>
                  <a:rPr lang="en-IN" baseline="0"/>
                  <a:t> year</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17023"/>
        <c:crosses val="autoZero"/>
        <c:auto val="1"/>
        <c:lblAlgn val="ctr"/>
        <c:lblOffset val="100"/>
        <c:noMultiLvlLbl val="0"/>
      </c:catAx>
      <c:valAx>
        <c:axId val="1781917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05503"/>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tables!PivotTable6</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solidFill>
                  <a:schemeClr val="accent5">
                    <a:lumMod val="20000"/>
                    <a:lumOff val="80000"/>
                  </a:schemeClr>
                </a:solidFill>
              </a:rPr>
              <a:t>Chart Title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8490028490028622E-3"/>
              <c:y val="-3.30555649545569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F13D344F-5F7A-4A86-89CB-7C8E581167B1}" type="VALUE">
                  <a:rPr lang="en-US">
                    <a:solidFill>
                      <a:schemeClr val="tx1">
                        <a:lumMod val="75000"/>
                        <a:lumOff val="2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layout>
            <c:manualLayout>
              <c:x val="0"/>
              <c:y val="-3.30555649545569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BCE653FE-59BC-4C99-9A48-04732818E9D7}" type="VALUE">
                  <a:rPr lang="en-US">
                    <a:solidFill>
                      <a:schemeClr val="tx1">
                        <a:lumMod val="75000"/>
                        <a:lumOff val="2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761775A8-CFD3-4A09-BFE5-E642D4693374}" type="VALUE">
                  <a:rPr lang="en-US">
                    <a:solidFill>
                      <a:schemeClr val="tx1">
                        <a:lumMod val="75000"/>
                        <a:lumOff val="2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fld id="{A21DDF52-5439-46F5-8548-DFD8E69B99E2}" type="VALUE">
                  <a:rPr lang="en-US">
                    <a:solidFill>
                      <a:schemeClr val="tx1">
                        <a:lumMod val="75000"/>
                        <a:lumOff val="2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5.0498687664041995E-2"/>
          <c:y val="0.1568292505103529"/>
          <c:w val="0.91894586894586894"/>
          <c:h val="0.71195902595508898"/>
        </c:manualLayout>
      </c:layout>
      <c:barChart>
        <c:barDir val="col"/>
        <c:grouping val="stacked"/>
        <c:varyColors val="0"/>
        <c:ser>
          <c:idx val="0"/>
          <c:order val="0"/>
          <c:tx>
            <c:strRef>
              <c:f>'Pivot tables'!$B$29</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tables'!$A$30:$A$34</c:f>
              <c:strCache>
                <c:ptCount val="4"/>
                <c:pt idx="0">
                  <c:v>Clothing</c:v>
                </c:pt>
                <c:pt idx="1">
                  <c:v>Electronics</c:v>
                </c:pt>
                <c:pt idx="2">
                  <c:v>Home &amp; Kitchen</c:v>
                </c:pt>
                <c:pt idx="3">
                  <c:v>Toys</c:v>
                </c:pt>
              </c:strCache>
            </c:strRef>
          </c:cat>
          <c:val>
            <c:numRef>
              <c:f>'Pivot tables'!$B$30:$B$34</c:f>
              <c:numCache>
                <c:formatCode>[$$-409]#,##0.00</c:formatCode>
                <c:ptCount val="4"/>
                <c:pt idx="0">
                  <c:v>167303.69429999997</c:v>
                </c:pt>
                <c:pt idx="1">
                  <c:v>197546.8018000001</c:v>
                </c:pt>
                <c:pt idx="2">
                  <c:v>363865.02119999984</c:v>
                </c:pt>
                <c:pt idx="3">
                  <c:v>324182.84249999956</c:v>
                </c:pt>
              </c:numCache>
            </c:numRef>
          </c:val>
          <c:extLst>
            <c:ext xmlns:c16="http://schemas.microsoft.com/office/drawing/2014/chart" uri="{C3380CC4-5D6E-409C-BE32-E72D297353CC}">
              <c16:uniqueId val="{00000000-3060-4AAC-A53B-731F4C459BE2}"/>
            </c:ext>
          </c:extLst>
        </c:ser>
        <c:ser>
          <c:idx val="1"/>
          <c:order val="1"/>
          <c:tx>
            <c:strRef>
              <c:f>'Pivot tables'!$C$29</c:f>
              <c:strCache>
                <c:ptCount val="1"/>
                <c:pt idx="0">
                  <c:v>Sum of Profit</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3060-4AAC-A53B-731F4C459BE2}"/>
              </c:ext>
            </c:extLst>
          </c:dPt>
          <c:dPt>
            <c:idx val="1"/>
            <c:invertIfNegative val="0"/>
            <c:bubble3D val="0"/>
            <c:extLst>
              <c:ext xmlns:c16="http://schemas.microsoft.com/office/drawing/2014/chart" uri="{C3380CC4-5D6E-409C-BE32-E72D297353CC}">
                <c16:uniqueId val="{00000003-3060-4AAC-A53B-731F4C459BE2}"/>
              </c:ext>
            </c:extLst>
          </c:dPt>
          <c:dPt>
            <c:idx val="2"/>
            <c:invertIfNegative val="0"/>
            <c:bubble3D val="0"/>
            <c:extLst>
              <c:ext xmlns:c16="http://schemas.microsoft.com/office/drawing/2014/chart" uri="{C3380CC4-5D6E-409C-BE32-E72D297353CC}">
                <c16:uniqueId val="{00000004-3060-4AAC-A53B-731F4C459BE2}"/>
              </c:ext>
            </c:extLst>
          </c:dPt>
          <c:dPt>
            <c:idx val="3"/>
            <c:invertIfNegative val="0"/>
            <c:bubble3D val="0"/>
            <c:extLst>
              <c:ext xmlns:c16="http://schemas.microsoft.com/office/drawing/2014/chart" uri="{C3380CC4-5D6E-409C-BE32-E72D297353CC}">
                <c16:uniqueId val="{00000005-3060-4AAC-A53B-731F4C459BE2}"/>
              </c:ext>
            </c:extLst>
          </c:dPt>
          <c:dLbls>
            <c:dLbl>
              <c:idx val="0"/>
              <c:layout>
                <c:manualLayout>
                  <c:x val="-2.8490028490028622E-3"/>
                  <c:y val="-3.3055564954556964E-2"/>
                </c:manualLayout>
              </c:layout>
              <c:tx>
                <c:rich>
                  <a:bodyPr/>
                  <a:lstStyle/>
                  <a:p>
                    <a:fld id="{F13D344F-5F7A-4A86-89CB-7C8E581167B1}" type="VALUE">
                      <a:rPr lang="en-US">
                        <a:solidFill>
                          <a:schemeClr val="tx1">
                            <a:lumMod val="75000"/>
                            <a:lumOff val="25000"/>
                          </a:schemeClr>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060-4AAC-A53B-731F4C459BE2}"/>
                </c:ext>
              </c:extLst>
            </c:dLbl>
            <c:dLbl>
              <c:idx val="1"/>
              <c:layout>
                <c:manualLayout>
                  <c:x val="0"/>
                  <c:y val="-3.3055564954556964E-2"/>
                </c:manualLayout>
              </c:layout>
              <c:tx>
                <c:rich>
                  <a:bodyPr/>
                  <a:lstStyle/>
                  <a:p>
                    <a:fld id="{BCE653FE-59BC-4C99-9A48-04732818E9D7}" type="VALUE">
                      <a:rPr lang="en-US">
                        <a:solidFill>
                          <a:schemeClr val="tx1">
                            <a:lumMod val="75000"/>
                            <a:lumOff val="25000"/>
                          </a:schemeClr>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060-4AAC-A53B-731F4C459BE2}"/>
                </c:ext>
              </c:extLst>
            </c:dLbl>
            <c:dLbl>
              <c:idx val="2"/>
              <c:tx>
                <c:rich>
                  <a:bodyPr/>
                  <a:lstStyle/>
                  <a:p>
                    <a:fld id="{761775A8-CFD3-4A09-BFE5-E642D4693374}" type="VALUE">
                      <a:rPr lang="en-US">
                        <a:solidFill>
                          <a:schemeClr val="tx1">
                            <a:lumMod val="75000"/>
                            <a:lumOff val="25000"/>
                          </a:schemeClr>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060-4AAC-A53B-731F4C459BE2}"/>
                </c:ext>
              </c:extLst>
            </c:dLbl>
            <c:dLbl>
              <c:idx val="3"/>
              <c:tx>
                <c:rich>
                  <a:bodyPr/>
                  <a:lstStyle/>
                  <a:p>
                    <a:fld id="{A21DDF52-5439-46F5-8548-DFD8E69B99E2}" type="VALUE">
                      <a:rPr lang="en-US">
                        <a:solidFill>
                          <a:schemeClr val="tx1">
                            <a:lumMod val="75000"/>
                            <a:lumOff val="25000"/>
                          </a:schemeClr>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060-4AAC-A53B-731F4C459B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tables'!$A$30:$A$34</c:f>
              <c:strCache>
                <c:ptCount val="4"/>
                <c:pt idx="0">
                  <c:v>Clothing</c:v>
                </c:pt>
                <c:pt idx="1">
                  <c:v>Electronics</c:v>
                </c:pt>
                <c:pt idx="2">
                  <c:v>Home &amp; Kitchen</c:v>
                </c:pt>
                <c:pt idx="3">
                  <c:v>Toys</c:v>
                </c:pt>
              </c:strCache>
            </c:strRef>
          </c:cat>
          <c:val>
            <c:numRef>
              <c:f>'Pivot tables'!$C$30:$C$34</c:f>
              <c:numCache>
                <c:formatCode>[$$-409]#,##0.00</c:formatCode>
                <c:ptCount val="4"/>
                <c:pt idx="0">
                  <c:v>9569.8142999999909</c:v>
                </c:pt>
                <c:pt idx="1">
                  <c:v>18547.441799999997</c:v>
                </c:pt>
                <c:pt idx="2">
                  <c:v>21511.831200000026</c:v>
                </c:pt>
                <c:pt idx="3">
                  <c:v>23715.572500000028</c:v>
                </c:pt>
              </c:numCache>
            </c:numRef>
          </c:val>
          <c:extLst>
            <c:ext xmlns:c16="http://schemas.microsoft.com/office/drawing/2014/chart" uri="{C3380CC4-5D6E-409C-BE32-E72D297353CC}">
              <c16:uniqueId val="{00000001-3060-4AAC-A53B-731F4C459BE2}"/>
            </c:ext>
          </c:extLst>
        </c:ser>
        <c:dLbls>
          <c:dLblPos val="ctr"/>
          <c:showLegendKey val="0"/>
          <c:showVal val="1"/>
          <c:showCatName val="0"/>
          <c:showSerName val="0"/>
          <c:showPercent val="0"/>
          <c:showBubbleSize val="0"/>
        </c:dLbls>
        <c:gapWidth val="79"/>
        <c:overlap val="100"/>
        <c:axId val="1719865647"/>
        <c:axId val="1719854607"/>
      </c:barChart>
      <c:catAx>
        <c:axId val="1719865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19854607"/>
        <c:crosses val="autoZero"/>
        <c:auto val="1"/>
        <c:lblAlgn val="ctr"/>
        <c:lblOffset val="100"/>
        <c:noMultiLvlLbl val="0"/>
      </c:catAx>
      <c:valAx>
        <c:axId val="1719854607"/>
        <c:scaling>
          <c:orientation val="minMax"/>
        </c:scaling>
        <c:delete val="1"/>
        <c:axPos val="l"/>
        <c:numFmt formatCode="[$$-409]#,##0.00" sourceLinked="1"/>
        <c:majorTickMark val="none"/>
        <c:minorTickMark val="none"/>
        <c:tickLblPos val="nextTo"/>
        <c:crossAx val="17198656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tables!PivotTable7</c:name>
    <c:fmtId val="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Sales contribution by subcategory</a:t>
            </a:r>
          </a:p>
        </c:rich>
      </c:tx>
      <c:layout>
        <c:manualLayout>
          <c:xMode val="edge"/>
          <c:yMode val="edge"/>
          <c:x val="0.21912376337573192"/>
          <c:y val="2.833333085447674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5">
              <a:lumMod val="60000"/>
            </a:schemeClr>
          </a:solidFill>
          <a:ln w="19050">
            <a:solidFill>
              <a:schemeClr val="lt1"/>
            </a:solidFill>
          </a:ln>
          <a:effectLst/>
        </c:spPr>
        <c:dLbl>
          <c:idx val="0"/>
          <c:layout>
            <c:manualLayout>
              <c:x val="-5.2505358705161854E-2"/>
              <c:y val="2.8980752405949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6">
              <a:lumMod val="60000"/>
            </a:schemeClr>
          </a:solidFill>
          <a:ln w="19050">
            <a:solidFill>
              <a:schemeClr val="lt1"/>
            </a:solidFill>
          </a:ln>
          <a:effectLst/>
        </c:spPr>
        <c:dLbl>
          <c:idx val="0"/>
          <c:layout>
            <c:manualLayout>
              <c:x val="2.1557633420822397E-2"/>
              <c:y val="-4.2664041994750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9.4918853893263336E-2"/>
              <c:y val="-0.13610418489355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7.5402230971128636E-2"/>
              <c:y val="-1.981481481481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dLbl>
          <c:idx val="0"/>
          <c:layout>
            <c:manualLayout>
              <c:x val="-7.5402230971128636E-2"/>
              <c:y val="-1.981481481481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9.4918853893263336E-2"/>
              <c:y val="-0.13610418489355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2.1557633420822397E-2"/>
              <c:y val="-4.2664041994750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5.2505358705161854E-2"/>
              <c:y val="2.8980752405949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dLbl>
          <c:idx val="0"/>
          <c:layout>
            <c:manualLayout>
              <c:x val="-7.5402230971128636E-2"/>
              <c:y val="-1.981481481481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9"/>
        <c:spPr>
          <a:solidFill>
            <a:schemeClr val="accent6"/>
          </a:solidFill>
          <a:ln w="19050">
            <a:solidFill>
              <a:schemeClr val="lt1"/>
            </a:solidFill>
          </a:ln>
          <a:effectLst/>
        </c:spPr>
        <c:dLbl>
          <c:idx val="0"/>
          <c:layout>
            <c:manualLayout>
              <c:x val="-9.4918853893263336E-2"/>
              <c:y val="-0.13610418489355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0"/>
        <c:spPr>
          <a:solidFill>
            <a:schemeClr val="accent6"/>
          </a:solidFill>
          <a:ln w="19050">
            <a:solidFill>
              <a:schemeClr val="lt1"/>
            </a:solidFill>
          </a:ln>
          <a:effectLst/>
        </c:spPr>
        <c:dLbl>
          <c:idx val="0"/>
          <c:layout>
            <c:manualLayout>
              <c:x val="2.1557633420822397E-2"/>
              <c:y val="-4.2664041994750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1"/>
        <c:spPr>
          <a:solidFill>
            <a:schemeClr val="accent6"/>
          </a:solidFill>
          <a:ln w="19050">
            <a:solidFill>
              <a:schemeClr val="lt1"/>
            </a:solidFill>
          </a:ln>
          <a:effectLst/>
        </c:spPr>
        <c:dLbl>
          <c:idx val="0"/>
          <c:layout>
            <c:manualLayout>
              <c:x val="-5.2505358705161854E-2"/>
              <c:y val="2.8980752405949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s>
    <c:plotArea>
      <c:layout/>
      <c:ofPieChart>
        <c:ofPieType val="bar"/>
        <c:varyColors val="1"/>
        <c:ser>
          <c:idx val="0"/>
          <c:order val="0"/>
          <c:tx>
            <c:strRef>
              <c:f>'Pivot tables'!$B$44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464-41A9-9337-CBF6969E8E4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464-41A9-9337-CBF6969E8E4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464-41A9-9337-CBF6969E8E4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C464-41A9-9337-CBF6969E8E4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C464-41A9-9337-CBF6969E8E4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C464-41A9-9337-CBF6969E8E4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C464-41A9-9337-CBF6969E8E49}"/>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C464-41A9-9337-CBF6969E8E49}"/>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C464-41A9-9337-CBF6969E8E49}"/>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C464-41A9-9337-CBF6969E8E49}"/>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C464-41A9-9337-CBF6969E8E49}"/>
              </c:ext>
            </c:extLst>
          </c:dPt>
          <c:dLbls>
            <c:dLbl>
              <c:idx val="1"/>
              <c:layout>
                <c:manualLayout>
                  <c:x val="-7.5402230971128636E-2"/>
                  <c:y val="-1.9814814814814816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464-41A9-9337-CBF6969E8E49}"/>
                </c:ext>
              </c:extLst>
            </c:dLbl>
            <c:dLbl>
              <c:idx val="2"/>
              <c:layout>
                <c:manualLayout>
                  <c:x val="-9.4918853893263336E-2"/>
                  <c:y val="-0.13610418489355497"/>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464-41A9-9337-CBF6969E8E49}"/>
                </c:ext>
              </c:extLst>
            </c:dLbl>
            <c:dLbl>
              <c:idx val="3"/>
              <c:layout>
                <c:manualLayout>
                  <c:x val="2.1557633420822397E-2"/>
                  <c:y val="-4.2664041994750657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464-41A9-9337-CBF6969E8E49}"/>
                </c:ext>
              </c:extLst>
            </c:dLbl>
            <c:dLbl>
              <c:idx val="4"/>
              <c:layout>
                <c:manualLayout>
                  <c:x val="-5.2505358705161854E-2"/>
                  <c:y val="2.898075240594925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C464-41A9-9337-CBF6969E8E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tables'!$A$45:$A$55</c:f>
              <c:strCache>
                <c:ptCount val="10"/>
                <c:pt idx="0">
                  <c:v>Accessories</c:v>
                </c:pt>
                <c:pt idx="1">
                  <c:v>Board Games</c:v>
                </c:pt>
                <c:pt idx="2">
                  <c:v>Educational</c:v>
                </c:pt>
                <c:pt idx="3">
                  <c:v>Furniture</c:v>
                </c:pt>
                <c:pt idx="4">
                  <c:v>Kids</c:v>
                </c:pt>
                <c:pt idx="5">
                  <c:v>Laptops</c:v>
                </c:pt>
                <c:pt idx="6">
                  <c:v>Men</c:v>
                </c:pt>
                <c:pt idx="7">
                  <c:v>Mobiles</c:v>
                </c:pt>
                <c:pt idx="8">
                  <c:v>Outdoor</c:v>
                </c:pt>
                <c:pt idx="9">
                  <c:v>Women</c:v>
                </c:pt>
              </c:strCache>
            </c:strRef>
          </c:cat>
          <c:val>
            <c:numRef>
              <c:f>'Pivot tables'!$B$45:$B$55</c:f>
              <c:numCache>
                <c:formatCode>[$$-409]#,##0.00</c:formatCode>
                <c:ptCount val="10"/>
                <c:pt idx="0">
                  <c:v>47367.396000000008</c:v>
                </c:pt>
                <c:pt idx="1">
                  <c:v>115406.94430000006</c:v>
                </c:pt>
                <c:pt idx="2">
                  <c:v>25375.116799999996</c:v>
                </c:pt>
                <c:pt idx="3">
                  <c:v>363865.02119999984</c:v>
                </c:pt>
                <c:pt idx="4">
                  <c:v>74675.191399999996</c:v>
                </c:pt>
                <c:pt idx="5">
                  <c:v>61153.09770000002</c:v>
                </c:pt>
                <c:pt idx="6">
                  <c:v>62866.551899999984</c:v>
                </c:pt>
                <c:pt idx="7">
                  <c:v>89026.308100000009</c:v>
                </c:pt>
                <c:pt idx="8">
                  <c:v>183400.78139999995</c:v>
                </c:pt>
                <c:pt idx="9">
                  <c:v>29761.951000000005</c:v>
                </c:pt>
              </c:numCache>
            </c:numRef>
          </c:val>
          <c:extLst>
            <c:ext xmlns:c16="http://schemas.microsoft.com/office/drawing/2014/chart" uri="{C3380CC4-5D6E-409C-BE32-E72D297353CC}">
              <c16:uniqueId val="{00000016-C464-41A9-9337-CBF6969E8E49}"/>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[RetailSalesData_StablePricing(AutoRecovered).xlsx]Pivot tables!PivotTable9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8702559055118109"/>
          <c:y val="0.20949077344787634"/>
          <c:w val="0.78241885389326338"/>
          <c:h val="0.63216048712506678"/>
        </c:manualLayout>
      </c:layout>
      <c:lineChart>
        <c:grouping val="standard"/>
        <c:varyColors val="0"/>
        <c:ser>
          <c:idx val="0"/>
          <c:order val="0"/>
          <c:tx>
            <c:strRef>
              <c:f>'Pivot tables'!$O$27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tables'!$N$28:$N$38</c:f>
              <c:strCache>
                <c:ptCount val="10"/>
                <c:pt idx="0">
                  <c:v>101</c:v>
                </c:pt>
                <c:pt idx="1">
                  <c:v>102</c:v>
                </c:pt>
                <c:pt idx="2">
                  <c:v>103</c:v>
                </c:pt>
                <c:pt idx="3">
                  <c:v>104</c:v>
                </c:pt>
                <c:pt idx="4">
                  <c:v>105</c:v>
                </c:pt>
                <c:pt idx="5">
                  <c:v>106</c:v>
                </c:pt>
                <c:pt idx="6">
                  <c:v>107</c:v>
                </c:pt>
                <c:pt idx="7">
                  <c:v>108</c:v>
                </c:pt>
                <c:pt idx="8">
                  <c:v>109</c:v>
                </c:pt>
                <c:pt idx="9">
                  <c:v>110</c:v>
                </c:pt>
              </c:strCache>
            </c:strRef>
          </c:cat>
          <c:val>
            <c:numRef>
              <c:f>'Pivot tables'!$O$28:$O$38</c:f>
              <c:numCache>
                <c:formatCode>[$$-409]#,##0.00</c:formatCode>
                <c:ptCount val="10"/>
                <c:pt idx="0">
                  <c:v>100108.58560000003</c:v>
                </c:pt>
                <c:pt idx="1">
                  <c:v>122057.22020000004</c:v>
                </c:pt>
                <c:pt idx="2">
                  <c:v>107781.34980000004</c:v>
                </c:pt>
                <c:pt idx="3">
                  <c:v>94000.471400000053</c:v>
                </c:pt>
                <c:pt idx="4">
                  <c:v>112890.64960000002</c:v>
                </c:pt>
                <c:pt idx="5">
                  <c:v>85185.175100000022</c:v>
                </c:pt>
                <c:pt idx="6">
                  <c:v>102318.87689999997</c:v>
                </c:pt>
                <c:pt idx="7">
                  <c:v>96913.949399999983</c:v>
                </c:pt>
                <c:pt idx="8">
                  <c:v>121473.48950000001</c:v>
                </c:pt>
                <c:pt idx="9">
                  <c:v>110168.5923</c:v>
                </c:pt>
              </c:numCache>
            </c:numRef>
          </c:val>
          <c:smooth val="0"/>
          <c:extLst>
            <c:ext xmlns:c16="http://schemas.microsoft.com/office/drawing/2014/chart" uri="{C3380CC4-5D6E-409C-BE32-E72D297353CC}">
              <c16:uniqueId val="{00000002-4647-49AB-BB77-6C982618257E}"/>
            </c:ext>
          </c:extLst>
        </c:ser>
        <c:dLbls>
          <c:dLblPos val="t"/>
          <c:showLegendKey val="0"/>
          <c:showVal val="1"/>
          <c:showCatName val="0"/>
          <c:showSerName val="0"/>
          <c:showPercent val="0"/>
          <c:showBubbleSize val="0"/>
        </c:dLbls>
        <c:marker val="1"/>
        <c:smooth val="0"/>
        <c:axId val="1781955903"/>
        <c:axId val="1781939583"/>
      </c:lineChart>
      <c:catAx>
        <c:axId val="17819559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 ID</a:t>
                </a:r>
              </a:p>
            </c:rich>
          </c:tx>
          <c:layout>
            <c:manualLayout>
              <c:xMode val="edge"/>
              <c:yMode val="edge"/>
              <c:x val="0.52461001749781278"/>
              <c:y val="0.913420851844194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39583"/>
        <c:crosses val="autoZero"/>
        <c:auto val="1"/>
        <c:lblAlgn val="ctr"/>
        <c:lblOffset val="100"/>
        <c:noMultiLvlLbl val="0"/>
      </c:catAx>
      <c:valAx>
        <c:axId val="1781939583"/>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55903"/>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[RetailSalesData_StablePricing(AutoRecovered).xlsx]Pivot tables!PivotTable10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on each</a:t>
            </a:r>
            <a:r>
              <a:rPr lang="en-US" baseline="0"/>
              <a:t>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tables'!$O$45</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tables'!$N$46:$N$56</c:f>
              <c:strCache>
                <c:ptCount val="10"/>
                <c:pt idx="0">
                  <c:v>101</c:v>
                </c:pt>
                <c:pt idx="1">
                  <c:v>102</c:v>
                </c:pt>
                <c:pt idx="2">
                  <c:v>103</c:v>
                </c:pt>
                <c:pt idx="3">
                  <c:v>104</c:v>
                </c:pt>
                <c:pt idx="4">
                  <c:v>105</c:v>
                </c:pt>
                <c:pt idx="5">
                  <c:v>106</c:v>
                </c:pt>
                <c:pt idx="6">
                  <c:v>107</c:v>
                </c:pt>
                <c:pt idx="7">
                  <c:v>108</c:v>
                </c:pt>
                <c:pt idx="8">
                  <c:v>109</c:v>
                </c:pt>
                <c:pt idx="9">
                  <c:v>110</c:v>
                </c:pt>
              </c:strCache>
            </c:strRef>
          </c:cat>
          <c:val>
            <c:numRef>
              <c:f>'Pivot tables'!$O$46:$O$56</c:f>
              <c:numCache>
                <c:formatCode>0.00%</c:formatCode>
                <c:ptCount val="10"/>
                <c:pt idx="0">
                  <c:v>0.14670212765957449</c:v>
                </c:pt>
                <c:pt idx="1">
                  <c:v>0.14518518518518522</c:v>
                </c:pt>
                <c:pt idx="2">
                  <c:v>0.14053571428571426</c:v>
                </c:pt>
                <c:pt idx="3">
                  <c:v>0.14000000000000007</c:v>
                </c:pt>
                <c:pt idx="4">
                  <c:v>0.149622641509434</c:v>
                </c:pt>
                <c:pt idx="5">
                  <c:v>0.16682926829268302</c:v>
                </c:pt>
                <c:pt idx="6">
                  <c:v>0.17717391304347832</c:v>
                </c:pt>
                <c:pt idx="7">
                  <c:v>0.1330612244897959</c:v>
                </c:pt>
                <c:pt idx="8">
                  <c:v>0.16669642857142852</c:v>
                </c:pt>
                <c:pt idx="9">
                  <c:v>0.14421568627450973</c:v>
                </c:pt>
              </c:numCache>
            </c:numRef>
          </c:val>
          <c:smooth val="0"/>
          <c:extLst>
            <c:ext xmlns:c16="http://schemas.microsoft.com/office/drawing/2014/chart" uri="{C3380CC4-5D6E-409C-BE32-E72D297353CC}">
              <c16:uniqueId val="{00000003-2778-4489-9778-49BBF3751889}"/>
            </c:ext>
          </c:extLst>
        </c:ser>
        <c:dLbls>
          <c:dLblPos val="t"/>
          <c:showLegendKey val="0"/>
          <c:showVal val="1"/>
          <c:showCatName val="0"/>
          <c:showSerName val="0"/>
          <c:showPercent val="0"/>
          <c:showBubbleSize val="0"/>
        </c:dLbls>
        <c:marker val="1"/>
        <c:smooth val="0"/>
        <c:axId val="1719880527"/>
        <c:axId val="1719881967"/>
      </c:lineChart>
      <c:catAx>
        <c:axId val="1719880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81967"/>
        <c:crosses val="autoZero"/>
        <c:auto val="1"/>
        <c:lblAlgn val="ctr"/>
        <c:lblOffset val="100"/>
        <c:noMultiLvlLbl val="0"/>
      </c:catAx>
      <c:valAx>
        <c:axId val="1719881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8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of each product</a:t>
            </a:r>
            <a:endParaRPr lang="en-US"/>
          </a:p>
        </c:rich>
      </c:tx>
      <c:layout>
        <c:manualLayout>
          <c:xMode val="edge"/>
          <c:yMode val="edge"/>
          <c:x val="0.3524234470691164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4959176519872"/>
          <c:y val="0.17171296296296296"/>
          <c:w val="0.82619478143407965"/>
          <c:h val="0.70696741032370958"/>
        </c:manualLayout>
      </c:layout>
      <c:barChart>
        <c:barDir val="col"/>
        <c:grouping val="clustered"/>
        <c:varyColors val="0"/>
        <c:ser>
          <c:idx val="0"/>
          <c:order val="0"/>
          <c:tx>
            <c:strRef>
              <c:f>'Pivot tables'!$I$28</c:f>
              <c:strCache>
                <c:ptCount val="1"/>
                <c:pt idx="0">
                  <c:v>Total</c:v>
                </c:pt>
              </c:strCache>
            </c:strRef>
          </c:tx>
          <c:spPr>
            <a:solidFill>
              <a:schemeClr val="accent1"/>
            </a:solidFill>
            <a:ln>
              <a:noFill/>
            </a:ln>
            <a:effectLst/>
          </c:spPr>
          <c:invertIfNegative val="0"/>
          <c:cat>
            <c:strRef>
              <c:f>'Pivot tables'!$H$29:$H$49</c:f>
              <c:strCache>
                <c:ptCount val="20"/>
                <c:pt idx="0">
                  <c:v>307</c:v>
                </c:pt>
                <c:pt idx="1">
                  <c:v>311</c:v>
                </c:pt>
                <c:pt idx="2">
                  <c:v>319</c:v>
                </c:pt>
                <c:pt idx="3">
                  <c:v>301</c:v>
                </c:pt>
                <c:pt idx="4">
                  <c:v>317</c:v>
                </c:pt>
                <c:pt idx="5">
                  <c:v>310</c:v>
                </c:pt>
                <c:pt idx="6">
                  <c:v>306</c:v>
                </c:pt>
                <c:pt idx="7">
                  <c:v>303</c:v>
                </c:pt>
                <c:pt idx="8">
                  <c:v>312</c:v>
                </c:pt>
                <c:pt idx="9">
                  <c:v>318</c:v>
                </c:pt>
                <c:pt idx="10">
                  <c:v>313</c:v>
                </c:pt>
                <c:pt idx="11">
                  <c:v>309</c:v>
                </c:pt>
                <c:pt idx="12">
                  <c:v>305</c:v>
                </c:pt>
                <c:pt idx="13">
                  <c:v>304</c:v>
                </c:pt>
                <c:pt idx="14">
                  <c:v>314</c:v>
                </c:pt>
                <c:pt idx="15">
                  <c:v>316</c:v>
                </c:pt>
                <c:pt idx="16">
                  <c:v>308</c:v>
                </c:pt>
                <c:pt idx="17">
                  <c:v>315</c:v>
                </c:pt>
                <c:pt idx="18">
                  <c:v>320</c:v>
                </c:pt>
                <c:pt idx="19">
                  <c:v>302</c:v>
                </c:pt>
              </c:strCache>
            </c:strRef>
          </c:cat>
          <c:val>
            <c:numRef>
              <c:f>'Pivot tables'!$I$29:$I$49</c:f>
              <c:numCache>
                <c:formatCode>[$$-409]#,##0.00</c:formatCode>
                <c:ptCount val="20"/>
                <c:pt idx="0">
                  <c:v>12465.269700000003</c:v>
                </c:pt>
                <c:pt idx="1">
                  <c:v>10193.215099999998</c:v>
                </c:pt>
                <c:pt idx="2">
                  <c:v>9903.5738000000038</c:v>
                </c:pt>
                <c:pt idx="3">
                  <c:v>9204.4924999999985</c:v>
                </c:pt>
                <c:pt idx="4">
                  <c:v>8533.7468000000008</c:v>
                </c:pt>
                <c:pt idx="5">
                  <c:v>8521.7796999999973</c:v>
                </c:pt>
                <c:pt idx="6">
                  <c:v>6231.1018999999987</c:v>
                </c:pt>
                <c:pt idx="7">
                  <c:v>5832.0436000000027</c:v>
                </c:pt>
                <c:pt idx="8">
                  <c:v>5751.2324999999992</c:v>
                </c:pt>
                <c:pt idx="9">
                  <c:v>4864.2955999999995</c:v>
                </c:pt>
                <c:pt idx="10">
                  <c:v>3033.9509999999996</c:v>
                </c:pt>
                <c:pt idx="11">
                  <c:v>2814.3777</c:v>
                </c:pt>
                <c:pt idx="12">
                  <c:v>1664.2760000000019</c:v>
                </c:pt>
                <c:pt idx="13">
                  <c:v>1114.7009000000007</c:v>
                </c:pt>
                <c:pt idx="14">
                  <c:v>304.76139999999714</c:v>
                </c:pt>
                <c:pt idx="15">
                  <c:v>-1749.0595999999957</c:v>
                </c:pt>
                <c:pt idx="16">
                  <c:v>-2400.8484999999941</c:v>
                </c:pt>
                <c:pt idx="17">
                  <c:v>-3363.0519999999992</c:v>
                </c:pt>
                <c:pt idx="18">
                  <c:v>-3582.8373999999963</c:v>
                </c:pt>
                <c:pt idx="19">
                  <c:v>-5992.3608999999915</c:v>
                </c:pt>
              </c:numCache>
            </c:numRef>
          </c:val>
          <c:extLst>
            <c:ext xmlns:c16="http://schemas.microsoft.com/office/drawing/2014/chart" uri="{C3380CC4-5D6E-409C-BE32-E72D297353CC}">
              <c16:uniqueId val="{00000000-BEC6-4166-A0F3-454983660517}"/>
            </c:ext>
          </c:extLst>
        </c:ser>
        <c:dLbls>
          <c:showLegendKey val="0"/>
          <c:showVal val="0"/>
          <c:showCatName val="0"/>
          <c:showSerName val="0"/>
          <c:showPercent val="0"/>
          <c:showBubbleSize val="0"/>
        </c:dLbls>
        <c:gapWidth val="219"/>
        <c:overlap val="-27"/>
        <c:axId val="1781940063"/>
        <c:axId val="1781942463"/>
      </c:barChart>
      <c:catAx>
        <c:axId val="1781940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ID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42463"/>
        <c:crosses val="autoZero"/>
        <c:auto val="1"/>
        <c:lblAlgn val="ctr"/>
        <c:lblOffset val="100"/>
        <c:noMultiLvlLbl val="0"/>
      </c:catAx>
      <c:valAx>
        <c:axId val="1781942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40063"/>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monthly sales</a:t>
            </a:r>
          </a:p>
        </c:rich>
      </c:tx>
      <c:layout>
        <c:manualLayout>
          <c:xMode val="edge"/>
          <c:yMode val="edge"/>
          <c:x val="0.3625300388587789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0338991716944"/>
          <c:y val="0.17171296296296296"/>
          <c:w val="0.82754009442001553"/>
          <c:h val="0.54540937591134442"/>
        </c:manualLayout>
      </c:layout>
      <c:lineChart>
        <c:grouping val="standard"/>
        <c:varyColors val="0"/>
        <c:ser>
          <c:idx val="0"/>
          <c:order val="0"/>
          <c:tx>
            <c:strRef>
              <c:f>'Pivot tables'!$I$56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tables'!$H$57:$H$77</c:f>
              <c:multiLvlStrCache>
                <c:ptCount val="15"/>
                <c:lvl>
                  <c:pt idx="0">
                    <c:v>2021</c:v>
                  </c:pt>
                  <c:pt idx="1">
                    <c:v>2022</c:v>
                  </c:pt>
                  <c:pt idx="2">
                    <c:v>2023</c:v>
                  </c:pt>
                  <c:pt idx="3">
                    <c:v>2021</c:v>
                  </c:pt>
                  <c:pt idx="4">
                    <c:v>2022</c:v>
                  </c:pt>
                  <c:pt idx="5">
                    <c:v>2023</c:v>
                  </c:pt>
                  <c:pt idx="6">
                    <c:v>2021</c:v>
                  </c:pt>
                  <c:pt idx="7">
                    <c:v>2022</c:v>
                  </c:pt>
                  <c:pt idx="8">
                    <c:v>2023</c:v>
                  </c:pt>
                  <c:pt idx="9">
                    <c:v>2021</c:v>
                  </c:pt>
                  <c:pt idx="10">
                    <c:v>2022</c:v>
                  </c:pt>
                  <c:pt idx="11">
                    <c:v>2023</c:v>
                  </c:pt>
                  <c:pt idx="12">
                    <c:v>2021</c:v>
                  </c:pt>
                  <c:pt idx="13">
                    <c:v>2022</c:v>
                  </c:pt>
                  <c:pt idx="14">
                    <c:v>2023</c:v>
                  </c:pt>
                </c:lvl>
                <c:lvl>
                  <c:pt idx="0">
                    <c:v>302</c:v>
                  </c:pt>
                  <c:pt idx="3">
                    <c:v>308</c:v>
                  </c:pt>
                  <c:pt idx="6">
                    <c:v>315</c:v>
                  </c:pt>
                  <c:pt idx="9">
                    <c:v>316</c:v>
                  </c:pt>
                  <c:pt idx="12">
                    <c:v>320</c:v>
                  </c:pt>
                </c:lvl>
              </c:multiLvlStrCache>
            </c:multiLvlStrRef>
          </c:cat>
          <c:val>
            <c:numRef>
              <c:f>'Pivot tables'!$I$57:$I$77</c:f>
              <c:numCache>
                <c:formatCode>[$$-409]#,##0.00</c:formatCode>
                <c:ptCount val="15"/>
                <c:pt idx="0">
                  <c:v>1209.3331999999998</c:v>
                </c:pt>
                <c:pt idx="1">
                  <c:v>5951.6090250000007</c:v>
                </c:pt>
                <c:pt idx="2">
                  <c:v>3854.286000000001</c:v>
                </c:pt>
                <c:pt idx="3">
                  <c:v>1425.3433</c:v>
                </c:pt>
                <c:pt idx="4">
                  <c:v>4560.8718500000004</c:v>
                </c:pt>
                <c:pt idx="5">
                  <c:v>2766.2998000000002</c:v>
                </c:pt>
                <c:pt idx="6">
                  <c:v>1087.4862444444445</c:v>
                </c:pt>
                <c:pt idx="7">
                  <c:v>3073.4209499999997</c:v>
                </c:pt>
                <c:pt idx="8">
                  <c:v>4608.3102000000008</c:v>
                </c:pt>
                <c:pt idx="9">
                  <c:v>993.24595555555561</c:v>
                </c:pt>
                <c:pt idx="10">
                  <c:v>4983.3551083333341</c:v>
                </c:pt>
                <c:pt idx="11">
                  <c:v>2605.08275</c:v>
                </c:pt>
                <c:pt idx="12">
                  <c:v>1182.5880333333332</c:v>
                </c:pt>
                <c:pt idx="13">
                  <c:v>4638.0384249999997</c:v>
                </c:pt>
                <c:pt idx="14">
                  <c:v>5112.2896000000001</c:v>
                </c:pt>
              </c:numCache>
            </c:numRef>
          </c:val>
          <c:smooth val="0"/>
          <c:extLst>
            <c:ext xmlns:c16="http://schemas.microsoft.com/office/drawing/2014/chart" uri="{C3380CC4-5D6E-409C-BE32-E72D297353CC}">
              <c16:uniqueId val="{00000002-1324-4F53-B1F1-A3BF4D803DC7}"/>
            </c:ext>
          </c:extLst>
        </c:ser>
        <c:dLbls>
          <c:showLegendKey val="0"/>
          <c:showVal val="0"/>
          <c:showCatName val="0"/>
          <c:showSerName val="0"/>
          <c:showPercent val="0"/>
          <c:showBubbleSize val="0"/>
        </c:dLbls>
        <c:marker val="1"/>
        <c:smooth val="0"/>
        <c:axId val="1781930463"/>
        <c:axId val="1781931423"/>
      </c:lineChart>
      <c:catAx>
        <c:axId val="1781930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Bottom 5</a:t>
                </a:r>
                <a:r>
                  <a:rPr lang="en-IN" baseline="0"/>
                  <a:t> products</a:t>
                </a:r>
                <a:endParaRPr lang="en-IN"/>
              </a:p>
            </c:rich>
          </c:tx>
          <c:layout>
            <c:manualLayout>
              <c:xMode val="edge"/>
              <c:yMode val="edge"/>
              <c:x val="0.43534700207928556"/>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31423"/>
        <c:crosses val="autoZero"/>
        <c:auto val="1"/>
        <c:lblAlgn val="ctr"/>
        <c:lblOffset val="100"/>
        <c:noMultiLvlLbl val="0"/>
      </c:catAx>
      <c:valAx>
        <c:axId val="1781931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30463"/>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a:t>
            </a:r>
          </a:p>
        </c:rich>
      </c:tx>
      <c:layout>
        <c:manualLayout>
          <c:xMode val="edge"/>
          <c:yMode val="edge"/>
          <c:x val="0.4245362563237774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East</c:v>
                </c:pt>
              </c:strCache>
            </c:strRef>
          </c:tx>
          <c:spPr>
            <a:solidFill>
              <a:schemeClr val="accent6"/>
            </a:solidFill>
            <a:ln>
              <a:noFill/>
            </a:ln>
            <a:effectLst/>
          </c:spPr>
          <c:invertIfNegative val="0"/>
          <c:cat>
            <c:strRef>
              <c:f>'Pivot tables'!$A$3:$A$15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tables'!$B$3:$B$15</c:f>
              <c:numCache>
                <c:formatCode>[$$-409]#,##0.00</c:formatCode>
                <c:ptCount val="12"/>
                <c:pt idx="3">
                  <c:v>32723.5275</c:v>
                </c:pt>
                <c:pt idx="4">
                  <c:v>31487.698200000006</c:v>
                </c:pt>
                <c:pt idx="5">
                  <c:v>41609.585100000011</c:v>
                </c:pt>
                <c:pt idx="6">
                  <c:v>1960.5389999999998</c:v>
                </c:pt>
              </c:numCache>
            </c:numRef>
          </c:val>
          <c:extLst>
            <c:ext xmlns:c16="http://schemas.microsoft.com/office/drawing/2014/chart" uri="{C3380CC4-5D6E-409C-BE32-E72D297353CC}">
              <c16:uniqueId val="{00000017-898D-4C6B-97AE-8D226EEDDA48}"/>
            </c:ext>
          </c:extLst>
        </c:ser>
        <c:ser>
          <c:idx val="1"/>
          <c:order val="1"/>
          <c:tx>
            <c:strRef>
              <c:f>'Pivot tables'!$C$1:$C$2</c:f>
              <c:strCache>
                <c:ptCount val="1"/>
                <c:pt idx="0">
                  <c:v>North</c:v>
                </c:pt>
              </c:strCache>
            </c:strRef>
          </c:tx>
          <c:spPr>
            <a:solidFill>
              <a:schemeClr val="accent5"/>
            </a:solidFill>
            <a:ln>
              <a:noFill/>
            </a:ln>
            <a:effectLst/>
          </c:spPr>
          <c:invertIfNegative val="0"/>
          <c:cat>
            <c:strRef>
              <c:f>'Pivot tables'!$A$3:$A$15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tables'!$C$3:$C$15</c:f>
              <c:numCache>
                <c:formatCode>[$$-409]#,##0.00</c:formatCode>
                <c:ptCount val="12"/>
                <c:pt idx="0">
                  <c:v>76269.208900000027</c:v>
                </c:pt>
                <c:pt idx="1">
                  <c:v>68745.405100000018</c:v>
                </c:pt>
                <c:pt idx="4">
                  <c:v>23930.800600000002</c:v>
                </c:pt>
                <c:pt idx="5">
                  <c:v>40447.690199999997</c:v>
                </c:pt>
                <c:pt idx="6">
                  <c:v>42827.763599999998</c:v>
                </c:pt>
                <c:pt idx="7">
                  <c:v>19461.313300000002</c:v>
                </c:pt>
                <c:pt idx="8">
                  <c:v>15078.178400000001</c:v>
                </c:pt>
                <c:pt idx="9">
                  <c:v>43039.677299999996</c:v>
                </c:pt>
                <c:pt idx="10">
                  <c:v>68043.596099999981</c:v>
                </c:pt>
                <c:pt idx="11">
                  <c:v>133723.59089999989</c:v>
                </c:pt>
              </c:numCache>
            </c:numRef>
          </c:val>
          <c:extLst>
            <c:ext xmlns:c16="http://schemas.microsoft.com/office/drawing/2014/chart" uri="{C3380CC4-5D6E-409C-BE32-E72D297353CC}">
              <c16:uniqueId val="{00000006-F097-4596-B58E-F431418D0EE0}"/>
            </c:ext>
          </c:extLst>
        </c:ser>
        <c:ser>
          <c:idx val="2"/>
          <c:order val="2"/>
          <c:tx>
            <c:strRef>
              <c:f>'Pivot tables'!$D$1:$D$2</c:f>
              <c:strCache>
                <c:ptCount val="1"/>
                <c:pt idx="0">
                  <c:v>South</c:v>
                </c:pt>
              </c:strCache>
            </c:strRef>
          </c:tx>
          <c:spPr>
            <a:solidFill>
              <a:schemeClr val="accent4"/>
            </a:solidFill>
            <a:ln>
              <a:noFill/>
            </a:ln>
            <a:effectLst/>
          </c:spPr>
          <c:invertIfNegative val="0"/>
          <c:cat>
            <c:strRef>
              <c:f>'Pivot tables'!$A$3:$A$15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tables'!$D$3:$D$15</c:f>
              <c:numCache>
                <c:formatCode>[$$-409]#,##0.00</c:formatCode>
                <c:ptCount val="12"/>
                <c:pt idx="0">
                  <c:v>6442.7451000000001</c:v>
                </c:pt>
                <c:pt idx="1">
                  <c:v>5051.2498000000005</c:v>
                </c:pt>
                <c:pt idx="2">
                  <c:v>22920.817499999994</c:v>
                </c:pt>
                <c:pt idx="3">
                  <c:v>36693.144999999997</c:v>
                </c:pt>
                <c:pt idx="4">
                  <c:v>54263.9637</c:v>
                </c:pt>
                <c:pt idx="5">
                  <c:v>57027.792799999988</c:v>
                </c:pt>
                <c:pt idx="6">
                  <c:v>44955.494799999993</c:v>
                </c:pt>
                <c:pt idx="7">
                  <c:v>12254.7197</c:v>
                </c:pt>
                <c:pt idx="8">
                  <c:v>22555.936999999994</c:v>
                </c:pt>
                <c:pt idx="9">
                  <c:v>11485.2284</c:v>
                </c:pt>
                <c:pt idx="10">
                  <c:v>9079.4734999999982</c:v>
                </c:pt>
                <c:pt idx="11">
                  <c:v>9345.7288000000008</c:v>
                </c:pt>
              </c:numCache>
            </c:numRef>
          </c:val>
          <c:extLst>
            <c:ext xmlns:c16="http://schemas.microsoft.com/office/drawing/2014/chart" uri="{C3380CC4-5D6E-409C-BE32-E72D297353CC}">
              <c16:uniqueId val="{00000007-F097-4596-B58E-F431418D0EE0}"/>
            </c:ext>
          </c:extLst>
        </c:ser>
        <c:ser>
          <c:idx val="3"/>
          <c:order val="3"/>
          <c:tx>
            <c:strRef>
              <c:f>'Pivot tables'!$E$1:$E$2</c:f>
              <c:strCache>
                <c:ptCount val="1"/>
                <c:pt idx="0">
                  <c:v>West</c:v>
                </c:pt>
              </c:strCache>
            </c:strRef>
          </c:tx>
          <c:spPr>
            <a:solidFill>
              <a:schemeClr val="accent6">
                <a:lumMod val="60000"/>
              </a:schemeClr>
            </a:solidFill>
            <a:ln>
              <a:noFill/>
            </a:ln>
            <a:effectLst/>
          </c:spPr>
          <c:invertIfNegative val="0"/>
          <c:cat>
            <c:strRef>
              <c:f>'Pivot tables'!$A$3:$A$15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tables'!$E$3:$E$15</c:f>
              <c:numCache>
                <c:formatCode>[$$-409]#,##0.00</c:formatCode>
                <c:ptCount val="12"/>
                <c:pt idx="1">
                  <c:v>13309.1034</c:v>
                </c:pt>
                <c:pt idx="2">
                  <c:v>22572.680700000001</c:v>
                </c:pt>
                <c:pt idx="3">
                  <c:v>24568.227800000001</c:v>
                </c:pt>
                <c:pt idx="4">
                  <c:v>7047.3888000000006</c:v>
                </c:pt>
                <c:pt idx="5">
                  <c:v>16536.615900000001</c:v>
                </c:pt>
                <c:pt idx="6">
                  <c:v>17090.453599999997</c:v>
                </c:pt>
                <c:pt idx="7">
                  <c:v>20349.019299999996</c:v>
                </c:pt>
              </c:numCache>
            </c:numRef>
          </c:val>
          <c:extLst>
            <c:ext xmlns:c16="http://schemas.microsoft.com/office/drawing/2014/chart" uri="{C3380CC4-5D6E-409C-BE32-E72D297353CC}">
              <c16:uniqueId val="{00000001-AC9B-4646-AE4B-93E3538C19EC}"/>
            </c:ext>
          </c:extLst>
        </c:ser>
        <c:dLbls>
          <c:showLegendKey val="0"/>
          <c:showVal val="0"/>
          <c:showCatName val="0"/>
          <c:showSerName val="0"/>
          <c:showPercent val="0"/>
          <c:showBubbleSize val="0"/>
        </c:dLbls>
        <c:gapWidth val="219"/>
        <c:overlap val="-27"/>
        <c:axId val="712754031"/>
        <c:axId val="712746351"/>
      </c:barChart>
      <c:catAx>
        <c:axId val="71275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46351"/>
        <c:crosses val="autoZero"/>
        <c:auto val="1"/>
        <c:lblAlgn val="ctr"/>
        <c:lblOffset val="100"/>
        <c:noMultiLvlLbl val="0"/>
      </c:catAx>
      <c:valAx>
        <c:axId val="71274635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54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per day</a:t>
            </a:r>
          </a:p>
        </c:rich>
      </c:tx>
      <c:layout>
        <c:manualLayout>
          <c:xMode val="edge"/>
          <c:yMode val="edge"/>
          <c:x val="0.4091488869764036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tables'!$I$1:$I$2</c:f>
              <c:strCache>
                <c:ptCount val="1"/>
                <c:pt idx="0">
                  <c:v>Active</c:v>
                </c:pt>
              </c:strCache>
            </c:strRef>
          </c:tx>
          <c:spPr>
            <a:solidFill>
              <a:schemeClr val="accent1"/>
            </a:solidFill>
            <a:ln>
              <a:noFill/>
            </a:ln>
            <a:effectLst/>
          </c:spPr>
          <c:invertIfNegative val="0"/>
          <c:cat>
            <c:multiLvlStrRef>
              <c:f>'Pivot tables'!$H$3:$H$25</c:f>
              <c:multiLvlStrCache>
                <c:ptCount val="20"/>
                <c:lvl>
                  <c:pt idx="0">
                    <c:v>204</c:v>
                  </c:pt>
                  <c:pt idx="1">
                    <c:v>205</c:v>
                  </c:pt>
                  <c:pt idx="2">
                    <c:v>206</c:v>
                  </c:pt>
                  <c:pt idx="3">
                    <c:v>208</c:v>
                  </c:pt>
                  <c:pt idx="4">
                    <c:v>209</c:v>
                  </c:pt>
                  <c:pt idx="5">
                    <c:v>210</c:v>
                  </c:pt>
                  <c:pt idx="6">
                    <c:v>213</c:v>
                  </c:pt>
                  <c:pt idx="7">
                    <c:v>218</c:v>
                  </c:pt>
                  <c:pt idx="8">
                    <c:v>201</c:v>
                  </c:pt>
                  <c:pt idx="9">
                    <c:v>202</c:v>
                  </c:pt>
                  <c:pt idx="10">
                    <c:v>203</c:v>
                  </c:pt>
                  <c:pt idx="11">
                    <c:v>207</c:v>
                  </c:pt>
                  <c:pt idx="12">
                    <c:v>211</c:v>
                  </c:pt>
                  <c:pt idx="13">
                    <c:v>212</c:v>
                  </c:pt>
                  <c:pt idx="14">
                    <c:v>214</c:v>
                  </c:pt>
                  <c:pt idx="15">
                    <c:v>215</c:v>
                  </c:pt>
                  <c:pt idx="16">
                    <c:v>216</c:v>
                  </c:pt>
                  <c:pt idx="17">
                    <c:v>217</c:v>
                  </c:pt>
                  <c:pt idx="18">
                    <c:v>219</c:v>
                  </c:pt>
                  <c:pt idx="19">
                    <c:v>220</c:v>
                  </c:pt>
                </c:lvl>
                <c:lvl>
                  <c:pt idx="0">
                    <c:v>2021</c:v>
                  </c:pt>
                  <c:pt idx="8">
                    <c:v>2022</c:v>
                  </c:pt>
                </c:lvl>
              </c:multiLvlStrCache>
            </c:multiLvlStrRef>
          </c:cat>
          <c:val>
            <c:numRef>
              <c:f>'Pivot tables'!$I$3:$I$25</c:f>
              <c:numCache>
                <c:formatCode>[$$-409]#,##0.00</c:formatCode>
                <c:ptCount val="20"/>
                <c:pt idx="0">
                  <c:v>5348.2647916666674</c:v>
                </c:pt>
                <c:pt idx="1">
                  <c:v>8076.1624499999989</c:v>
                </c:pt>
                <c:pt idx="2">
                  <c:v>2546.9414500000007</c:v>
                </c:pt>
                <c:pt idx="3">
                  <c:v>1532.5465333333332</c:v>
                </c:pt>
                <c:pt idx="5">
                  <c:v>2173.0278916666662</c:v>
                </c:pt>
                <c:pt idx="6">
                  <c:v>2016.4564250000003</c:v>
                </c:pt>
                <c:pt idx="7">
                  <c:v>1377.9882833333334</c:v>
                </c:pt>
                <c:pt idx="8">
                  <c:v>1915.1163750000003</c:v>
                </c:pt>
                <c:pt idx="9">
                  <c:v>4548.8798666666662</c:v>
                </c:pt>
                <c:pt idx="10">
                  <c:v>1863.8678833333331</c:v>
                </c:pt>
                <c:pt idx="11">
                  <c:v>8981.7791500000039</c:v>
                </c:pt>
                <c:pt idx="12">
                  <c:v>4209.075291666667</c:v>
                </c:pt>
                <c:pt idx="13">
                  <c:v>2015.2018833333329</c:v>
                </c:pt>
                <c:pt idx="14">
                  <c:v>4774.5259999999989</c:v>
                </c:pt>
                <c:pt idx="15">
                  <c:v>4317.4977833333323</c:v>
                </c:pt>
                <c:pt idx="18">
                  <c:v>10171.43501666667</c:v>
                </c:pt>
                <c:pt idx="19">
                  <c:v>1560.9908583333338</c:v>
                </c:pt>
              </c:numCache>
            </c:numRef>
          </c:val>
          <c:extLst>
            <c:ext xmlns:c16="http://schemas.microsoft.com/office/drawing/2014/chart" uri="{C3380CC4-5D6E-409C-BE32-E72D297353CC}">
              <c16:uniqueId val="{00000000-8213-490B-8062-6A76B7CDD7DC}"/>
            </c:ext>
          </c:extLst>
        </c:ser>
        <c:ser>
          <c:idx val="1"/>
          <c:order val="1"/>
          <c:tx>
            <c:strRef>
              <c:f>'Pivot tables'!$J$1:$J$2</c:f>
              <c:strCache>
                <c:ptCount val="1"/>
                <c:pt idx="0">
                  <c:v>Left</c:v>
                </c:pt>
              </c:strCache>
            </c:strRef>
          </c:tx>
          <c:spPr>
            <a:solidFill>
              <a:schemeClr val="accent2"/>
            </a:solidFill>
            <a:ln>
              <a:noFill/>
            </a:ln>
            <a:effectLst/>
          </c:spPr>
          <c:invertIfNegative val="0"/>
          <c:cat>
            <c:multiLvlStrRef>
              <c:f>'Pivot tables'!$H$3:$H$25</c:f>
              <c:multiLvlStrCache>
                <c:ptCount val="20"/>
                <c:lvl>
                  <c:pt idx="0">
                    <c:v>204</c:v>
                  </c:pt>
                  <c:pt idx="1">
                    <c:v>205</c:v>
                  </c:pt>
                  <c:pt idx="2">
                    <c:v>206</c:v>
                  </c:pt>
                  <c:pt idx="3">
                    <c:v>208</c:v>
                  </c:pt>
                  <c:pt idx="4">
                    <c:v>209</c:v>
                  </c:pt>
                  <c:pt idx="5">
                    <c:v>210</c:v>
                  </c:pt>
                  <c:pt idx="6">
                    <c:v>213</c:v>
                  </c:pt>
                  <c:pt idx="7">
                    <c:v>218</c:v>
                  </c:pt>
                  <c:pt idx="8">
                    <c:v>201</c:v>
                  </c:pt>
                  <c:pt idx="9">
                    <c:v>202</c:v>
                  </c:pt>
                  <c:pt idx="10">
                    <c:v>203</c:v>
                  </c:pt>
                  <c:pt idx="11">
                    <c:v>207</c:v>
                  </c:pt>
                  <c:pt idx="12">
                    <c:v>211</c:v>
                  </c:pt>
                  <c:pt idx="13">
                    <c:v>212</c:v>
                  </c:pt>
                  <c:pt idx="14">
                    <c:v>214</c:v>
                  </c:pt>
                  <c:pt idx="15">
                    <c:v>215</c:v>
                  </c:pt>
                  <c:pt idx="16">
                    <c:v>216</c:v>
                  </c:pt>
                  <c:pt idx="17">
                    <c:v>217</c:v>
                  </c:pt>
                  <c:pt idx="18">
                    <c:v>219</c:v>
                  </c:pt>
                  <c:pt idx="19">
                    <c:v>220</c:v>
                  </c:pt>
                </c:lvl>
                <c:lvl>
                  <c:pt idx="0">
                    <c:v>2021</c:v>
                  </c:pt>
                  <c:pt idx="8">
                    <c:v>2022</c:v>
                  </c:pt>
                </c:lvl>
              </c:multiLvlStrCache>
            </c:multiLvlStrRef>
          </c:cat>
          <c:val>
            <c:numRef>
              <c:f>'Pivot tables'!$J$3:$J$25</c:f>
              <c:numCache>
                <c:formatCode>[$$-409]#,##0.00</c:formatCode>
                <c:ptCount val="20"/>
                <c:pt idx="4">
                  <c:v>1723.5018916666668</c:v>
                </c:pt>
                <c:pt idx="16">
                  <c:v>9407.5541333333349</c:v>
                </c:pt>
                <c:pt idx="17">
                  <c:v>9180.7160249999997</c:v>
                </c:pt>
              </c:numCache>
            </c:numRef>
          </c:val>
          <c:extLst>
            <c:ext xmlns:c16="http://schemas.microsoft.com/office/drawing/2014/chart" uri="{C3380CC4-5D6E-409C-BE32-E72D297353CC}">
              <c16:uniqueId val="{00000002-722A-4914-9500-B743F5E34BD1}"/>
            </c:ext>
          </c:extLst>
        </c:ser>
        <c:dLbls>
          <c:showLegendKey val="0"/>
          <c:showVal val="0"/>
          <c:showCatName val="0"/>
          <c:showSerName val="0"/>
          <c:showPercent val="0"/>
          <c:showBubbleSize val="0"/>
        </c:dLbls>
        <c:gapWidth val="219"/>
        <c:overlap val="-27"/>
        <c:axId val="1719902607"/>
        <c:axId val="1719903087"/>
      </c:barChart>
      <c:catAx>
        <c:axId val="1719902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03087"/>
        <c:crosses val="autoZero"/>
        <c:auto val="1"/>
        <c:lblAlgn val="ctr"/>
        <c:lblOffset val="100"/>
        <c:noMultiLvlLbl val="0"/>
      </c:catAx>
      <c:valAx>
        <c:axId val="171990308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0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568292505103529"/>
          <c:w val="0.93888888888888888"/>
          <c:h val="0.7443664333624963"/>
        </c:manualLayout>
      </c:layout>
      <c:barChart>
        <c:barDir val="col"/>
        <c:grouping val="stacked"/>
        <c:varyColors val="0"/>
        <c:ser>
          <c:idx val="0"/>
          <c:order val="0"/>
          <c:tx>
            <c:strRef>
              <c:f>'Pivot tables'!$B$29</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tables'!$A$30:$A$34</c:f>
              <c:strCache>
                <c:ptCount val="4"/>
                <c:pt idx="0">
                  <c:v>Clothing</c:v>
                </c:pt>
                <c:pt idx="1">
                  <c:v>Electronics</c:v>
                </c:pt>
                <c:pt idx="2">
                  <c:v>Home &amp; Kitchen</c:v>
                </c:pt>
                <c:pt idx="3">
                  <c:v>Toys</c:v>
                </c:pt>
              </c:strCache>
            </c:strRef>
          </c:cat>
          <c:val>
            <c:numRef>
              <c:f>'Pivot tables'!$B$30:$B$34</c:f>
              <c:numCache>
                <c:formatCode>[$$-409]#,##0.00</c:formatCode>
                <c:ptCount val="4"/>
                <c:pt idx="0">
                  <c:v>167303.69429999997</c:v>
                </c:pt>
                <c:pt idx="1">
                  <c:v>197546.8018000001</c:v>
                </c:pt>
                <c:pt idx="2">
                  <c:v>363865.02119999984</c:v>
                </c:pt>
                <c:pt idx="3">
                  <c:v>324182.84249999956</c:v>
                </c:pt>
              </c:numCache>
            </c:numRef>
          </c:val>
          <c:extLst>
            <c:ext xmlns:c16="http://schemas.microsoft.com/office/drawing/2014/chart" uri="{C3380CC4-5D6E-409C-BE32-E72D297353CC}">
              <c16:uniqueId val="{00000000-867B-4238-96D9-5804E0077A5C}"/>
            </c:ext>
          </c:extLst>
        </c:ser>
        <c:ser>
          <c:idx val="1"/>
          <c:order val="1"/>
          <c:tx>
            <c:strRef>
              <c:f>'Pivot tables'!$C$29</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tables'!$A$30:$A$34</c:f>
              <c:strCache>
                <c:ptCount val="4"/>
                <c:pt idx="0">
                  <c:v>Clothing</c:v>
                </c:pt>
                <c:pt idx="1">
                  <c:v>Electronics</c:v>
                </c:pt>
                <c:pt idx="2">
                  <c:v>Home &amp; Kitchen</c:v>
                </c:pt>
                <c:pt idx="3">
                  <c:v>Toys</c:v>
                </c:pt>
              </c:strCache>
            </c:strRef>
          </c:cat>
          <c:val>
            <c:numRef>
              <c:f>'Pivot tables'!$C$30:$C$34</c:f>
              <c:numCache>
                <c:formatCode>[$$-409]#,##0.00</c:formatCode>
                <c:ptCount val="4"/>
                <c:pt idx="0">
                  <c:v>9569.8142999999909</c:v>
                </c:pt>
                <c:pt idx="1">
                  <c:v>18547.441799999997</c:v>
                </c:pt>
                <c:pt idx="2">
                  <c:v>21511.831200000026</c:v>
                </c:pt>
                <c:pt idx="3">
                  <c:v>23715.572500000028</c:v>
                </c:pt>
              </c:numCache>
            </c:numRef>
          </c:val>
          <c:extLst>
            <c:ext xmlns:c16="http://schemas.microsoft.com/office/drawing/2014/chart" uri="{C3380CC4-5D6E-409C-BE32-E72D297353CC}">
              <c16:uniqueId val="{00000001-867B-4238-96D9-5804E0077A5C}"/>
            </c:ext>
          </c:extLst>
        </c:ser>
        <c:dLbls>
          <c:dLblPos val="ctr"/>
          <c:showLegendKey val="0"/>
          <c:showVal val="1"/>
          <c:showCatName val="0"/>
          <c:showSerName val="0"/>
          <c:showPercent val="0"/>
          <c:showBubbleSize val="0"/>
        </c:dLbls>
        <c:gapWidth val="79"/>
        <c:overlap val="100"/>
        <c:axId val="1719865647"/>
        <c:axId val="1719854607"/>
      </c:barChart>
      <c:catAx>
        <c:axId val="1719865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19854607"/>
        <c:crosses val="autoZero"/>
        <c:auto val="1"/>
        <c:lblAlgn val="ctr"/>
        <c:lblOffset val="100"/>
        <c:noMultiLvlLbl val="0"/>
      </c:catAx>
      <c:valAx>
        <c:axId val="1719854607"/>
        <c:scaling>
          <c:orientation val="minMax"/>
        </c:scaling>
        <c:delete val="1"/>
        <c:axPos val="l"/>
        <c:numFmt formatCode="[$$-409]#,##0.00" sourceLinked="1"/>
        <c:majorTickMark val="none"/>
        <c:minorTickMark val="none"/>
        <c:tickLblPos val="nextTo"/>
        <c:crossAx val="17198656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tables!PivotTable7</c:name>
    <c:fmtId val="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5.2505358705161854E-2"/>
              <c:y val="2.8980752405949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2.1557633420822397E-2"/>
              <c:y val="-4.2664041994750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9.4918853893263336E-2"/>
              <c:y val="-0.13610418489355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7.5402230971128636E-2"/>
              <c:y val="-1.9814814814814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ofPieChart>
        <c:ofPieType val="bar"/>
        <c:varyColors val="1"/>
        <c:ser>
          <c:idx val="0"/>
          <c:order val="0"/>
          <c:tx>
            <c:strRef>
              <c:f>'Pivot tables'!$B$44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B12-4198-944A-698E404B1F9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5-1BF6-47C4-8E43-287B6568259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4-1BF6-47C4-8E43-287B65682597}"/>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3-1BF6-47C4-8E43-287B65682597}"/>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2-1BF6-47C4-8E43-287B65682597}"/>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8B12-4198-944A-698E404B1F90}"/>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8B12-4198-944A-698E404B1F90}"/>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8B12-4198-944A-698E404B1F90}"/>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8B12-4198-944A-698E404B1F90}"/>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8B12-4198-944A-698E404B1F90}"/>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8B12-4198-944A-698E404B1F90}"/>
              </c:ext>
            </c:extLst>
          </c:dPt>
          <c:dLbls>
            <c:dLbl>
              <c:idx val="1"/>
              <c:layout>
                <c:manualLayout>
                  <c:x val="-7.5402230971128636E-2"/>
                  <c:y val="-1.9814814814814816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BF6-47C4-8E43-287B65682597}"/>
                </c:ext>
              </c:extLst>
            </c:dLbl>
            <c:dLbl>
              <c:idx val="2"/>
              <c:layout>
                <c:manualLayout>
                  <c:x val="-9.4918853893263336E-2"/>
                  <c:y val="-0.13610418489355497"/>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1BF6-47C4-8E43-287B65682597}"/>
                </c:ext>
              </c:extLst>
            </c:dLbl>
            <c:dLbl>
              <c:idx val="3"/>
              <c:layout>
                <c:manualLayout>
                  <c:x val="2.1557633420822397E-2"/>
                  <c:y val="-4.2664041994750657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BF6-47C4-8E43-287B65682597}"/>
                </c:ext>
              </c:extLst>
            </c:dLbl>
            <c:dLbl>
              <c:idx val="4"/>
              <c:layout>
                <c:manualLayout>
                  <c:x val="-5.2505358705161854E-2"/>
                  <c:y val="2.898075240594925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1BF6-47C4-8E43-287B656825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tables'!$A$45:$A$55</c:f>
              <c:strCache>
                <c:ptCount val="10"/>
                <c:pt idx="0">
                  <c:v>Accessories</c:v>
                </c:pt>
                <c:pt idx="1">
                  <c:v>Board Games</c:v>
                </c:pt>
                <c:pt idx="2">
                  <c:v>Educational</c:v>
                </c:pt>
                <c:pt idx="3">
                  <c:v>Furniture</c:v>
                </c:pt>
                <c:pt idx="4">
                  <c:v>Kids</c:v>
                </c:pt>
                <c:pt idx="5">
                  <c:v>Laptops</c:v>
                </c:pt>
                <c:pt idx="6">
                  <c:v>Men</c:v>
                </c:pt>
                <c:pt idx="7">
                  <c:v>Mobiles</c:v>
                </c:pt>
                <c:pt idx="8">
                  <c:v>Outdoor</c:v>
                </c:pt>
                <c:pt idx="9">
                  <c:v>Women</c:v>
                </c:pt>
              </c:strCache>
            </c:strRef>
          </c:cat>
          <c:val>
            <c:numRef>
              <c:f>'Pivot tables'!$B$45:$B$55</c:f>
              <c:numCache>
                <c:formatCode>[$$-409]#,##0.00</c:formatCode>
                <c:ptCount val="10"/>
                <c:pt idx="0">
                  <c:v>47367.396000000008</c:v>
                </c:pt>
                <c:pt idx="1">
                  <c:v>115406.94430000006</c:v>
                </c:pt>
                <c:pt idx="2">
                  <c:v>25375.116799999996</c:v>
                </c:pt>
                <c:pt idx="3">
                  <c:v>363865.02119999984</c:v>
                </c:pt>
                <c:pt idx="4">
                  <c:v>74675.191399999996</c:v>
                </c:pt>
                <c:pt idx="5">
                  <c:v>61153.09770000002</c:v>
                </c:pt>
                <c:pt idx="6">
                  <c:v>62866.551899999984</c:v>
                </c:pt>
                <c:pt idx="7">
                  <c:v>89026.308100000009</c:v>
                </c:pt>
                <c:pt idx="8">
                  <c:v>183400.78139999995</c:v>
                </c:pt>
                <c:pt idx="9">
                  <c:v>29761.951000000005</c:v>
                </c:pt>
              </c:numCache>
            </c:numRef>
          </c:val>
          <c:extLst>
            <c:ext xmlns:c16="http://schemas.microsoft.com/office/drawing/2014/chart" uri="{C3380CC4-5D6E-409C-BE32-E72D297353CC}">
              <c16:uniqueId val="{00000000-1BF6-47C4-8E43-287B65682597}"/>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of each product</a:t>
            </a:r>
            <a:endParaRPr lang="en-US"/>
          </a:p>
        </c:rich>
      </c:tx>
      <c:layout>
        <c:manualLayout>
          <c:xMode val="edge"/>
          <c:yMode val="edge"/>
          <c:x val="0.3524234470691164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67847769028872"/>
          <c:y val="0.17171296296296296"/>
          <c:w val="0.82076596675415558"/>
          <c:h val="0.70696741032370958"/>
        </c:manualLayout>
      </c:layout>
      <c:barChart>
        <c:barDir val="col"/>
        <c:grouping val="clustered"/>
        <c:varyColors val="0"/>
        <c:ser>
          <c:idx val="0"/>
          <c:order val="0"/>
          <c:tx>
            <c:strRef>
              <c:f>'Pivot tables'!$I$28</c:f>
              <c:strCache>
                <c:ptCount val="1"/>
                <c:pt idx="0">
                  <c:v>Total</c:v>
                </c:pt>
              </c:strCache>
            </c:strRef>
          </c:tx>
          <c:spPr>
            <a:solidFill>
              <a:schemeClr val="accent1"/>
            </a:solidFill>
            <a:ln>
              <a:noFill/>
            </a:ln>
            <a:effectLst/>
          </c:spPr>
          <c:invertIfNegative val="0"/>
          <c:cat>
            <c:strRef>
              <c:f>'Pivot tables'!$H$29:$H$49</c:f>
              <c:strCache>
                <c:ptCount val="20"/>
                <c:pt idx="0">
                  <c:v>307</c:v>
                </c:pt>
                <c:pt idx="1">
                  <c:v>311</c:v>
                </c:pt>
                <c:pt idx="2">
                  <c:v>319</c:v>
                </c:pt>
                <c:pt idx="3">
                  <c:v>301</c:v>
                </c:pt>
                <c:pt idx="4">
                  <c:v>317</c:v>
                </c:pt>
                <c:pt idx="5">
                  <c:v>310</c:v>
                </c:pt>
                <c:pt idx="6">
                  <c:v>306</c:v>
                </c:pt>
                <c:pt idx="7">
                  <c:v>303</c:v>
                </c:pt>
                <c:pt idx="8">
                  <c:v>312</c:v>
                </c:pt>
                <c:pt idx="9">
                  <c:v>318</c:v>
                </c:pt>
                <c:pt idx="10">
                  <c:v>313</c:v>
                </c:pt>
                <c:pt idx="11">
                  <c:v>309</c:v>
                </c:pt>
                <c:pt idx="12">
                  <c:v>305</c:v>
                </c:pt>
                <c:pt idx="13">
                  <c:v>304</c:v>
                </c:pt>
                <c:pt idx="14">
                  <c:v>314</c:v>
                </c:pt>
                <c:pt idx="15">
                  <c:v>316</c:v>
                </c:pt>
                <c:pt idx="16">
                  <c:v>308</c:v>
                </c:pt>
                <c:pt idx="17">
                  <c:v>315</c:v>
                </c:pt>
                <c:pt idx="18">
                  <c:v>320</c:v>
                </c:pt>
                <c:pt idx="19">
                  <c:v>302</c:v>
                </c:pt>
              </c:strCache>
            </c:strRef>
          </c:cat>
          <c:val>
            <c:numRef>
              <c:f>'Pivot tables'!$I$29:$I$49</c:f>
              <c:numCache>
                <c:formatCode>[$$-409]#,##0.00</c:formatCode>
                <c:ptCount val="20"/>
                <c:pt idx="0">
                  <c:v>12465.269700000003</c:v>
                </c:pt>
                <c:pt idx="1">
                  <c:v>10193.215099999998</c:v>
                </c:pt>
                <c:pt idx="2">
                  <c:v>9903.5738000000038</c:v>
                </c:pt>
                <c:pt idx="3">
                  <c:v>9204.4924999999985</c:v>
                </c:pt>
                <c:pt idx="4">
                  <c:v>8533.7468000000008</c:v>
                </c:pt>
                <c:pt idx="5">
                  <c:v>8521.7796999999973</c:v>
                </c:pt>
                <c:pt idx="6">
                  <c:v>6231.1018999999987</c:v>
                </c:pt>
                <c:pt idx="7">
                  <c:v>5832.0436000000027</c:v>
                </c:pt>
                <c:pt idx="8">
                  <c:v>5751.2324999999992</c:v>
                </c:pt>
                <c:pt idx="9">
                  <c:v>4864.2955999999995</c:v>
                </c:pt>
                <c:pt idx="10">
                  <c:v>3033.9509999999996</c:v>
                </c:pt>
                <c:pt idx="11">
                  <c:v>2814.3777</c:v>
                </c:pt>
                <c:pt idx="12">
                  <c:v>1664.2760000000019</c:v>
                </c:pt>
                <c:pt idx="13">
                  <c:v>1114.7009000000007</c:v>
                </c:pt>
                <c:pt idx="14">
                  <c:v>304.76139999999714</c:v>
                </c:pt>
                <c:pt idx="15">
                  <c:v>-1749.0595999999957</c:v>
                </c:pt>
                <c:pt idx="16">
                  <c:v>-2400.8484999999941</c:v>
                </c:pt>
                <c:pt idx="17">
                  <c:v>-3363.0519999999992</c:v>
                </c:pt>
                <c:pt idx="18">
                  <c:v>-3582.8373999999963</c:v>
                </c:pt>
                <c:pt idx="19">
                  <c:v>-5992.3608999999915</c:v>
                </c:pt>
              </c:numCache>
            </c:numRef>
          </c:val>
          <c:extLst>
            <c:ext xmlns:c16="http://schemas.microsoft.com/office/drawing/2014/chart" uri="{C3380CC4-5D6E-409C-BE32-E72D297353CC}">
              <c16:uniqueId val="{00000000-E5EE-4BCB-8E85-50EAA8FC7282}"/>
            </c:ext>
          </c:extLst>
        </c:ser>
        <c:dLbls>
          <c:showLegendKey val="0"/>
          <c:showVal val="0"/>
          <c:showCatName val="0"/>
          <c:showSerName val="0"/>
          <c:showPercent val="0"/>
          <c:showBubbleSize val="0"/>
        </c:dLbls>
        <c:gapWidth val="219"/>
        <c:overlap val="-27"/>
        <c:axId val="1781940063"/>
        <c:axId val="1781942463"/>
      </c:barChart>
      <c:catAx>
        <c:axId val="1781940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ID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42463"/>
        <c:crosses val="autoZero"/>
        <c:auto val="1"/>
        <c:lblAlgn val="ctr"/>
        <c:lblOffset val="100"/>
        <c:noMultiLvlLbl val="0"/>
      </c:catAx>
      <c:valAx>
        <c:axId val="1781942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40063"/>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monthly sales</a:t>
            </a:r>
          </a:p>
        </c:rich>
      </c:tx>
      <c:layout>
        <c:manualLayout>
          <c:xMode val="edge"/>
          <c:yMode val="edge"/>
          <c:x val="0.4085256854070589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483193105535"/>
          <c:y val="0.17171296296296296"/>
          <c:w val="0.8058950867122916"/>
          <c:h val="0.54540937591134442"/>
        </c:manualLayout>
      </c:layout>
      <c:lineChart>
        <c:grouping val="standard"/>
        <c:varyColors val="0"/>
        <c:ser>
          <c:idx val="0"/>
          <c:order val="0"/>
          <c:tx>
            <c:strRef>
              <c:f>'Pivot tables'!$I$56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tables'!$H$57:$H$77</c:f>
              <c:multiLvlStrCache>
                <c:ptCount val="15"/>
                <c:lvl>
                  <c:pt idx="0">
                    <c:v>2021</c:v>
                  </c:pt>
                  <c:pt idx="1">
                    <c:v>2022</c:v>
                  </c:pt>
                  <c:pt idx="2">
                    <c:v>2023</c:v>
                  </c:pt>
                  <c:pt idx="3">
                    <c:v>2021</c:v>
                  </c:pt>
                  <c:pt idx="4">
                    <c:v>2022</c:v>
                  </c:pt>
                  <c:pt idx="5">
                    <c:v>2023</c:v>
                  </c:pt>
                  <c:pt idx="6">
                    <c:v>2021</c:v>
                  </c:pt>
                  <c:pt idx="7">
                    <c:v>2022</c:v>
                  </c:pt>
                  <c:pt idx="8">
                    <c:v>2023</c:v>
                  </c:pt>
                  <c:pt idx="9">
                    <c:v>2021</c:v>
                  </c:pt>
                  <c:pt idx="10">
                    <c:v>2022</c:v>
                  </c:pt>
                  <c:pt idx="11">
                    <c:v>2023</c:v>
                  </c:pt>
                  <c:pt idx="12">
                    <c:v>2021</c:v>
                  </c:pt>
                  <c:pt idx="13">
                    <c:v>2022</c:v>
                  </c:pt>
                  <c:pt idx="14">
                    <c:v>2023</c:v>
                  </c:pt>
                </c:lvl>
                <c:lvl>
                  <c:pt idx="0">
                    <c:v>302</c:v>
                  </c:pt>
                  <c:pt idx="3">
                    <c:v>308</c:v>
                  </c:pt>
                  <c:pt idx="6">
                    <c:v>315</c:v>
                  </c:pt>
                  <c:pt idx="9">
                    <c:v>316</c:v>
                  </c:pt>
                  <c:pt idx="12">
                    <c:v>320</c:v>
                  </c:pt>
                </c:lvl>
              </c:multiLvlStrCache>
            </c:multiLvlStrRef>
          </c:cat>
          <c:val>
            <c:numRef>
              <c:f>'Pivot tables'!$I$57:$I$77</c:f>
              <c:numCache>
                <c:formatCode>[$$-409]#,##0.00</c:formatCode>
                <c:ptCount val="15"/>
                <c:pt idx="0">
                  <c:v>1209.3331999999998</c:v>
                </c:pt>
                <c:pt idx="1">
                  <c:v>5951.6090250000007</c:v>
                </c:pt>
                <c:pt idx="2">
                  <c:v>3854.286000000001</c:v>
                </c:pt>
                <c:pt idx="3">
                  <c:v>1425.3433</c:v>
                </c:pt>
                <c:pt idx="4">
                  <c:v>4560.8718500000004</c:v>
                </c:pt>
                <c:pt idx="5">
                  <c:v>2766.2998000000002</c:v>
                </c:pt>
                <c:pt idx="6">
                  <c:v>1087.4862444444445</c:v>
                </c:pt>
                <c:pt idx="7">
                  <c:v>3073.4209499999997</c:v>
                </c:pt>
                <c:pt idx="8">
                  <c:v>4608.3102000000008</c:v>
                </c:pt>
                <c:pt idx="9">
                  <c:v>993.24595555555561</c:v>
                </c:pt>
                <c:pt idx="10">
                  <c:v>4983.3551083333341</c:v>
                </c:pt>
                <c:pt idx="11">
                  <c:v>2605.08275</c:v>
                </c:pt>
                <c:pt idx="12">
                  <c:v>1182.5880333333332</c:v>
                </c:pt>
                <c:pt idx="13">
                  <c:v>4638.0384249999997</c:v>
                </c:pt>
                <c:pt idx="14">
                  <c:v>5112.2896000000001</c:v>
                </c:pt>
              </c:numCache>
            </c:numRef>
          </c:val>
          <c:smooth val="0"/>
          <c:extLst>
            <c:ext xmlns:c16="http://schemas.microsoft.com/office/drawing/2014/chart" uri="{C3380CC4-5D6E-409C-BE32-E72D297353CC}">
              <c16:uniqueId val="{00000002-3803-4E19-B467-541BB5C11773}"/>
            </c:ext>
          </c:extLst>
        </c:ser>
        <c:dLbls>
          <c:showLegendKey val="0"/>
          <c:showVal val="0"/>
          <c:showCatName val="0"/>
          <c:showSerName val="0"/>
          <c:showPercent val="0"/>
          <c:showBubbleSize val="0"/>
        </c:dLbls>
        <c:marker val="1"/>
        <c:smooth val="0"/>
        <c:axId val="1781930463"/>
        <c:axId val="1781931423"/>
      </c:lineChart>
      <c:catAx>
        <c:axId val="1781930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Bottom 5</a:t>
                </a:r>
                <a:r>
                  <a:rPr lang="en-IN" baseline="0"/>
                  <a:t> products</a:t>
                </a:r>
                <a:endParaRPr lang="en-IN"/>
              </a:p>
            </c:rich>
          </c:tx>
          <c:layout>
            <c:manualLayout>
              <c:xMode val="edge"/>
              <c:yMode val="edge"/>
              <c:x val="0.4678144495956697"/>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31423"/>
        <c:crosses val="autoZero"/>
        <c:auto val="1"/>
        <c:lblAlgn val="ctr"/>
        <c:lblOffset val="100"/>
        <c:noMultiLvlLbl val="0"/>
      </c:catAx>
      <c:valAx>
        <c:axId val="1781931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30463"/>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after</a:t>
            </a:r>
            <a:r>
              <a:rPr lang="en-US" baseline="0"/>
              <a:t> opening</a:t>
            </a:r>
            <a:endParaRPr lang="en-US"/>
          </a:p>
        </c:rich>
      </c:tx>
      <c:layout>
        <c:manualLayout>
          <c:xMode val="edge"/>
          <c:yMode val="edge"/>
          <c:x val="0.4102430008748906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tables'!$O$1</c:f>
              <c:strCache>
                <c:ptCount val="1"/>
                <c:pt idx="0">
                  <c:v>Total</c:v>
                </c:pt>
              </c:strCache>
            </c:strRef>
          </c:tx>
          <c:spPr>
            <a:solidFill>
              <a:schemeClr val="accent1"/>
            </a:solidFill>
            <a:ln>
              <a:noFill/>
            </a:ln>
            <a:effectLst/>
          </c:spPr>
          <c:invertIfNegative val="0"/>
          <c:cat>
            <c:multiLvlStrRef>
              <c:f>'Pivot tables'!$N$2:$N$15</c:f>
              <c:multiLvlStrCache>
                <c:ptCount val="10"/>
                <c:lvl>
                  <c:pt idx="0">
                    <c:v>103</c:v>
                  </c:pt>
                  <c:pt idx="1">
                    <c:v>105</c:v>
                  </c:pt>
                  <c:pt idx="2">
                    <c:v>106</c:v>
                  </c:pt>
                  <c:pt idx="3">
                    <c:v>108</c:v>
                  </c:pt>
                  <c:pt idx="4">
                    <c:v>110</c:v>
                  </c:pt>
                  <c:pt idx="5">
                    <c:v>104</c:v>
                  </c:pt>
                  <c:pt idx="6">
                    <c:v>101</c:v>
                  </c:pt>
                  <c:pt idx="7">
                    <c:v>102</c:v>
                  </c:pt>
                  <c:pt idx="8">
                    <c:v>107</c:v>
                  </c:pt>
                  <c:pt idx="9">
                    <c:v>109</c:v>
                  </c:pt>
                </c:lvl>
                <c:lvl>
                  <c:pt idx="0">
                    <c:v>2020</c:v>
                  </c:pt>
                  <c:pt idx="5">
                    <c:v>2021</c:v>
                  </c:pt>
                  <c:pt idx="6">
                    <c:v>2022</c:v>
                  </c:pt>
                </c:lvl>
              </c:multiLvlStrCache>
            </c:multiLvlStrRef>
          </c:cat>
          <c:val>
            <c:numRef>
              <c:f>'Pivot tables'!$O$2:$O$15</c:f>
              <c:numCache>
                <c:formatCode>[$$-409]#,##0.00</c:formatCode>
                <c:ptCount val="10"/>
                <c:pt idx="0">
                  <c:v>107781.34980000004</c:v>
                </c:pt>
                <c:pt idx="1">
                  <c:v>112890.64960000002</c:v>
                </c:pt>
                <c:pt idx="2">
                  <c:v>85185.175100000022</c:v>
                </c:pt>
                <c:pt idx="3">
                  <c:v>96913.949399999983</c:v>
                </c:pt>
                <c:pt idx="4">
                  <c:v>110168.5923</c:v>
                </c:pt>
                <c:pt idx="5">
                  <c:v>94000.471400000053</c:v>
                </c:pt>
                <c:pt idx="6">
                  <c:v>100108.58560000003</c:v>
                </c:pt>
                <c:pt idx="7">
                  <c:v>122057.22020000004</c:v>
                </c:pt>
                <c:pt idx="8">
                  <c:v>102318.87689999997</c:v>
                </c:pt>
                <c:pt idx="9">
                  <c:v>121473.48950000001</c:v>
                </c:pt>
              </c:numCache>
            </c:numRef>
          </c:val>
          <c:extLst>
            <c:ext xmlns:c16="http://schemas.microsoft.com/office/drawing/2014/chart" uri="{C3380CC4-5D6E-409C-BE32-E72D297353CC}">
              <c16:uniqueId val="{00000002-7842-49D0-B88A-AA28C2430DC2}"/>
            </c:ext>
          </c:extLst>
        </c:ser>
        <c:dLbls>
          <c:showLegendKey val="0"/>
          <c:showVal val="0"/>
          <c:showCatName val="0"/>
          <c:showSerName val="0"/>
          <c:showPercent val="0"/>
          <c:showBubbleSize val="0"/>
        </c:dLbls>
        <c:gapWidth val="219"/>
        <c:overlap val="-27"/>
        <c:axId val="1781905503"/>
        <c:axId val="1781917023"/>
      </c:barChart>
      <c:catAx>
        <c:axId val="1781905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Opening</a:t>
                </a:r>
                <a:r>
                  <a:rPr lang="en-IN" baseline="0"/>
                  <a:t> year</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17023"/>
        <c:crosses val="autoZero"/>
        <c:auto val="1"/>
        <c:lblAlgn val="ctr"/>
        <c:lblOffset val="100"/>
        <c:noMultiLvlLbl val="0"/>
      </c:catAx>
      <c:valAx>
        <c:axId val="1781917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0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02559055118109"/>
          <c:y val="0.17171296296296296"/>
          <c:w val="0.78241885389326338"/>
          <c:h val="0.62271617089530473"/>
        </c:manualLayout>
      </c:layout>
      <c:lineChart>
        <c:grouping val="standard"/>
        <c:varyColors val="0"/>
        <c:ser>
          <c:idx val="0"/>
          <c:order val="0"/>
          <c:tx>
            <c:strRef>
              <c:f>'Pivot tables'!$O$27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tables'!$N$28:$N$38</c:f>
              <c:strCache>
                <c:ptCount val="10"/>
                <c:pt idx="0">
                  <c:v>101</c:v>
                </c:pt>
                <c:pt idx="1">
                  <c:v>102</c:v>
                </c:pt>
                <c:pt idx="2">
                  <c:v>103</c:v>
                </c:pt>
                <c:pt idx="3">
                  <c:v>104</c:v>
                </c:pt>
                <c:pt idx="4">
                  <c:v>105</c:v>
                </c:pt>
                <c:pt idx="5">
                  <c:v>106</c:v>
                </c:pt>
                <c:pt idx="6">
                  <c:v>107</c:v>
                </c:pt>
                <c:pt idx="7">
                  <c:v>108</c:v>
                </c:pt>
                <c:pt idx="8">
                  <c:v>109</c:v>
                </c:pt>
                <c:pt idx="9">
                  <c:v>110</c:v>
                </c:pt>
              </c:strCache>
            </c:strRef>
          </c:cat>
          <c:val>
            <c:numRef>
              <c:f>'Pivot tables'!$O$28:$O$38</c:f>
              <c:numCache>
                <c:formatCode>[$$-409]#,##0.00</c:formatCode>
                <c:ptCount val="10"/>
                <c:pt idx="0">
                  <c:v>100108.58560000003</c:v>
                </c:pt>
                <c:pt idx="1">
                  <c:v>122057.22020000004</c:v>
                </c:pt>
                <c:pt idx="2">
                  <c:v>107781.34980000004</c:v>
                </c:pt>
                <c:pt idx="3">
                  <c:v>94000.471400000053</c:v>
                </c:pt>
                <c:pt idx="4">
                  <c:v>112890.64960000002</c:v>
                </c:pt>
                <c:pt idx="5">
                  <c:v>85185.175100000022</c:v>
                </c:pt>
                <c:pt idx="6">
                  <c:v>102318.87689999997</c:v>
                </c:pt>
                <c:pt idx="7">
                  <c:v>96913.949399999983</c:v>
                </c:pt>
                <c:pt idx="8">
                  <c:v>121473.48950000001</c:v>
                </c:pt>
                <c:pt idx="9">
                  <c:v>110168.5923</c:v>
                </c:pt>
              </c:numCache>
            </c:numRef>
          </c:val>
          <c:smooth val="0"/>
          <c:extLst>
            <c:ext xmlns:c16="http://schemas.microsoft.com/office/drawing/2014/chart" uri="{C3380CC4-5D6E-409C-BE32-E72D297353CC}">
              <c16:uniqueId val="{00000002-BC12-4712-B2DE-EC70FB1D6E1A}"/>
            </c:ext>
          </c:extLst>
        </c:ser>
        <c:dLbls>
          <c:showLegendKey val="0"/>
          <c:showVal val="0"/>
          <c:showCatName val="0"/>
          <c:showSerName val="0"/>
          <c:showPercent val="0"/>
          <c:showBubbleSize val="0"/>
        </c:dLbls>
        <c:marker val="1"/>
        <c:smooth val="0"/>
        <c:axId val="1781955903"/>
        <c:axId val="1781939583"/>
      </c:lineChart>
      <c:catAx>
        <c:axId val="17819559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39583"/>
        <c:crosses val="autoZero"/>
        <c:auto val="1"/>
        <c:lblAlgn val="ctr"/>
        <c:lblOffset val="100"/>
        <c:noMultiLvlLbl val="0"/>
      </c:catAx>
      <c:valAx>
        <c:axId val="1781939583"/>
        <c:scaling>
          <c:orientation val="minMax"/>
          <c:min val="600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55903"/>
        <c:crosses val="autoZero"/>
        <c:crossBetween val="between"/>
        <c:dispUnits>
          <c:builtInUnit val="ten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[RetailSalesData_StablePricing(AutoRecovered).xlsx]Pivot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on each</a:t>
            </a:r>
            <a:r>
              <a:rPr lang="en-US" baseline="0"/>
              <a:t>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tables'!$N$46:$N$56</c:f>
              <c:strCache>
                <c:ptCount val="10"/>
                <c:pt idx="0">
                  <c:v>101</c:v>
                </c:pt>
                <c:pt idx="1">
                  <c:v>102</c:v>
                </c:pt>
                <c:pt idx="2">
                  <c:v>103</c:v>
                </c:pt>
                <c:pt idx="3">
                  <c:v>104</c:v>
                </c:pt>
                <c:pt idx="4">
                  <c:v>105</c:v>
                </c:pt>
                <c:pt idx="5">
                  <c:v>106</c:v>
                </c:pt>
                <c:pt idx="6">
                  <c:v>107</c:v>
                </c:pt>
                <c:pt idx="7">
                  <c:v>108</c:v>
                </c:pt>
                <c:pt idx="8">
                  <c:v>109</c:v>
                </c:pt>
                <c:pt idx="9">
                  <c:v>110</c:v>
                </c:pt>
              </c:strCache>
            </c:strRef>
          </c:cat>
          <c:val>
            <c:numRef>
              <c:f>'Pivot tables'!$O$46:$O$56</c:f>
              <c:numCache>
                <c:formatCode>0.00%</c:formatCode>
                <c:ptCount val="10"/>
                <c:pt idx="0">
                  <c:v>0.14670212765957449</c:v>
                </c:pt>
                <c:pt idx="1">
                  <c:v>0.14518518518518522</c:v>
                </c:pt>
                <c:pt idx="2">
                  <c:v>0.14053571428571426</c:v>
                </c:pt>
                <c:pt idx="3">
                  <c:v>0.14000000000000007</c:v>
                </c:pt>
                <c:pt idx="4">
                  <c:v>0.149622641509434</c:v>
                </c:pt>
                <c:pt idx="5">
                  <c:v>0.16682926829268302</c:v>
                </c:pt>
                <c:pt idx="6">
                  <c:v>0.17717391304347832</c:v>
                </c:pt>
                <c:pt idx="7">
                  <c:v>0.1330612244897959</c:v>
                </c:pt>
                <c:pt idx="8">
                  <c:v>0.16669642857142852</c:v>
                </c:pt>
                <c:pt idx="9">
                  <c:v>0.14421568627450973</c:v>
                </c:pt>
              </c:numCache>
            </c:numRef>
          </c:val>
          <c:smooth val="0"/>
          <c:extLst>
            <c:ext xmlns:c16="http://schemas.microsoft.com/office/drawing/2014/chart" uri="{C3380CC4-5D6E-409C-BE32-E72D297353CC}">
              <c16:uniqueId val="{00000003-D4A5-4B79-8825-0187C4B730E1}"/>
            </c:ext>
          </c:extLst>
        </c:ser>
        <c:dLbls>
          <c:showLegendKey val="0"/>
          <c:showVal val="0"/>
          <c:showCatName val="0"/>
          <c:showSerName val="0"/>
          <c:showPercent val="0"/>
          <c:showBubbleSize val="0"/>
        </c:dLbls>
        <c:marker val="1"/>
        <c:smooth val="0"/>
        <c:axId val="1719880527"/>
        <c:axId val="1719881967"/>
      </c:lineChart>
      <c:catAx>
        <c:axId val="1719880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81967"/>
        <c:crosses val="autoZero"/>
        <c:auto val="1"/>
        <c:lblAlgn val="ctr"/>
        <c:lblOffset val="100"/>
        <c:noMultiLvlLbl val="0"/>
      </c:catAx>
      <c:valAx>
        <c:axId val="1719881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88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601980</xdr:colOff>
      <xdr:row>7</xdr:row>
      <xdr:rowOff>0</xdr:rowOff>
    </xdr:from>
    <xdr:to>
      <xdr:col>10</xdr:col>
      <xdr:colOff>190500</xdr:colOff>
      <xdr:row>22</xdr:row>
      <xdr:rowOff>0</xdr:rowOff>
    </xdr:to>
    <xdr:graphicFrame macro="">
      <xdr:nvGraphicFramePr>
        <xdr:cNvPr id="2" name="Chart 1">
          <a:extLst>
            <a:ext uri="{FF2B5EF4-FFF2-40B4-BE49-F238E27FC236}">
              <a16:creationId xmlns:a16="http://schemas.microsoft.com/office/drawing/2014/main" id="{555C18DF-23BC-4568-B22B-8E22D65C2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198120</xdr:colOff>
      <xdr:row>7</xdr:row>
      <xdr:rowOff>0</xdr:rowOff>
    </xdr:from>
    <xdr:to>
      <xdr:col>17</xdr:col>
      <xdr:colOff>601980</xdr:colOff>
      <xdr:row>22</xdr:row>
      <xdr:rowOff>0</xdr:rowOff>
    </xdr:to>
    <xdr:graphicFrame macro="">
      <xdr:nvGraphicFramePr>
        <xdr:cNvPr id="3" name="Chart 2">
          <a:extLst>
            <a:ext uri="{FF2B5EF4-FFF2-40B4-BE49-F238E27FC236}">
              <a16:creationId xmlns:a16="http://schemas.microsoft.com/office/drawing/2014/main" id="{892C7AFD-6AD3-43DB-A8DB-CAB9966BE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7</xdr:row>
      <xdr:rowOff>0</xdr:rowOff>
    </xdr:from>
    <xdr:to>
      <xdr:col>25</xdr:col>
      <xdr:colOff>304800</xdr:colOff>
      <xdr:row>22</xdr:row>
      <xdr:rowOff>0</xdr:rowOff>
    </xdr:to>
    <xdr:graphicFrame macro="">
      <xdr:nvGraphicFramePr>
        <xdr:cNvPr id="4" name="Chart 3">
          <a:extLst>
            <a:ext uri="{FF2B5EF4-FFF2-40B4-BE49-F238E27FC236}">
              <a16:creationId xmlns:a16="http://schemas.microsoft.com/office/drawing/2014/main" id="{B83CA2BB-5478-4218-BF75-AD5CD2B57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22</xdr:row>
      <xdr:rowOff>0</xdr:rowOff>
    </xdr:from>
    <xdr:to>
      <xdr:col>10</xdr:col>
      <xdr:colOff>190500</xdr:colOff>
      <xdr:row>37</xdr:row>
      <xdr:rowOff>0</xdr:rowOff>
    </xdr:to>
    <xdr:graphicFrame macro="">
      <xdr:nvGraphicFramePr>
        <xdr:cNvPr id="5" name="Chart 4">
          <a:extLst>
            <a:ext uri="{FF2B5EF4-FFF2-40B4-BE49-F238E27FC236}">
              <a16:creationId xmlns:a16="http://schemas.microsoft.com/office/drawing/2014/main" id="{B6F824FA-D122-445E-BA82-7D844271C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37</xdr:row>
      <xdr:rowOff>0</xdr:rowOff>
    </xdr:from>
    <xdr:to>
      <xdr:col>10</xdr:col>
      <xdr:colOff>190500</xdr:colOff>
      <xdr:row>52</xdr:row>
      <xdr:rowOff>0</xdr:rowOff>
    </xdr:to>
    <xdr:graphicFrame macro="">
      <xdr:nvGraphicFramePr>
        <xdr:cNvPr id="6" name="Chart 5">
          <a:extLst>
            <a:ext uri="{FF2B5EF4-FFF2-40B4-BE49-F238E27FC236}">
              <a16:creationId xmlns:a16="http://schemas.microsoft.com/office/drawing/2014/main" id="{AA3CC2A5-BA61-4353-9950-8BD7F2232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36</xdr:row>
      <xdr:rowOff>176605</xdr:rowOff>
    </xdr:from>
    <xdr:to>
      <xdr:col>25</xdr:col>
      <xdr:colOff>304800</xdr:colOff>
      <xdr:row>51</xdr:row>
      <xdr:rowOff>176605</xdr:rowOff>
    </xdr:to>
    <xdr:graphicFrame macro="">
      <xdr:nvGraphicFramePr>
        <xdr:cNvPr id="7" name="Chart 6">
          <a:extLst>
            <a:ext uri="{FF2B5EF4-FFF2-40B4-BE49-F238E27FC236}">
              <a16:creationId xmlns:a16="http://schemas.microsoft.com/office/drawing/2014/main" id="{573EF71B-73D9-42DE-A4DD-8C8B75E4E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0</xdr:colOff>
      <xdr:row>22</xdr:row>
      <xdr:rowOff>0</xdr:rowOff>
    </xdr:from>
    <xdr:to>
      <xdr:col>25</xdr:col>
      <xdr:colOff>304800</xdr:colOff>
      <xdr:row>37</xdr:row>
      <xdr:rowOff>0</xdr:rowOff>
    </xdr:to>
    <xdr:graphicFrame macro="">
      <xdr:nvGraphicFramePr>
        <xdr:cNvPr id="8" name="Chart 7">
          <a:extLst>
            <a:ext uri="{FF2B5EF4-FFF2-40B4-BE49-F238E27FC236}">
              <a16:creationId xmlns:a16="http://schemas.microsoft.com/office/drawing/2014/main" id="{5C38DDEB-9F33-4280-B40E-DCE69B276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190500</xdr:colOff>
      <xdr:row>22</xdr:row>
      <xdr:rowOff>0</xdr:rowOff>
    </xdr:from>
    <xdr:to>
      <xdr:col>17</xdr:col>
      <xdr:colOff>601980</xdr:colOff>
      <xdr:row>37</xdr:row>
      <xdr:rowOff>0</xdr:rowOff>
    </xdr:to>
    <xdr:graphicFrame macro="">
      <xdr:nvGraphicFramePr>
        <xdr:cNvPr id="9" name="Chart 8">
          <a:extLst>
            <a:ext uri="{FF2B5EF4-FFF2-40B4-BE49-F238E27FC236}">
              <a16:creationId xmlns:a16="http://schemas.microsoft.com/office/drawing/2014/main" id="{150CDD67-7C5B-40FB-9339-A853BBB39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182880</xdr:colOff>
      <xdr:row>37</xdr:row>
      <xdr:rowOff>0</xdr:rowOff>
    </xdr:from>
    <xdr:to>
      <xdr:col>18</xdr:col>
      <xdr:colOff>0</xdr:colOff>
      <xdr:row>52</xdr:row>
      <xdr:rowOff>0</xdr:rowOff>
    </xdr:to>
    <xdr:graphicFrame macro="">
      <xdr:nvGraphicFramePr>
        <xdr:cNvPr id="10" name="Chart 9">
          <a:extLst>
            <a:ext uri="{FF2B5EF4-FFF2-40B4-BE49-F238E27FC236}">
              <a16:creationId xmlns:a16="http://schemas.microsoft.com/office/drawing/2014/main" id="{66F3E8AD-F233-4B40-BEDD-29F7B1735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7</xdr:row>
      <xdr:rowOff>0</xdr:rowOff>
    </xdr:from>
    <xdr:to>
      <xdr:col>3</xdr:col>
      <xdr:colOff>0</xdr:colOff>
      <xdr:row>26</xdr:row>
      <xdr:rowOff>91440</xdr:rowOff>
    </xdr:to>
    <mc:AlternateContent xmlns:mc="http://schemas.openxmlformats.org/markup-compatibility/2006">
      <mc:Choice xmlns:a14="http://schemas.microsoft.com/office/drawing/2010/main" Requires="a14">
        <xdr:graphicFrame macro="">
          <xdr:nvGraphicFramePr>
            <xdr:cNvPr id="11" name="Month 1">
              <a:extLst>
                <a:ext uri="{FF2B5EF4-FFF2-40B4-BE49-F238E27FC236}">
                  <a16:creationId xmlns:a16="http://schemas.microsoft.com/office/drawing/2014/main" id="{ABE86D50-EFE7-4148-9A54-57FE83870E3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1260764"/>
              <a:ext cx="1828800" cy="3513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34</xdr:row>
      <xdr:rowOff>0</xdr:rowOff>
    </xdr:from>
    <xdr:to>
      <xdr:col>3</xdr:col>
      <xdr:colOff>0</xdr:colOff>
      <xdr:row>43</xdr:row>
      <xdr:rowOff>26894</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3FD169ED-542F-4576-B19D-028DE43E59A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6123709"/>
              <a:ext cx="1828800" cy="1647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26</xdr:row>
      <xdr:rowOff>83820</xdr:rowOff>
    </xdr:from>
    <xdr:to>
      <xdr:col>3</xdr:col>
      <xdr:colOff>0</xdr:colOff>
      <xdr:row>34</xdr:row>
      <xdr:rowOff>7620</xdr:rowOff>
    </xdr:to>
    <mc:AlternateContent xmlns:mc="http://schemas.openxmlformats.org/markup-compatibility/2006">
      <mc:Choice xmlns:a14="http://schemas.microsoft.com/office/drawing/2010/main" Requires="a14">
        <xdr:graphicFrame macro="">
          <xdr:nvGraphicFramePr>
            <xdr:cNvPr id="13" name="Year 1">
              <a:extLst>
                <a:ext uri="{FF2B5EF4-FFF2-40B4-BE49-F238E27FC236}">
                  <a16:creationId xmlns:a16="http://schemas.microsoft.com/office/drawing/2014/main" id="{6497B815-D96D-4F2B-BF9D-9DDC3FCED29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4766656"/>
              <a:ext cx="1828800" cy="1364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43</xdr:row>
      <xdr:rowOff>15240</xdr:rowOff>
    </xdr:from>
    <xdr:to>
      <xdr:col>3</xdr:col>
      <xdr:colOff>0</xdr:colOff>
      <xdr:row>52</xdr:row>
      <xdr:rowOff>0</xdr:rowOff>
    </xdr:to>
    <mc:AlternateContent xmlns:mc="http://schemas.openxmlformats.org/markup-compatibility/2006">
      <mc:Choice xmlns:a14="http://schemas.microsoft.com/office/drawing/2010/main" Requires="a14">
        <xdr:graphicFrame macro="">
          <xdr:nvGraphicFramePr>
            <xdr:cNvPr id="14" name="Region 1">
              <a:extLst>
                <a:ext uri="{FF2B5EF4-FFF2-40B4-BE49-F238E27FC236}">
                  <a16:creationId xmlns:a16="http://schemas.microsoft.com/office/drawing/2014/main" id="{A234E260-6FFC-4A99-A60C-A67FCDA444F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7759931"/>
              <a:ext cx="1828800" cy="1605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17929</xdr:colOff>
      <xdr:row>2</xdr:row>
      <xdr:rowOff>8966</xdr:rowOff>
    </xdr:from>
    <xdr:to>
      <xdr:col>5</xdr:col>
      <xdr:colOff>152399</xdr:colOff>
      <xdr:row>6</xdr:row>
      <xdr:rowOff>170331</xdr:rowOff>
    </xdr:to>
    <xdr:sp macro="" textlink="">
      <xdr:nvSpPr>
        <xdr:cNvPr id="17" name="Rectangle 16">
          <a:extLst>
            <a:ext uri="{FF2B5EF4-FFF2-40B4-BE49-F238E27FC236}">
              <a16:creationId xmlns:a16="http://schemas.microsoft.com/office/drawing/2014/main" id="{A1F6DAE8-2911-9351-C077-5226CEB47A16}"/>
            </a:ext>
          </a:extLst>
        </xdr:cNvPr>
        <xdr:cNvSpPr/>
      </xdr:nvSpPr>
      <xdr:spPr>
        <a:xfrm>
          <a:off x="17929" y="367554"/>
          <a:ext cx="3182470" cy="878542"/>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2</xdr:row>
      <xdr:rowOff>8965</xdr:rowOff>
    </xdr:from>
    <xdr:to>
      <xdr:col>10</xdr:col>
      <xdr:colOff>44824</xdr:colOff>
      <xdr:row>6</xdr:row>
      <xdr:rowOff>170330</xdr:rowOff>
    </xdr:to>
    <xdr:sp macro="" textlink="'Pivot tables'!$A$62">
      <xdr:nvSpPr>
        <xdr:cNvPr id="18" name="Rectangle 17">
          <a:extLst>
            <a:ext uri="{FF2B5EF4-FFF2-40B4-BE49-F238E27FC236}">
              <a16:creationId xmlns:a16="http://schemas.microsoft.com/office/drawing/2014/main" id="{D3D88FFD-4D22-47E3-8C6C-D6CC930A8BF5}"/>
            </a:ext>
          </a:extLst>
        </xdr:cNvPr>
        <xdr:cNvSpPr/>
      </xdr:nvSpPr>
      <xdr:spPr>
        <a:xfrm>
          <a:off x="3200400" y="367553"/>
          <a:ext cx="2940424" cy="878542"/>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u="none" strike="noStrike">
              <a:solidFill>
                <a:srgbClr val="000000"/>
              </a:solidFill>
              <a:latin typeface="Calibri"/>
              <a:ea typeface="Calibri"/>
              <a:cs typeface="Calibri"/>
            </a:rPr>
            <a:t>Total Sales</a:t>
          </a:r>
        </a:p>
        <a:p>
          <a:pPr algn="ctr"/>
          <a:fld id="{0558E345-E424-422D-855D-B740EA0EAF61}" type="TxLink">
            <a:rPr lang="en-US" sz="2400" b="0" i="0" u="none" strike="noStrike">
              <a:solidFill>
                <a:srgbClr val="000000"/>
              </a:solidFill>
              <a:latin typeface="Calibri"/>
              <a:ea typeface="Calibri"/>
              <a:cs typeface="Calibri"/>
            </a:rPr>
            <a:pPr algn="ctr"/>
            <a:t>$10,52,898.36</a:t>
          </a:fld>
          <a:endParaRPr lang="en-IN" sz="2400"/>
        </a:p>
      </xdr:txBody>
    </xdr:sp>
    <xdr:clientData/>
  </xdr:twoCellAnchor>
  <xdr:twoCellAnchor>
    <xdr:from>
      <xdr:col>10</xdr:col>
      <xdr:colOff>44823</xdr:colOff>
      <xdr:row>2</xdr:row>
      <xdr:rowOff>8965</xdr:rowOff>
    </xdr:from>
    <xdr:to>
      <xdr:col>15</xdr:col>
      <xdr:colOff>179293</xdr:colOff>
      <xdr:row>6</xdr:row>
      <xdr:rowOff>170330</xdr:rowOff>
    </xdr:to>
    <xdr:sp macro="" textlink="'Pivot tables'!$A$66">
      <xdr:nvSpPr>
        <xdr:cNvPr id="19" name="Rectangle 18">
          <a:extLst>
            <a:ext uri="{FF2B5EF4-FFF2-40B4-BE49-F238E27FC236}">
              <a16:creationId xmlns:a16="http://schemas.microsoft.com/office/drawing/2014/main" id="{EAF363A5-797F-486C-91A5-C95B4D735E80}"/>
            </a:ext>
          </a:extLst>
        </xdr:cNvPr>
        <xdr:cNvSpPr/>
      </xdr:nvSpPr>
      <xdr:spPr>
        <a:xfrm>
          <a:off x="6140823" y="367553"/>
          <a:ext cx="3182470" cy="878542"/>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u="none" strike="noStrike">
              <a:solidFill>
                <a:srgbClr val="000000"/>
              </a:solidFill>
              <a:latin typeface="Calibri"/>
              <a:ea typeface="Calibri"/>
              <a:cs typeface="Calibri"/>
            </a:rPr>
            <a:t>Total items</a:t>
          </a:r>
          <a:r>
            <a:rPr lang="en-US" sz="2400" b="0" i="0" u="none" strike="noStrike" baseline="0">
              <a:solidFill>
                <a:srgbClr val="000000"/>
              </a:solidFill>
              <a:latin typeface="Calibri"/>
              <a:ea typeface="Calibri"/>
              <a:cs typeface="Calibri"/>
            </a:rPr>
            <a:t> sold</a:t>
          </a:r>
        </a:p>
        <a:p>
          <a:pPr algn="ctr"/>
          <a:fld id="{C270A329-45BD-4AFE-A5D2-7F7B9B3855CE}" type="TxLink">
            <a:rPr lang="en-US" sz="2400" b="0" i="0" u="none" strike="noStrike">
              <a:solidFill>
                <a:srgbClr val="000000"/>
              </a:solidFill>
              <a:latin typeface="Calibri"/>
              <a:ea typeface="Calibri"/>
              <a:cs typeface="Calibri"/>
            </a:rPr>
            <a:pPr algn="ctr"/>
            <a:t>4971</a:t>
          </a:fld>
          <a:endParaRPr lang="en-IN" sz="2400"/>
        </a:p>
      </xdr:txBody>
    </xdr:sp>
    <xdr:clientData/>
  </xdr:twoCellAnchor>
  <xdr:twoCellAnchor>
    <xdr:from>
      <xdr:col>15</xdr:col>
      <xdr:colOff>179294</xdr:colOff>
      <xdr:row>2</xdr:row>
      <xdr:rowOff>8965</xdr:rowOff>
    </xdr:from>
    <xdr:to>
      <xdr:col>20</xdr:col>
      <xdr:colOff>313764</xdr:colOff>
      <xdr:row>6</xdr:row>
      <xdr:rowOff>170330</xdr:rowOff>
    </xdr:to>
    <xdr:sp macro="" textlink="'Pivot tables'!$A$70">
      <xdr:nvSpPr>
        <xdr:cNvPr id="20" name="Rectangle 19">
          <a:extLst>
            <a:ext uri="{FF2B5EF4-FFF2-40B4-BE49-F238E27FC236}">
              <a16:creationId xmlns:a16="http://schemas.microsoft.com/office/drawing/2014/main" id="{A7A78BB4-18AD-4E6C-B3B4-817214138E43}"/>
            </a:ext>
          </a:extLst>
        </xdr:cNvPr>
        <xdr:cNvSpPr/>
      </xdr:nvSpPr>
      <xdr:spPr>
        <a:xfrm>
          <a:off x="9323294" y="367553"/>
          <a:ext cx="3182470" cy="878542"/>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u="none" strike="noStrike">
              <a:solidFill>
                <a:srgbClr val="000000"/>
              </a:solidFill>
              <a:latin typeface="Calibri"/>
              <a:ea typeface="Calibri"/>
              <a:cs typeface="Calibri"/>
            </a:rPr>
            <a:t>Total Profit</a:t>
          </a:r>
        </a:p>
        <a:p>
          <a:pPr algn="ctr"/>
          <a:fld id="{E573B722-95B7-4844-BE97-85A31F435CF2}" type="TxLink">
            <a:rPr lang="en-US" sz="2400" b="0" i="0" u="none" strike="noStrike">
              <a:solidFill>
                <a:srgbClr val="000000"/>
              </a:solidFill>
              <a:latin typeface="Calibri"/>
              <a:ea typeface="Calibri"/>
              <a:cs typeface="Calibri"/>
            </a:rPr>
            <a:pPr algn="ctr"/>
            <a:t>$73,344.66</a:t>
          </a:fld>
          <a:endParaRPr lang="en-IN" sz="2400"/>
        </a:p>
      </xdr:txBody>
    </xdr:sp>
    <xdr:clientData/>
  </xdr:twoCellAnchor>
  <xdr:twoCellAnchor>
    <xdr:from>
      <xdr:col>20</xdr:col>
      <xdr:colOff>295835</xdr:colOff>
      <xdr:row>2</xdr:row>
      <xdr:rowOff>8965</xdr:rowOff>
    </xdr:from>
    <xdr:to>
      <xdr:col>25</xdr:col>
      <xdr:colOff>313767</xdr:colOff>
      <xdr:row>6</xdr:row>
      <xdr:rowOff>170330</xdr:rowOff>
    </xdr:to>
    <xdr:sp macro="" textlink="'Pivot tables'!$A$74">
      <xdr:nvSpPr>
        <xdr:cNvPr id="21" name="Rectangle 20">
          <a:extLst>
            <a:ext uri="{FF2B5EF4-FFF2-40B4-BE49-F238E27FC236}">
              <a16:creationId xmlns:a16="http://schemas.microsoft.com/office/drawing/2014/main" id="{A12A1706-3B5A-422B-9B50-09CF78B9D31D}"/>
            </a:ext>
          </a:extLst>
        </xdr:cNvPr>
        <xdr:cNvSpPr/>
      </xdr:nvSpPr>
      <xdr:spPr>
        <a:xfrm>
          <a:off x="12487835" y="367553"/>
          <a:ext cx="3065932" cy="878542"/>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u="none" strike="noStrike">
              <a:solidFill>
                <a:srgbClr val="000000"/>
              </a:solidFill>
              <a:latin typeface="Calibri"/>
              <a:ea typeface="Calibri"/>
              <a:cs typeface="Calibri"/>
            </a:rPr>
            <a:t>Avg. sales per day</a:t>
          </a:r>
        </a:p>
        <a:p>
          <a:pPr algn="ctr"/>
          <a:fld id="{50DCA000-A7C0-46A3-BAAD-E58A736AE559}" type="TxLink">
            <a:rPr lang="en-US" sz="2400" b="0" i="0" u="none" strike="noStrike">
              <a:solidFill>
                <a:srgbClr val="000000"/>
              </a:solidFill>
              <a:latin typeface="Calibri"/>
              <a:ea typeface="Calibri"/>
              <a:cs typeface="Calibri"/>
            </a:rPr>
            <a:pPr algn="ctr"/>
            <a:t>$2,537.10</a:t>
          </a:fld>
          <a:endParaRPr lang="en-IN" sz="2400"/>
        </a:p>
      </xdr:txBody>
    </xdr:sp>
    <xdr:clientData/>
  </xdr:twoCellAnchor>
  <xdr:twoCellAnchor>
    <xdr:from>
      <xdr:col>0</xdr:col>
      <xdr:colOff>8960</xdr:colOff>
      <xdr:row>3</xdr:row>
      <xdr:rowOff>35858</xdr:rowOff>
    </xdr:from>
    <xdr:to>
      <xdr:col>5</xdr:col>
      <xdr:colOff>251011</xdr:colOff>
      <xdr:row>6</xdr:row>
      <xdr:rowOff>71716</xdr:rowOff>
    </xdr:to>
    <xdr:sp macro="" textlink="">
      <xdr:nvSpPr>
        <xdr:cNvPr id="22" name="TextBox 21">
          <a:extLst>
            <a:ext uri="{FF2B5EF4-FFF2-40B4-BE49-F238E27FC236}">
              <a16:creationId xmlns:a16="http://schemas.microsoft.com/office/drawing/2014/main" id="{35F7BE9C-2968-8980-9539-E08B1CB8DCAC}"/>
            </a:ext>
          </a:extLst>
        </xdr:cNvPr>
        <xdr:cNvSpPr txBox="1"/>
      </xdr:nvSpPr>
      <xdr:spPr>
        <a:xfrm>
          <a:off x="8960" y="573740"/>
          <a:ext cx="3290051" cy="573741"/>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Supermarket</a:t>
          </a:r>
          <a:r>
            <a:rPr lang="en-IN" sz="2400" baseline="0"/>
            <a:t> sales </a:t>
          </a:r>
          <a:endParaRPr lang="en-IN" sz="2400"/>
        </a:p>
      </xdr:txBody>
    </xdr:sp>
    <xdr:clientData/>
  </xdr:twoCellAnchor>
  <xdr:twoCellAnchor editAs="oneCell">
    <xdr:from>
      <xdr:col>3</xdr:col>
      <xdr:colOff>609599</xdr:colOff>
      <xdr:row>3</xdr:row>
      <xdr:rowOff>17930</xdr:rowOff>
    </xdr:from>
    <xdr:to>
      <xdr:col>5</xdr:col>
      <xdr:colOff>0</xdr:colOff>
      <xdr:row>6</xdr:row>
      <xdr:rowOff>89648</xdr:rowOff>
    </xdr:to>
    <xdr:pic>
      <xdr:nvPicPr>
        <xdr:cNvPr id="24" name="Graphic 23" descr="Shopping cart with solid fill">
          <a:extLst>
            <a:ext uri="{FF2B5EF4-FFF2-40B4-BE49-F238E27FC236}">
              <a16:creationId xmlns:a16="http://schemas.microsoft.com/office/drawing/2014/main" id="{5525FF39-9C8E-2E43-D7E3-B3C538D9787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438399" y="555812"/>
          <a:ext cx="609601" cy="609601"/>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0.22393</cdr:x>
      <cdr:y>0.02778</cdr:y>
    </cdr:from>
    <cdr:to>
      <cdr:x>0.78803</cdr:x>
      <cdr:y>0.13889</cdr:y>
    </cdr:to>
    <cdr:sp macro="" textlink="">
      <cdr:nvSpPr>
        <cdr:cNvPr id="2" name="TextBox 1">
          <a:extLst xmlns:a="http://schemas.openxmlformats.org/drawingml/2006/main">
            <a:ext uri="{FF2B5EF4-FFF2-40B4-BE49-F238E27FC236}">
              <a16:creationId xmlns:a16="http://schemas.microsoft.com/office/drawing/2014/main" id="{90C49790-676C-E4B4-EEFB-95271C69F67A}"/>
            </a:ext>
          </a:extLst>
        </cdr:cNvPr>
        <cdr:cNvSpPr txBox="1"/>
      </cdr:nvSpPr>
      <cdr:spPr>
        <a:xfrm xmlns:a="http://schemas.openxmlformats.org/drawingml/2006/main">
          <a:off x="998220" y="76200"/>
          <a:ext cx="25146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kern="1200">
              <a:solidFill>
                <a:schemeClr val="tx1">
                  <a:lumMod val="75000"/>
                  <a:lumOff val="25000"/>
                </a:schemeClr>
              </a:solidFill>
            </a:rPr>
            <a:t>Sales and profit comparison</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266700</xdr:colOff>
      <xdr:row>1</xdr:row>
      <xdr:rowOff>87630</xdr:rowOff>
    </xdr:from>
    <xdr:to>
      <xdr:col>5</xdr:col>
      <xdr:colOff>510540</xdr:colOff>
      <xdr:row>16</xdr:row>
      <xdr:rowOff>87630</xdr:rowOff>
    </xdr:to>
    <xdr:graphicFrame macro="">
      <xdr:nvGraphicFramePr>
        <xdr:cNvPr id="2" name="Chart 1">
          <a:extLst>
            <a:ext uri="{FF2B5EF4-FFF2-40B4-BE49-F238E27FC236}">
              <a16:creationId xmlns:a16="http://schemas.microsoft.com/office/drawing/2014/main" id="{CE8E84E1-0E6A-5028-657B-78914A94B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xdr:colOff>
      <xdr:row>2</xdr:row>
      <xdr:rowOff>163830</xdr:rowOff>
    </xdr:from>
    <xdr:to>
      <xdr:col>11</xdr:col>
      <xdr:colOff>1059180</xdr:colOff>
      <xdr:row>17</xdr:row>
      <xdr:rowOff>163830</xdr:rowOff>
    </xdr:to>
    <xdr:graphicFrame macro="">
      <xdr:nvGraphicFramePr>
        <xdr:cNvPr id="4" name="Chart 3">
          <a:extLst>
            <a:ext uri="{FF2B5EF4-FFF2-40B4-BE49-F238E27FC236}">
              <a16:creationId xmlns:a16="http://schemas.microsoft.com/office/drawing/2014/main" id="{5FA686E5-381A-E80B-7BB8-BADD0499E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495300</xdr:colOff>
      <xdr:row>23</xdr:row>
      <xdr:rowOff>125730</xdr:rowOff>
    </xdr:from>
    <xdr:to>
      <xdr:col>7</xdr:col>
      <xdr:colOff>175260</xdr:colOff>
      <xdr:row>38</xdr:row>
      <xdr:rowOff>125730</xdr:rowOff>
    </xdr:to>
    <xdr:graphicFrame macro="">
      <xdr:nvGraphicFramePr>
        <xdr:cNvPr id="6" name="Chart 5">
          <a:extLst>
            <a:ext uri="{FF2B5EF4-FFF2-40B4-BE49-F238E27FC236}">
              <a16:creationId xmlns:a16="http://schemas.microsoft.com/office/drawing/2014/main" id="{74A4A171-14C1-1935-93EE-95BF6BA02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236220</xdr:colOff>
      <xdr:row>41</xdr:row>
      <xdr:rowOff>148590</xdr:rowOff>
    </xdr:from>
    <xdr:to>
      <xdr:col>5</xdr:col>
      <xdr:colOff>533400</xdr:colOff>
      <xdr:row>56</xdr:row>
      <xdr:rowOff>148590</xdr:rowOff>
    </xdr:to>
    <xdr:graphicFrame macro="">
      <xdr:nvGraphicFramePr>
        <xdr:cNvPr id="7" name="Chart 6">
          <a:extLst>
            <a:ext uri="{FF2B5EF4-FFF2-40B4-BE49-F238E27FC236}">
              <a16:creationId xmlns:a16="http://schemas.microsoft.com/office/drawing/2014/main" id="{C481A42A-FDFF-14C6-0648-0C7439243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403860</xdr:colOff>
      <xdr:row>29</xdr:row>
      <xdr:rowOff>156210</xdr:rowOff>
    </xdr:from>
    <xdr:to>
      <xdr:col>12</xdr:col>
      <xdr:colOff>45720</xdr:colOff>
      <xdr:row>44</xdr:row>
      <xdr:rowOff>156210</xdr:rowOff>
    </xdr:to>
    <xdr:graphicFrame macro="">
      <xdr:nvGraphicFramePr>
        <xdr:cNvPr id="8" name="Chart 7">
          <a:extLst>
            <a:ext uri="{FF2B5EF4-FFF2-40B4-BE49-F238E27FC236}">
              <a16:creationId xmlns:a16="http://schemas.microsoft.com/office/drawing/2014/main" id="{9A485A39-7D0B-35C3-C8D5-B6F649572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396240</xdr:colOff>
      <xdr:row>63</xdr:row>
      <xdr:rowOff>179070</xdr:rowOff>
    </xdr:from>
    <xdr:to>
      <xdr:col>11</xdr:col>
      <xdr:colOff>1242060</xdr:colOff>
      <xdr:row>78</xdr:row>
      <xdr:rowOff>179070</xdr:rowOff>
    </xdr:to>
    <xdr:graphicFrame macro="">
      <xdr:nvGraphicFramePr>
        <xdr:cNvPr id="9" name="Chart 8">
          <a:extLst>
            <a:ext uri="{FF2B5EF4-FFF2-40B4-BE49-F238E27FC236}">
              <a16:creationId xmlns:a16="http://schemas.microsoft.com/office/drawing/2014/main" id="{5E26F78B-E223-18D4-3068-844CBBE28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807720</xdr:colOff>
      <xdr:row>5</xdr:row>
      <xdr:rowOff>34290</xdr:rowOff>
    </xdr:from>
    <xdr:to>
      <xdr:col>19</xdr:col>
      <xdr:colOff>83820</xdr:colOff>
      <xdr:row>20</xdr:row>
      <xdr:rowOff>34290</xdr:rowOff>
    </xdr:to>
    <xdr:graphicFrame macro="">
      <xdr:nvGraphicFramePr>
        <xdr:cNvPr id="10" name="Chart 9">
          <a:extLst>
            <a:ext uri="{FF2B5EF4-FFF2-40B4-BE49-F238E27FC236}">
              <a16:creationId xmlns:a16="http://schemas.microsoft.com/office/drawing/2014/main" id="{D15742CC-FEBA-D1C7-818A-047A214B6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556260</xdr:colOff>
      <xdr:row>28</xdr:row>
      <xdr:rowOff>49530</xdr:rowOff>
    </xdr:from>
    <xdr:to>
      <xdr:col>18</xdr:col>
      <xdr:colOff>441960</xdr:colOff>
      <xdr:row>43</xdr:row>
      <xdr:rowOff>49530</xdr:rowOff>
    </xdr:to>
    <xdr:graphicFrame macro="">
      <xdr:nvGraphicFramePr>
        <xdr:cNvPr id="11" name="Chart 10">
          <a:extLst>
            <a:ext uri="{FF2B5EF4-FFF2-40B4-BE49-F238E27FC236}">
              <a16:creationId xmlns:a16="http://schemas.microsoft.com/office/drawing/2014/main" id="{78CAFE87-177F-E6C3-BDB6-C3CD32606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1036320</xdr:colOff>
      <xdr:row>52</xdr:row>
      <xdr:rowOff>80010</xdr:rowOff>
    </xdr:from>
    <xdr:to>
      <xdr:col>17</xdr:col>
      <xdr:colOff>259080</xdr:colOff>
      <xdr:row>67</xdr:row>
      <xdr:rowOff>80010</xdr:rowOff>
    </xdr:to>
    <xdr:graphicFrame macro="">
      <xdr:nvGraphicFramePr>
        <xdr:cNvPr id="12" name="Chart 11">
          <a:extLst>
            <a:ext uri="{FF2B5EF4-FFF2-40B4-BE49-F238E27FC236}">
              <a16:creationId xmlns:a16="http://schemas.microsoft.com/office/drawing/2014/main" id="{E5F974D4-4866-8FCC-879A-A54BACA74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266700</xdr:colOff>
      <xdr:row>34</xdr:row>
      <xdr:rowOff>68581</xdr:rowOff>
    </xdr:from>
    <xdr:to>
      <xdr:col>6</xdr:col>
      <xdr:colOff>426720</xdr:colOff>
      <xdr:row>41</xdr:row>
      <xdr:rowOff>22861</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BEB51F64-8177-8DBD-D73C-6BA94ED934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94760" y="628650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17</xdr:row>
      <xdr:rowOff>129540</xdr:rowOff>
    </xdr:from>
    <xdr:to>
      <xdr:col>3</xdr:col>
      <xdr:colOff>320040</xdr:colOff>
      <xdr:row>31</xdr:row>
      <xdr:rowOff>36195</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96656329-286A-AD9E-140F-50FE61C7DD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1560" y="3238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53340</xdr:colOff>
      <xdr:row>47</xdr:row>
      <xdr:rowOff>129540</xdr:rowOff>
    </xdr:from>
    <xdr:to>
      <xdr:col>8</xdr:col>
      <xdr:colOff>411480</xdr:colOff>
      <xdr:row>55</xdr:row>
      <xdr:rowOff>167639</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E41A8EA8-C726-FD57-3482-532B1ABD82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50180" y="8724900"/>
              <a:ext cx="18288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678180</xdr:colOff>
      <xdr:row>16</xdr:row>
      <xdr:rowOff>68581</xdr:rowOff>
    </xdr:from>
    <xdr:to>
      <xdr:col>12</xdr:col>
      <xdr:colOff>495300</xdr:colOff>
      <xdr:row>24</xdr:row>
      <xdr:rowOff>76201</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A86A99F1-3098-4F3B-E5E9-453D5233B1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17380" y="2994661"/>
              <a:ext cx="1828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030620486112" backgroundQuery="1" createdVersion="8" refreshedVersion="8" minRefreshableVersion="3" recordCount="0" supportSubquery="1" supportAdvancedDrill="1" xr:uid="{5D816BFC-7140-425E-AE47-3636B626B012}">
  <cacheSource type="external" connectionId="1"/>
  <cacheFields count="1">
    <cacheField name="[Measures].[Total profit]" caption="Total profit" numFmtId="0" hierarchy="37" level="32767"/>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oneField="1">
      <fieldsUsage count="1">
        <fieldUsage x="0"/>
      </fieldsUsage>
    </cacheHierarchy>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030636111114" backgroundQuery="1" createdVersion="8" refreshedVersion="8" minRefreshableVersion="3" recordCount="0" supportSubquery="1" supportAdvancedDrill="1" xr:uid="{20ABAB00-AAD4-499F-8AE0-6103460E10F2}">
  <cacheSource type="external" connectionId="1"/>
  <cacheFields count="1">
    <cacheField name="[Measures].[Total sales]" caption="Total sales" numFmtId="0" hierarchy="35" level="32767"/>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oneField="1">
      <fieldsUsage count="1">
        <fieldUsage x="0"/>
      </fieldsUsage>
    </cacheHierarchy>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030637037038" backgroundQuery="1" createdVersion="8" refreshedVersion="8" minRefreshableVersion="3" recordCount="0" supportSubquery="1" supportAdvancedDrill="1" xr:uid="{39A27ACB-C472-4EBE-9340-595672C038F1}">
  <cacheSource type="external" connectionId="1"/>
  <cacheFields count="1">
    <cacheField name="[Measures].[Total quantity]" caption="Total quantity" numFmtId="0" hierarchy="36" level="32767"/>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oneField="1">
      <fieldsUsage count="1">
        <fieldUsage x="0"/>
      </fieldsUsage>
    </cacheHierarchy>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030693287037" backgroundQuery="1" createdVersion="8" refreshedVersion="8" minRefreshableVersion="3" recordCount="0" supportSubquery="1" supportAdvancedDrill="1" xr:uid="{83F2766F-D11C-41F0-BAB9-AFD0463D167C}">
  <cacheSource type="external" connectionId="1"/>
  <cacheFields count="1">
    <cacheField name="[Measures].[Avg sales per day]" caption="Avg sales per day" numFmtId="0" hierarchy="38" level="32767"/>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062462615744" backgroundQuery="1" createdVersion="8" refreshedVersion="8" minRefreshableVersion="3" recordCount="0" supportSubquery="1" supportAdvancedDrill="1" xr:uid="{E4EC739C-8E16-4B56-9A70-CE0D89176BF6}">
  <cacheSource type="external" connectionId="1"/>
  <cacheFields count="5">
    <cacheField name="[Table1].[RepID].[RepID]" caption="RepID" numFmtId="0" hierarchy="3" level="1">
      <sharedItems containsSemiMixedTypes="0" containsString="0" containsNumber="1" containsInteger="1" minValue="201" maxValue="220" count="20">
        <n v="204"/>
        <n v="205"/>
        <n v="206"/>
        <n v="208"/>
        <n v="209"/>
        <n v="210"/>
        <n v="213"/>
        <n v="218"/>
        <n v="201"/>
        <n v="202"/>
        <n v="203"/>
        <n v="207"/>
        <n v="211"/>
        <n v="212"/>
        <n v="214"/>
        <n v="215"/>
        <n v="216"/>
        <n v="217"/>
        <n v="219"/>
        <n v="220"/>
      </sharedItems>
      <extLst>
        <ext xmlns:x15="http://schemas.microsoft.com/office/spreadsheetml/2010/11/main" uri="{4F2E5C28-24EA-4eb8-9CBF-B6C8F9C3D259}">
          <x15:cachedUniqueNames>
            <x15:cachedUniqueName index="0" name="[Table1].[RepID].&amp;[204]"/>
            <x15:cachedUniqueName index="1" name="[Table1].[RepID].&amp;[205]"/>
            <x15:cachedUniqueName index="2" name="[Table1].[RepID].&amp;[206]"/>
            <x15:cachedUniqueName index="3" name="[Table1].[RepID].&amp;[208]"/>
            <x15:cachedUniqueName index="4" name="[Table1].[RepID].&amp;[209]"/>
            <x15:cachedUniqueName index="5" name="[Table1].[RepID].&amp;[210]"/>
            <x15:cachedUniqueName index="6" name="[Table1].[RepID].&amp;[213]"/>
            <x15:cachedUniqueName index="7" name="[Table1].[RepID].&amp;[218]"/>
            <x15:cachedUniqueName index="8" name="[Table1].[RepID].&amp;[201]"/>
            <x15:cachedUniqueName index="9" name="[Table1].[RepID].&amp;[202]"/>
            <x15:cachedUniqueName index="10" name="[Table1].[RepID].&amp;[203]"/>
            <x15:cachedUniqueName index="11" name="[Table1].[RepID].&amp;[207]"/>
            <x15:cachedUniqueName index="12" name="[Table1].[RepID].&amp;[211]"/>
            <x15:cachedUniqueName index="13" name="[Table1].[RepID].&amp;[212]"/>
            <x15:cachedUniqueName index="14" name="[Table1].[RepID].&amp;[214]"/>
            <x15:cachedUniqueName index="15" name="[Table1].[RepID].&amp;[215]"/>
            <x15:cachedUniqueName index="16" name="[Table1].[RepID].&amp;[216]"/>
            <x15:cachedUniqueName index="17" name="[Table1].[RepID].&amp;[217]"/>
            <x15:cachedUniqueName index="18" name="[Table1].[RepID].&amp;[219]"/>
            <x15:cachedUniqueName index="19" name="[Table1].[RepID].&amp;[220]"/>
          </x15:cachedUniqueNames>
        </ext>
      </extLst>
    </cacheField>
    <cacheField name="[Table1].[Joining date (Year)].[Joining date (Year)]" caption="Joining date (Year)" numFmtId="0" hierarchy="20" level="1">
      <sharedItems count="2">
        <s v="2021"/>
        <s v="2022"/>
      </sharedItems>
    </cacheField>
    <cacheField name="[Measures].[Performance per rep]" caption="Performance per rep" numFmtId="0" hierarchy="32" level="32767"/>
    <cacheField name="[Table1].[Status].[Status]" caption="Status" numFmtId="0" hierarchy="5" level="1">
      <sharedItems count="2">
        <s v="Active"/>
        <s v="Left"/>
      </sharedItems>
    </cacheField>
    <cacheField name="[Table1].[Region].[Region]" caption="Region" numFmtId="0" hierarchy="13"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2" memberValueDatatype="20" unbalanced="0">
      <fieldsUsage count="2">
        <fieldUsage x="-1"/>
        <fieldUsage x="0"/>
      </fieldsUsage>
    </cacheHierarchy>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2" memberValueDatatype="130" unbalanced="0">
      <fieldsUsage count="2">
        <fieldUsage x="-1"/>
        <fieldUsage x="1"/>
      </fieldsUsage>
    </cacheHierarchy>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oneField="1">
      <fieldsUsage count="1">
        <fieldUsage x="2"/>
      </fieldsUsage>
    </cacheHierarchy>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078603240741" backgroundQuery="1" createdVersion="8" refreshedVersion="8" minRefreshableVersion="3" recordCount="0" supportSubquery="1" supportAdvancedDrill="1" xr:uid="{BBAB16E6-28F5-4080-BFF8-8934158A7577}">
  <cacheSource type="external" connectionId="1"/>
  <cacheFields count="4">
    <cacheField name="[Table1].[ProductID].[ProductID]" caption="ProductID" numFmtId="0" hierarchy="6" level="1">
      <sharedItems containsSemiMixedTypes="0" containsString="0" containsNumber="1" containsInteger="1" minValue="302" maxValue="320" count="5">
        <n v="302"/>
        <n v="308"/>
        <n v="315"/>
        <n v="316"/>
        <n v="320"/>
      </sharedItems>
      <extLst>
        <ext xmlns:x15="http://schemas.microsoft.com/office/spreadsheetml/2010/11/main" uri="{4F2E5C28-24EA-4eb8-9CBF-B6C8F9C3D259}">
          <x15:cachedUniqueNames>
            <x15:cachedUniqueName index="0" name="[Table1].[ProductID].&amp;[302]"/>
            <x15:cachedUniqueName index="1" name="[Table1].[ProductID].&amp;[308]"/>
            <x15:cachedUniqueName index="2" name="[Table1].[ProductID].&amp;[315]"/>
            <x15:cachedUniqueName index="3" name="[Table1].[ProductID].&amp;[316]"/>
            <x15:cachedUniqueName index="4" name="[Table1].[ProductID].&amp;[320]"/>
          </x15:cachedUniqueNames>
        </ext>
      </extLst>
    </cacheField>
    <cacheField name="[Table1].[Year].[Year]" caption="Year" numFmtId="0" hierarchy="17" level="1">
      <sharedItems containsSemiMixedTypes="0" containsString="0" containsNumber="1" containsInteger="1" minValue="2021" maxValue="2023" count="3">
        <n v="2021"/>
        <n v="2022"/>
        <n v="2023"/>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s>
        </ext>
      </extLst>
    </cacheField>
    <cacheField name="[Measures].[measure 1]" caption="measure 1" numFmtId="0" hierarchy="34" level="32767"/>
    <cacheField name="[Table1].[Category].[Category]" caption="Category" numFmtId="0" hierarchy="7"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2" memberValueDatatype="2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oneField="1">
      <fieldsUsage count="1">
        <fieldUsage x="2"/>
      </fieldsUsage>
    </cacheHierarchy>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140367361113" backgroundQuery="1" createdVersion="8" refreshedVersion="8" minRefreshableVersion="3" recordCount="0" supportSubquery="1" supportAdvancedDrill="1" xr:uid="{5777E0BC-0C9F-4336-A462-E6684606831B}">
  <cacheSource type="external" connectionId="1"/>
  <cacheFields count="4">
    <cacheField name="[Table1].[Month name].[Month name]" caption="Month name" numFmtId="0" hierarchy="19" level="1">
      <sharedItems count="12">
        <s v="January"/>
        <s v="February"/>
        <s v="March"/>
        <s v="April"/>
        <s v="May"/>
        <s v="June"/>
        <s v="July"/>
        <s v="August"/>
        <s v="September"/>
        <s v="October"/>
        <s v="November"/>
        <s v="December"/>
      </sharedItems>
    </cacheField>
    <cacheField name="[Measures].[Sum of Sales]" caption="Sum of Sales" numFmtId="0" hierarchy="28" level="32767"/>
    <cacheField name="[Table1].[Region].[Region]" caption="Region" numFmtId="0" hierarchy="13" level="1">
      <sharedItems count="4">
        <s v="East"/>
        <s v="North"/>
        <s v="South"/>
        <s v="West"/>
      </sharedItems>
    </cacheField>
    <cacheField name="[Table1].[Year].[Year]" caption="Year" numFmtId="0" hierarchy="17"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0"/>
      </fieldsUsage>
    </cacheHierarchy>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140368055552" backgroundQuery="1" createdVersion="8" refreshedVersion="8" minRefreshableVersion="3" recordCount="0" supportSubquery="1" supportAdvancedDrill="1" xr:uid="{34E964B8-F744-4D19-8A3C-481EF455146C}">
  <cacheSource type="external" connectionId="1"/>
  <cacheFields count="4">
    <cacheField name="[Measures].[Sum of Sales]" caption="Sum of Sales" numFmtId="0" hierarchy="28" level="32767"/>
    <cacheField name="[Table1].[Category].[Category]" caption="Category" numFmtId="0" hierarchy="7" level="1">
      <sharedItems count="4">
        <s v="Clothing"/>
        <s v="Electronics"/>
        <s v="Home &amp; Kitchen"/>
        <s v="Toys"/>
      </sharedItems>
    </cacheField>
    <cacheField name="[Measures].[Sum of Profit]" caption="Sum of Profit" numFmtId="0" hierarchy="31" level="32767"/>
    <cacheField name="[Table1].[Year].[Year]" caption="Year" numFmtId="0" hierarchy="17"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fieldsUsage count="1">
        <fieldUsage x="2"/>
      </fieldsUsage>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140368402775" backgroundQuery="1" createdVersion="8" refreshedVersion="8" minRefreshableVersion="3" recordCount="0" supportSubquery="1" supportAdvancedDrill="1" xr:uid="{CE64CF36-99B7-453B-B8CC-944F0E575EDC}">
  <cacheSource type="external" connectionId="1"/>
  <cacheFields count="3">
    <cacheField name="[Table1].[StoreID].[StoreID]" caption="StoreID" numFmtId="0" hierarchy="1" level="1">
      <sharedItems containsSemiMixedTypes="0" containsString="0" containsNumber="1" containsInteger="1" minValue="101" maxValue="110" count="10">
        <n v="101"/>
        <n v="102"/>
        <n v="103"/>
        <n v="104"/>
        <n v="105"/>
        <n v="106"/>
        <n v="107"/>
        <n v="108"/>
        <n v="109"/>
        <n v="110"/>
      </sharedItems>
      <extLst>
        <ext xmlns:x15="http://schemas.microsoft.com/office/spreadsheetml/2010/11/main" uri="{4F2E5C28-24EA-4eb8-9CBF-B6C8F9C3D259}">
          <x15:cachedUniqueNames>
            <x15:cachedUniqueName index="0" name="[Table1].[StoreID].&amp;[101]"/>
            <x15:cachedUniqueName index="1" name="[Table1].[StoreID].&amp;[102]"/>
            <x15:cachedUniqueName index="2" name="[Table1].[StoreID].&amp;[103]"/>
            <x15:cachedUniqueName index="3" name="[Table1].[StoreID].&amp;[104]"/>
            <x15:cachedUniqueName index="4" name="[Table1].[StoreID].&amp;[105]"/>
            <x15:cachedUniqueName index="5" name="[Table1].[StoreID].&amp;[106]"/>
            <x15:cachedUniqueName index="6" name="[Table1].[StoreID].&amp;[107]"/>
            <x15:cachedUniqueName index="7" name="[Table1].[StoreID].&amp;[108]"/>
            <x15:cachedUniqueName index="8" name="[Table1].[StoreID].&amp;[109]"/>
            <x15:cachedUniqueName index="9" name="[Table1].[StoreID].&amp;[110]"/>
          </x15:cachedUniqueNames>
        </ext>
      </extLst>
    </cacheField>
    <cacheField name="[Measures].[Average of Discount%]" caption="Average of Discount%" numFmtId="0" hierarchy="30" level="32767"/>
    <cacheField name="[Table1].[Year].[Year]" caption="Year" numFmtId="0" hierarchy="17"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2" memberValueDatatype="20" unbalanced="0">
      <fieldsUsage count="2">
        <fieldUsage x="-1"/>
        <fieldUsage x="0"/>
      </fieldsUsage>
    </cacheHierarchy>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oneField="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14036863426" backgroundQuery="1" createdVersion="8" refreshedVersion="8" minRefreshableVersion="3" recordCount="0" supportSubquery="1" supportAdvancedDrill="1" xr:uid="{E78561F1-0517-4633-94F7-C0D02DF11243}">
  <cacheSource type="external" connectionId="1"/>
  <cacheFields count="3">
    <cacheField name="[Measures].[Sum of Sales]" caption="Sum of Sales" numFmtId="0" hierarchy="28" level="32767"/>
    <cacheField name="[Table1].[Subcategory].[Subcategory]" caption="Subcategory" numFmtId="0" hierarchy="8" level="1">
      <sharedItems count="10">
        <s v="Accessories"/>
        <s v="Board Games"/>
        <s v="Educational"/>
        <s v="Furniture"/>
        <s v="Kids"/>
        <s v="Laptops"/>
        <s v="Men"/>
        <s v="Mobiles"/>
        <s v="Outdoor"/>
        <s v="Women"/>
      </sharedItems>
    </cacheField>
    <cacheField name="[Table1].[Year].[Year]" caption="Year" numFmtId="0" hierarchy="17"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140369097222" backgroundQuery="1" createdVersion="8" refreshedVersion="8" minRefreshableVersion="3" recordCount="0" supportSubquery="1" supportAdvancedDrill="1" xr:uid="{29CDA384-B87B-4B84-BE18-98766763AEEC}">
  <cacheSource type="external" connectionId="1"/>
  <cacheFields count="3">
    <cacheField name="[Measures].[Sum of Sales]" caption="Sum of Sales" numFmtId="0" hierarchy="28" level="32767"/>
    <cacheField name="[Table1].[StoreID].[StoreID]" caption="StoreID" numFmtId="0" hierarchy="1" level="1">
      <sharedItems containsSemiMixedTypes="0" containsString="0" containsNumber="1" containsInteger="1" minValue="101" maxValue="110" count="10">
        <n v="101"/>
        <n v="102"/>
        <n v="103"/>
        <n v="104"/>
        <n v="105"/>
        <n v="106"/>
        <n v="107"/>
        <n v="108"/>
        <n v="109"/>
        <n v="110"/>
      </sharedItems>
      <extLst>
        <ext xmlns:x15="http://schemas.microsoft.com/office/spreadsheetml/2010/11/main" uri="{4F2E5C28-24EA-4eb8-9CBF-B6C8F9C3D259}">
          <x15:cachedUniqueNames>
            <x15:cachedUniqueName index="0" name="[Table1].[StoreID].&amp;[101]"/>
            <x15:cachedUniqueName index="1" name="[Table1].[StoreID].&amp;[102]"/>
            <x15:cachedUniqueName index="2" name="[Table1].[StoreID].&amp;[103]"/>
            <x15:cachedUniqueName index="3" name="[Table1].[StoreID].&amp;[104]"/>
            <x15:cachedUniqueName index="4" name="[Table1].[StoreID].&amp;[105]"/>
            <x15:cachedUniqueName index="5" name="[Table1].[StoreID].&amp;[106]"/>
            <x15:cachedUniqueName index="6" name="[Table1].[StoreID].&amp;[107]"/>
            <x15:cachedUniqueName index="7" name="[Table1].[StoreID].&amp;[108]"/>
            <x15:cachedUniqueName index="8" name="[Table1].[StoreID].&amp;[109]"/>
            <x15:cachedUniqueName index="9" name="[Table1].[StoreID].&amp;[110]"/>
          </x15:cachedUniqueNames>
        </ext>
      </extLst>
    </cacheField>
    <cacheField name="[Table1].[Year].[Year]" caption="Year" numFmtId="0" hierarchy="17"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2" memberValueDatatype="20" unbalanced="0">
      <fieldsUsage count="2">
        <fieldUsage x="-1"/>
        <fieldUsage x="1"/>
      </fieldsUsage>
    </cacheHierarchy>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140369444445" backgroundQuery="1" createdVersion="8" refreshedVersion="8" minRefreshableVersion="3" recordCount="0" supportSubquery="1" supportAdvancedDrill="1" xr:uid="{F12E1B8C-DD43-4483-BEB5-15BC468CA339}">
  <cacheSource type="external" connectionId="1"/>
  <cacheFields count="3">
    <cacheField name="[Table1].[ProductID].[ProductID]" caption="ProductID" numFmtId="0" hierarchy="6" level="1">
      <sharedItems containsSemiMixedTypes="0" containsString="0" containsNumber="1" containsInteger="1" minValue="301" maxValue="320" count="20">
        <n v="301"/>
        <n v="302"/>
        <n v="303"/>
        <n v="304"/>
        <n v="305"/>
        <n v="306"/>
        <n v="307"/>
        <n v="308"/>
        <n v="309"/>
        <n v="310"/>
        <n v="311"/>
        <n v="312"/>
        <n v="313"/>
        <n v="314"/>
        <n v="315"/>
        <n v="316"/>
        <n v="317"/>
        <n v="318"/>
        <n v="319"/>
        <n v="320"/>
      </sharedItems>
      <extLst>
        <ext xmlns:x15="http://schemas.microsoft.com/office/spreadsheetml/2010/11/main" uri="{4F2E5C28-24EA-4eb8-9CBF-B6C8F9C3D259}">
          <x15:cachedUniqueNames>
            <x15:cachedUniqueName index="0" name="[Table1].[ProductID].&amp;[301]"/>
            <x15:cachedUniqueName index="1" name="[Table1].[ProductID].&amp;[302]"/>
            <x15:cachedUniqueName index="2" name="[Table1].[ProductID].&amp;[303]"/>
            <x15:cachedUniqueName index="3" name="[Table1].[ProductID].&amp;[304]"/>
            <x15:cachedUniqueName index="4" name="[Table1].[ProductID].&amp;[305]"/>
            <x15:cachedUniqueName index="5" name="[Table1].[ProductID].&amp;[306]"/>
            <x15:cachedUniqueName index="6" name="[Table1].[ProductID].&amp;[307]"/>
            <x15:cachedUniqueName index="7" name="[Table1].[ProductID].&amp;[308]"/>
            <x15:cachedUniqueName index="8" name="[Table1].[ProductID].&amp;[309]"/>
            <x15:cachedUniqueName index="9" name="[Table1].[ProductID].&amp;[310]"/>
            <x15:cachedUniqueName index="10" name="[Table1].[ProductID].&amp;[311]"/>
            <x15:cachedUniqueName index="11" name="[Table1].[ProductID].&amp;[312]"/>
            <x15:cachedUniqueName index="12" name="[Table1].[ProductID].&amp;[313]"/>
            <x15:cachedUniqueName index="13" name="[Table1].[ProductID].&amp;[314]"/>
            <x15:cachedUniqueName index="14" name="[Table1].[ProductID].&amp;[315]"/>
            <x15:cachedUniqueName index="15" name="[Table1].[ProductID].&amp;[316]"/>
            <x15:cachedUniqueName index="16" name="[Table1].[ProductID].&amp;[317]"/>
            <x15:cachedUniqueName index="17" name="[Table1].[ProductID].&amp;[318]"/>
            <x15:cachedUniqueName index="18" name="[Table1].[ProductID].&amp;[319]"/>
            <x15:cachedUniqueName index="19" name="[Table1].[ProductID].&amp;[320]"/>
          </x15:cachedUniqueNames>
        </ext>
      </extLst>
    </cacheField>
    <cacheField name="[Measures].[Sum of Profit]" caption="Sum of Profit" numFmtId="0" hierarchy="31" level="32767"/>
    <cacheField name="[Table1].[Year].[Year]" caption="Year" numFmtId="0" hierarchy="17"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2" memberValueDatatype="2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fieldsUsage count="1">
        <fieldUsage x="1"/>
      </fieldsUsage>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140369791668" backgroundQuery="1" createdVersion="8" refreshedVersion="8" minRefreshableVersion="3" recordCount="0" supportSubquery="1" supportAdvancedDrill="1" xr:uid="{1CCED2A8-9CEC-463B-BC65-F2E89C2DB589}">
  <cacheSource type="external" connectionId="1"/>
  <cacheFields count="4">
    <cacheField name="[Measures].[Sum of Sales]" caption="Sum of Sales" numFmtId="0" hierarchy="28" level="32767"/>
    <cacheField name="[Table1].[StoreID].[StoreID]" caption="StoreID" numFmtId="0" hierarchy="1" level="1">
      <sharedItems containsSemiMixedTypes="0" containsString="0" containsNumber="1" containsInteger="1" minValue="101" maxValue="110" count="10">
        <n v="103"/>
        <n v="105"/>
        <n v="106"/>
        <n v="108"/>
        <n v="110"/>
        <n v="104"/>
        <n v="101"/>
        <n v="102"/>
        <n v="107"/>
        <n v="109"/>
      </sharedItems>
      <extLst>
        <ext xmlns:x15="http://schemas.microsoft.com/office/spreadsheetml/2010/11/main" uri="{4F2E5C28-24EA-4eb8-9CBF-B6C8F9C3D259}">
          <x15:cachedUniqueNames>
            <x15:cachedUniqueName index="0" name="[Table1].[StoreID].&amp;[103]"/>
            <x15:cachedUniqueName index="1" name="[Table1].[StoreID].&amp;[105]"/>
            <x15:cachedUniqueName index="2" name="[Table1].[StoreID].&amp;[106]"/>
            <x15:cachedUniqueName index="3" name="[Table1].[StoreID].&amp;[108]"/>
            <x15:cachedUniqueName index="4" name="[Table1].[StoreID].&amp;[110]"/>
            <x15:cachedUniqueName index="5" name="[Table1].[StoreID].&amp;[104]"/>
            <x15:cachedUniqueName index="6" name="[Table1].[StoreID].&amp;[101]"/>
            <x15:cachedUniqueName index="7" name="[Table1].[StoreID].&amp;[102]"/>
            <x15:cachedUniqueName index="8" name="[Table1].[StoreID].&amp;[107]"/>
            <x15:cachedUniqueName index="9" name="[Table1].[StoreID].&amp;[109]"/>
          </x15:cachedUniqueNames>
        </ext>
      </extLst>
    </cacheField>
    <cacheField name="[Table1].[Opening Date (Year)].[Opening Date (Year)]" caption="Opening Date (Year)" numFmtId="0" hierarchy="23" level="1">
      <sharedItems count="3">
        <s v="2020"/>
        <s v="2021"/>
        <s v="2022"/>
      </sharedItems>
    </cacheField>
    <cacheField name="[Table1].[Year].[Year]" caption="Year" numFmtId="0" hierarchy="17" level="1">
      <sharedItems containsSemiMixedTypes="0" containsNonDate="0" containsString="0"/>
    </cacheField>
  </cacheFields>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2" memberValueDatatype="20" unbalanced="0">
      <fieldsUsage count="2">
        <fieldUsage x="-1"/>
        <fieldUsage x="1"/>
      </fieldsUsage>
    </cacheHierarchy>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2" memberValueDatatype="130" unbalanced="0">
      <fieldsUsage count="2">
        <fieldUsage x="-1"/>
        <fieldUsage x="2"/>
      </fieldsUsage>
    </cacheHierarchy>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 Gupta" refreshedDate="45778.030621064812" backgroundQuery="1" createdVersion="3" refreshedVersion="8" minRefreshableVersion="3" recordCount="0" supportSubquery="1" supportAdvancedDrill="1" xr:uid="{12CC96CE-2D61-4FE9-898A-5C88F8CE6F2E}">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Table1].[Date]" caption="Date" attribute="1" time="1" defaultMemberUniqueName="[Table1].[Date].[All]" allUniqueName="[Table1].[Date].[All]" dimensionUniqueName="[Table1]" displayFolder="" count="0" memberValueDatatype="7" unbalanced="0"/>
    <cacheHierarchy uniqueName="[Table1].[StoreID]" caption="StoreID" attribute="1" defaultMemberUniqueName="[Table1].[StoreID].[All]" allUniqueName="[Table1].[StoreID].[All]" dimensionUniqueName="[Table1]" displayFolder="" count="0" memberValueDatatype="20" unbalanced="0"/>
    <cacheHierarchy uniqueName="[Table1].[Opening Date]" caption="Opening Date" attribute="1" time="1" defaultMemberUniqueName="[Table1].[Opening Date].[All]" allUniqueName="[Table1].[Opening Date].[All]" dimensionUniqueName="[Table1]" displayFolder="" count="0" memberValueDatatype="7" unbalanced="0"/>
    <cacheHierarchy uniqueName="[Table1].[RepID]" caption="RepID" attribute="1" defaultMemberUniqueName="[Table1].[RepID].[All]" allUniqueName="[Table1].[RepID].[All]" dimensionUniqueName="[Table1]" displayFolder="" count="0" memberValueDatatype="20" unbalanced="0"/>
    <cacheHierarchy uniqueName="[Table1].[Joining date]" caption="Joining date" attribute="1" time="1" defaultMemberUniqueName="[Table1].[Joining date].[All]" allUniqueName="[Table1].[Joining 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Costprice]" caption="Costprice" attribute="1" defaultMemberUniqueName="[Table1].[Costprice].[All]" allUniqueName="[Table1].[Costprice].[All]" dimensionUniqueName="[Table1]" displayFolder="" count="0" memberValueDatatype="5" unbalanced="0"/>
    <cacheHierarchy uniqueName="[Table1].[UnitPrice]" caption="UnitPrice" attribute="1" defaultMemberUniqueName="[Table1].[UnitPrice].[All]" allUniqueName="[Table1].[Unit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cacheHierarchy uniqueName="[Table1].[Saleprice]" caption="Saleprice" attribute="1" defaultMemberUniqueName="[Table1].[Saleprice].[All]" allUniqueName="[Table1].[Sale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20" unbalanced="0"/>
    <cacheHierarchy uniqueName="[Table1].[Month name]" caption="Month name" attribute="1" defaultMemberUniqueName="[Table1].[Month name].[All]" allUniqueName="[Table1].[Month name].[All]" dimensionUniqueName="[Table1]" displayFolder="" count="2" memberValueDatatype="130" unbalanced="0"/>
    <cacheHierarchy uniqueName="[Table1].[Joining date (Year)]" caption="Joining date (Year)" attribute="1" defaultMemberUniqueName="[Table1].[Joining date (Year)].[All]" allUniqueName="[Table1].[Joining date (Year)].[All]" dimensionUniqueName="[Table1]" displayFolder="" count="0" memberValueDatatype="130" unbalanced="0"/>
    <cacheHierarchy uniqueName="[Table1].[Joining date (Quarter)]" caption="Joining date (Quarter)" attribute="1" defaultMemberUniqueName="[Table1].[Joining date (Quarter)].[All]" allUniqueName="[Table1].[Joining date (Quarter)].[All]" dimensionUniqueName="[Table1]" displayFolder="" count="0" memberValueDatatype="130" unbalanced="0"/>
    <cacheHierarchy uniqueName="[Table1].[Joining date (Month)]" caption="Joining date (Month)" attribute="1" defaultMemberUniqueName="[Table1].[Joining date (Month)].[All]" allUniqueName="[Table1].[Joining date (Month)].[All]" dimensionUniqueName="[Table1]" displayFolder="" count="0" memberValueDatatype="130" unbalanced="0"/>
    <cacheHierarchy uniqueName="[Table1].[Opening Date (Year)]" caption="Opening Date (Year)" attribute="1" defaultMemberUniqueName="[Table1].[Opening Date (Year)].[All]" allUniqueName="[Table1].[Opening Date (Year)].[All]" dimensionUniqueName="[Table1]" displayFolder="" count="0" memberValueDatatype="130" unbalanced="0"/>
    <cacheHierarchy uniqueName="[Table1].[Opening Date (Quarter)]" caption="Opening Date (Quarter)" attribute="1" defaultMemberUniqueName="[Table1].[Opening Date (Quarter)].[All]" allUniqueName="[Table1].[Opening Date (Quarter)].[All]" dimensionUniqueName="[Table1]" displayFolder="" count="0" memberValueDatatype="130" unbalanced="0"/>
    <cacheHierarchy uniqueName="[Table1].[Opening Date (Month)]" caption="Opening Date (Month)" attribute="1" defaultMemberUniqueName="[Table1].[Opening Date (Month)].[All]" allUniqueName="[Table1].[Opening Date (Month)].[All]" dimensionUniqueName="[Table1]" displayFolder="" count="0" memberValueDatatype="130" unbalanced="0"/>
    <cacheHierarchy uniqueName="[Table1].[Joining date (Month Index)]" caption="Joining date (Month Index)" attribute="1" defaultMemberUniqueName="[Table1].[Joining date (Month Index)].[All]" allUniqueName="[Table1].[Joining date (Month Index)].[All]" dimensionUniqueName="[Table1]" displayFolder="" count="0" memberValueDatatype="20" unbalanced="0" hidden="1"/>
    <cacheHierarchy uniqueName="[Table1].[Opening Date (Month Index)]" caption="Opening Date (Month Index)" attribute="1" defaultMemberUniqueName="[Table1].[Opening Date (Month Index)].[All]" allUniqueName="[Table1].[Opening 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5"/>
        </ext>
      </extLst>
    </cacheHierarchy>
    <cacheHierarchy uniqueName="[Measures].[Sum of Discount%]" caption="Sum of Discount%" measure="1" displayFolder="" measureGroup="Table1" count="0">
      <extLst>
        <ext xmlns:x15="http://schemas.microsoft.com/office/spreadsheetml/2010/11/main" uri="{B97F6D7D-B522-45F9-BDA1-12C45D357490}">
          <x15:cacheHierarchy aggregatedColumn="12"/>
        </ext>
      </extLst>
    </cacheHierarchy>
    <cacheHierarchy uniqueName="[Measures].[Average of Discount%]" caption="Average of Discount%" measure="1" displayFolder="" measureGroup="Table1"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16"/>
        </ext>
      </extLst>
    </cacheHierarchy>
    <cacheHierarchy uniqueName="[Measures].[Performance per rep]" caption="Performance per rep" measure="1" displayFolder="" measureGroup="Table1" count="0"/>
    <cacheHierarchy uniqueName="[Measures].[Avg monthly sales]" caption="Avg monthly sales" measure="1" displayFolder="" measureGroup="Table1" count="0"/>
    <cacheHierarchy uniqueName="[Measures].[measure 1]" caption="measure 1" measure="1" displayFolder="" measureGroup="Table1" count="0"/>
    <cacheHierarchy uniqueName="[Measures].[Total sales]" caption="Total sales" measure="1" displayFolder="" measureGroup="Table1" count="0"/>
    <cacheHierarchy uniqueName="[Measures].[Total quantity]" caption="Total quantity" measure="1" displayFolder="" measureGroup="Table1" count="0"/>
    <cacheHierarchy uniqueName="[Measures].[Total profit]" caption="Total profit" measure="1" displayFolder="" measureGroup="Table1" count="0"/>
    <cacheHierarchy uniqueName="[Measures].[Avg sales per day]" caption="Avg sales per da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028481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C5FAE6-16DA-42F1-9879-0C1A3F82384A}" name="PivotTable13" cacheId="3" applyNumberFormats="0" applyBorderFormats="0" applyFontFormats="0" applyPatternFormats="0" applyAlignmentFormats="0" applyWidthHeightFormats="1" dataCaption="Values" tag="2c36af16-4b21-4c9c-8350-34b9204a1eba" updatedVersion="8" minRefreshableVersion="3" useAutoFormatting="1" itemPrintTitles="1" createdVersion="8" indent="0" multipleFieldFilters="0">
  <location ref="A73:A74" firstHeaderRow="1" firstDataRow="1" firstDataCol="0"/>
  <pivotFields count="1">
    <pivotField dataField="1" showAll="0"/>
  </pivotFields>
  <rowItems count="1">
    <i/>
  </rowItems>
  <colItems count="1">
    <i/>
  </colItems>
  <dataFields count="1">
    <dataField fld="0" subtotal="count" baseField="0" baseItem="0"/>
  </dataFields>
  <formats count="1">
    <format dxfId="58">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D9A9E-4AFB-490E-A478-732C2FA0712F}" name="PivotTable7" cacheId="58" applyNumberFormats="0" applyBorderFormats="0" applyFontFormats="0" applyPatternFormats="0" applyAlignmentFormats="0" applyWidthHeightFormats="1" dataCaption="Values" tag="84dfd124-c371-4a4a-85d5-35fc60c09a9b" updatedVersion="8" minRefreshableVersion="3" useAutoFormatting="1" itemPrintTitles="1" createdVersion="8" indent="0" multipleFieldFilters="0" chartFormat="9">
  <location ref="A44:B55" firstHeaderRow="1" firstDataRow="1" firstDataCol="1"/>
  <pivotFields count="3">
    <pivotField dataField="1" showAll="0"/>
    <pivotField axis="axisRow" allDrilled="1" showAll="0"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numFmtId="164"/>
  </dataFields>
  <formats count="2">
    <format dxfId="60">
      <pivotArea outline="0" collapsedLevelsAreSubtotals="1" fieldPosition="0"/>
    </format>
    <format dxfId="59">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 count="1" selected="0">
            <x v="0"/>
          </reference>
        </references>
      </pivotArea>
    </chartFormat>
    <chartFormat chart="5" format="18">
      <pivotArea type="data" outline="0" fieldPosition="0">
        <references count="2">
          <reference field="4294967294" count="1" selected="0">
            <x v="0"/>
          </reference>
          <reference field="1" count="1" selected="0">
            <x v="1"/>
          </reference>
        </references>
      </pivotArea>
    </chartFormat>
    <chartFormat chart="5" format="19">
      <pivotArea type="data" outline="0" fieldPosition="0">
        <references count="2">
          <reference field="4294967294" count="1" selected="0">
            <x v="0"/>
          </reference>
          <reference field="1" count="1" selected="0">
            <x v="2"/>
          </reference>
        </references>
      </pivotArea>
    </chartFormat>
    <chartFormat chart="5" format="20">
      <pivotArea type="data" outline="0" fieldPosition="0">
        <references count="2">
          <reference field="4294967294" count="1" selected="0">
            <x v="0"/>
          </reference>
          <reference field="1" count="1" selected="0">
            <x v="3"/>
          </reference>
        </references>
      </pivotArea>
    </chartFormat>
    <chartFormat chart="5" format="21">
      <pivotArea type="data" outline="0" fieldPosition="0">
        <references count="2">
          <reference field="4294967294" count="1" selected="0">
            <x v="0"/>
          </reference>
          <reference field="1" count="1" selected="0">
            <x v="4"/>
          </reference>
        </references>
      </pivotArea>
    </chartFormat>
    <chartFormat chart="5" format="22">
      <pivotArea type="data" outline="0" fieldPosition="0">
        <references count="2">
          <reference field="4294967294" count="1" selected="0">
            <x v="0"/>
          </reference>
          <reference field="1" count="1" selected="0">
            <x v="5"/>
          </reference>
        </references>
      </pivotArea>
    </chartFormat>
    <chartFormat chart="5" format="23">
      <pivotArea type="data" outline="0" fieldPosition="0">
        <references count="2">
          <reference field="4294967294" count="1" selected="0">
            <x v="0"/>
          </reference>
          <reference field="1" count="1" selected="0">
            <x v="6"/>
          </reference>
        </references>
      </pivotArea>
    </chartFormat>
    <chartFormat chart="5" format="24">
      <pivotArea type="data" outline="0" fieldPosition="0">
        <references count="2">
          <reference field="4294967294" count="1" selected="0">
            <x v="0"/>
          </reference>
          <reference field="1" count="1" selected="0">
            <x v="7"/>
          </reference>
        </references>
      </pivotArea>
    </chartFormat>
    <chartFormat chart="5" format="25">
      <pivotArea type="data" outline="0" fieldPosition="0">
        <references count="2">
          <reference field="4294967294" count="1" selected="0">
            <x v="0"/>
          </reference>
          <reference field="1" count="1" selected="0">
            <x v="8"/>
          </reference>
        </references>
      </pivotArea>
    </chartFormat>
    <chartFormat chart="5" format="26">
      <pivotArea type="data" outline="0" fieldPosition="0">
        <references count="2">
          <reference field="4294967294" count="1" selected="0">
            <x v="0"/>
          </reference>
          <reference field="1" count="1" selected="0">
            <x v="9"/>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7C45A3-351C-4BEE-AFE5-5E2DE902FA6C}" name="PivotTable11" cacheId="64" applyNumberFormats="0" applyBorderFormats="0" applyFontFormats="0" applyPatternFormats="0" applyAlignmentFormats="0" applyWidthHeightFormats="1" dataCaption="Values" tag="f4df04c2-c0fd-4043-a53e-744a9c22a432" updatedVersion="8" minRefreshableVersion="3" useAutoFormatting="1" itemPrintTitles="1" createdVersion="8" indent="0" multipleFieldFilters="0" chartFormat="15">
  <location ref="H28:I49" firstHeaderRow="1" firstDataRow="1" firstDataCol="1"/>
  <pivotFields count="3">
    <pivotField axis="axisRow" allDrilled="1" showAll="0" sortType="descending" defaultAttributeDrillState="1">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21">
    <i>
      <x v="6"/>
    </i>
    <i>
      <x v="10"/>
    </i>
    <i>
      <x v="18"/>
    </i>
    <i>
      <x/>
    </i>
    <i>
      <x v="16"/>
    </i>
    <i>
      <x v="9"/>
    </i>
    <i>
      <x v="5"/>
    </i>
    <i>
      <x v="2"/>
    </i>
    <i>
      <x v="11"/>
    </i>
    <i>
      <x v="17"/>
    </i>
    <i>
      <x v="12"/>
    </i>
    <i>
      <x v="8"/>
    </i>
    <i>
      <x v="4"/>
    </i>
    <i>
      <x v="3"/>
    </i>
    <i>
      <x v="13"/>
    </i>
    <i>
      <x v="15"/>
    </i>
    <i>
      <x v="7"/>
    </i>
    <i>
      <x v="14"/>
    </i>
    <i>
      <x v="19"/>
    </i>
    <i>
      <x v="1"/>
    </i>
    <i t="grand">
      <x/>
    </i>
  </rowItems>
  <colItems count="1">
    <i/>
  </colItems>
  <dataFields count="1">
    <dataField name="Sum of Profit" fld="1" baseField="0" baseItem="0"/>
  </dataFields>
  <formats count="2">
    <format dxfId="62">
      <pivotArea outline="0" collapsedLevelsAreSubtotals="1" fieldPosition="0"/>
    </format>
    <format dxfId="61">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90495A-05E5-4053-8E3B-7E356900F120}" name="PivotTable4" cacheId="49" applyNumberFormats="0" applyBorderFormats="0" applyFontFormats="0" applyPatternFormats="0" applyAlignmentFormats="0" applyWidthHeightFormats="1" dataCaption="Values" tag="24966483-33c2-43df-86fe-e883a80e4eba" updatedVersion="8" minRefreshableVersion="3" useAutoFormatting="1" itemPrintTitles="1" createdVersion="8" indent="0" multipleFieldFilters="0" chartFormat="10">
  <location ref="A1:F15" firstHeaderRow="1" firstDataRow="2" firstDataCol="1"/>
  <pivotFields count="4">
    <pivotField axis="axisRow" allDrilled="1" showAll="0" dataSourceSort="1" defaultAttributeDrillState="1">
      <items count="13">
        <item x="0"/>
        <item x="1"/>
        <item x="2"/>
        <item x="3"/>
        <item x="4"/>
        <item x="5"/>
        <item x="6"/>
        <item x="7"/>
        <item x="8"/>
        <item x="9"/>
        <item x="10"/>
        <item x="11"/>
        <item t="default"/>
      </items>
    </pivotField>
    <pivotField dataField="1" showAll="0"/>
    <pivotField axis="axisCol" allDrilled="1" showAll="0" dataSourceSort="1" defaultAttributeDrillState="1">
      <items count="5">
        <item x="0"/>
        <item x="1"/>
        <item x="2"/>
        <item x="3"/>
        <item t="default"/>
      </items>
    </pivotField>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Sales" fld="1" baseField="0" baseItem="0" numFmtId="164"/>
  </dataFields>
  <formats count="2">
    <format dxfId="64">
      <pivotArea outline="0" collapsedLevelsAreSubtotals="1" fieldPosition="0"/>
    </format>
    <format dxfId="63">
      <pivotArea dataOnly="0" labelOnly="1" outline="0" axis="axisValues" fieldPosition="0"/>
    </format>
  </formats>
  <chartFormats count="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747E07-4E19-41E2-ADA7-B9934CC58C67}" name="PivotTable1" cacheId="1" applyNumberFormats="0" applyBorderFormats="0" applyFontFormats="0" applyPatternFormats="0" applyAlignmentFormats="0" applyWidthHeightFormats="1" dataCaption="Values" tag="2e9859c7-3f55-463a-8377-31bb85ed75ec" updatedVersion="8" minRefreshableVersion="3" useAutoFormatting="1" itemPrintTitles="1" createdVersion="8" indent="0" multipleFieldFilters="0">
  <location ref="A61:A62" firstHeaderRow="1" firstDataRow="1" firstDataCol="0"/>
  <pivotFields count="1">
    <pivotField dataField="1" showAll="0"/>
  </pivotFields>
  <rowItems count="1">
    <i/>
  </rowItems>
  <colItems count="1">
    <i/>
  </colItems>
  <dataFields count="1">
    <dataField fld="0" subtotal="count" baseField="0" baseItem="0" numFmtId="164"/>
  </dataFields>
  <formats count="1">
    <format dxfId="65">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D311EB-6932-498A-85BB-01232E43108B}" name="PivotTable9" cacheId="61" applyNumberFormats="0" applyBorderFormats="0" applyFontFormats="0" applyPatternFormats="0" applyAlignmentFormats="0" applyWidthHeightFormats="1" dataCaption="Values" tag="0effecfd-b664-4620-afd9-e0595dbfffc0" updatedVersion="8" minRefreshableVersion="3" useAutoFormatting="1" itemPrintTitles="1" createdVersion="8" indent="0" multipleFieldFilters="0" chartFormat="15">
  <location ref="N27:O38" firstHeaderRow="1" firstDataRow="1" firstDataCol="1"/>
  <pivotFields count="3">
    <pivotField dataField="1" showAll="0"/>
    <pivotField axis="axisRow" allDrilled="1" showAll="0"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numFmtId="164"/>
  </dataFields>
  <formats count="2">
    <format dxfId="67">
      <pivotArea outline="0" collapsedLevelsAreSubtotals="1" fieldPosition="0"/>
    </format>
    <format dxfId="66">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7AA73F-7645-4FCD-8468-569300E62541}" name="PivotTable3" cacheId="0" applyNumberFormats="0" applyBorderFormats="0" applyFontFormats="0" applyPatternFormats="0" applyAlignmentFormats="0" applyWidthHeightFormats="1" dataCaption="Values" tag="b2a1e694-44db-49e5-af84-783f910e517f" updatedVersion="8" minRefreshableVersion="3" useAutoFormatting="1" itemPrintTitles="1" createdVersion="8" indent="0" multipleFieldFilters="0">
  <location ref="A69:A70" firstHeaderRow="1" firstDataRow="1" firstDataCol="0"/>
  <pivotFields count="1">
    <pivotField dataField="1" showAll="0"/>
  </pivotFields>
  <rowItems count="1">
    <i/>
  </rowItems>
  <colItems count="1">
    <i/>
  </colItems>
  <dataFields count="1">
    <dataField fld="0" subtotal="count" baseField="0" baseItem="0" numFmtId="164"/>
  </dataFields>
  <formats count="1">
    <format dxfId="68">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000115-A499-4293-8268-695D1C70D640}" name="PivotTable5" cacheId="4" applyNumberFormats="0" applyBorderFormats="0" applyFontFormats="0" applyPatternFormats="0" applyAlignmentFormats="0" applyWidthHeightFormats="1" dataCaption="Values" tag="c2c64c03-47d4-4ac8-9a6d-ed30c251264f" updatedVersion="8" minRefreshableVersion="3" useAutoFormatting="1" itemPrintTitles="1" createdVersion="8" indent="0" multipleFieldFilters="0" chartFormat="27">
  <location ref="H1:K25" firstHeaderRow="1" firstDataRow="2" firstDataCol="1"/>
  <pivotFields count="5">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 axis="axisRow" allDrilled="1" showAll="0" dataSourceSort="1" defaultAttributeDrillState="1">
      <items count="3">
        <item x="0"/>
        <item x="1"/>
        <item t="default"/>
      </items>
    </pivotField>
    <pivotField dataField="1" showAll="0"/>
    <pivotField axis="axisCol" allDrilled="1" showAll="0" dataSourceSort="1" defaultAttributeDrillState="1">
      <items count="3">
        <item x="0"/>
        <item x="1"/>
        <item t="default"/>
      </items>
    </pivotField>
    <pivotField allDrilled="1" showAll="0" dataSourceSort="1" defaultAttributeDrillState="1"/>
  </pivotFields>
  <rowFields count="2">
    <field x="1"/>
    <field x="0"/>
  </rowFields>
  <rowItems count="23">
    <i>
      <x/>
    </i>
    <i r="1">
      <x/>
    </i>
    <i r="1">
      <x v="1"/>
    </i>
    <i r="1">
      <x v="2"/>
    </i>
    <i r="1">
      <x v="3"/>
    </i>
    <i r="1">
      <x v="4"/>
    </i>
    <i r="1">
      <x v="5"/>
    </i>
    <i r="1">
      <x v="6"/>
    </i>
    <i r="1">
      <x v="7"/>
    </i>
    <i>
      <x v="1"/>
    </i>
    <i r="1">
      <x v="8"/>
    </i>
    <i r="1">
      <x v="9"/>
    </i>
    <i r="1">
      <x v="10"/>
    </i>
    <i r="1">
      <x v="11"/>
    </i>
    <i r="1">
      <x v="12"/>
    </i>
    <i r="1">
      <x v="13"/>
    </i>
    <i r="1">
      <x v="14"/>
    </i>
    <i r="1">
      <x v="15"/>
    </i>
    <i r="1">
      <x v="16"/>
    </i>
    <i r="1">
      <x v="17"/>
    </i>
    <i r="1">
      <x v="18"/>
    </i>
    <i r="1">
      <x v="19"/>
    </i>
    <i t="grand">
      <x/>
    </i>
  </rowItems>
  <colFields count="1">
    <field x="3"/>
  </colFields>
  <colItems count="3">
    <i>
      <x/>
    </i>
    <i>
      <x v="1"/>
    </i>
    <i t="grand">
      <x/>
    </i>
  </colItems>
  <dataFields count="1">
    <dataField fld="2" subtotal="count" baseField="0" baseItem="0"/>
  </dataFields>
  <formats count="2">
    <format dxfId="70">
      <pivotArea outline="0" collapsedLevelsAreSubtotals="1" fieldPosition="0"/>
    </format>
    <format dxfId="69">
      <pivotArea dataOnly="0" labelOnly="1" outline="0" axis="axisValues" fieldPosition="0"/>
    </format>
  </formats>
  <chartFormats count="10">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3" count="1" selected="0">
            <x v="1"/>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24" format="5" series="1">
      <pivotArea type="data" outline="0" fieldPosition="0">
        <references count="2">
          <reference field="4294967294" count="1" selected="0">
            <x v="0"/>
          </reference>
          <reference field="3" count="1" selected="0">
            <x v="0"/>
          </reference>
        </references>
      </pivotArea>
    </chartFormat>
    <chartFormat chart="24" format="6" series="1">
      <pivotArea type="data" outline="0" fieldPosition="0">
        <references count="2">
          <reference field="4294967294" count="1" selected="0">
            <x v="0"/>
          </reference>
          <reference field="3" count="1" selected="0">
            <x v="1"/>
          </reference>
        </references>
      </pivotArea>
    </chartFormat>
    <chartFormat chart="25" format="7" series="1">
      <pivotArea type="data" outline="0" fieldPosition="0">
        <references count="2">
          <reference field="4294967294" count="1" selected="0">
            <x v="0"/>
          </reference>
          <reference field="3" count="1" selected="0">
            <x v="0"/>
          </reference>
        </references>
      </pivotArea>
    </chartFormat>
    <chartFormat chart="25" format="8" series="1">
      <pivotArea type="data" outline="0" fieldPosition="0">
        <references count="2">
          <reference field="4294967294" count="1" selected="0">
            <x v="0"/>
          </reference>
          <reference field="3"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0"/>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718769-D2FC-41BE-B866-067A54CE3D0D}" name="PivotTable12" cacheId="5" applyNumberFormats="0" applyBorderFormats="0" applyFontFormats="0" applyPatternFormats="0" applyAlignmentFormats="0" applyWidthHeightFormats="1" dataCaption="Values" tag="0d3fc835-6602-4a3c-801b-62605bca8254" updatedVersion="8" minRefreshableVersion="3" useAutoFormatting="1" itemPrintTitles="1" createdVersion="8" indent="0" multipleFieldFilters="0" chartFormat="10">
  <location ref="H56:I77" firstHeaderRow="1" firstDataRow="1" firstDataCol="1"/>
  <pivotFields count="4">
    <pivotField axis="axisRow" allDrilled="1" showAll="0" defaultAttributeDrillState="1">
      <items count="6">
        <item s="1" x="0"/>
        <item s="1" x="1"/>
        <item s="1" x="2"/>
        <item s="1" x="3"/>
        <item s="1" x="4"/>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2">
    <field x="0"/>
    <field x="1"/>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Average sales per month" fld="2" subtotal="count" baseField="0" baseItem="0"/>
  </dataFields>
  <formats count="2">
    <format dxfId="72">
      <pivotArea outline="0" collapsedLevelsAreSubtotals="1" fieldPosition="0"/>
    </format>
    <format dxfId="7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erage sales per month"/>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5F3FE4-7918-4B0C-B45A-5CE39F78FAE4}" name="PivotTable8" cacheId="67" applyNumberFormats="0" applyBorderFormats="0" applyFontFormats="0" applyPatternFormats="0" applyAlignmentFormats="0" applyWidthHeightFormats="1" dataCaption="Values" tag="e31a9f3f-f1de-4685-9cbe-f4b72acfde9d" updatedVersion="8" minRefreshableVersion="3" useAutoFormatting="1" itemPrintTitles="1" createdVersion="8" indent="0" multipleFieldFilters="0" chartFormat="13">
  <location ref="N1:O15" firstHeaderRow="1" firstDataRow="1" firstDataCol="1"/>
  <pivotFields count="4">
    <pivotField dataField="1" showAll="0"/>
    <pivotField axis="axisRow" allDrilled="1" showAll="0" dataSourceSort="1" defaultAttributeDrillState="1">
      <items count="11">
        <item x="0"/>
        <item x="1"/>
        <item x="2"/>
        <item x="3"/>
        <item x="4"/>
        <item x="5"/>
        <item x="6"/>
        <item x="7"/>
        <item x="8"/>
        <item x="9"/>
        <item t="default"/>
      </items>
    </pivotField>
    <pivotField axis="axisRow" allDrilled="1" showAll="0" dataSourceSort="1" defaultAttributeDrillState="1">
      <items count="4">
        <item x="0"/>
        <item x="1"/>
        <item x="2"/>
        <item t="default"/>
      </items>
    </pivotField>
    <pivotField allDrilled="1" showAll="0" dataSourceSort="1" defaultAttributeDrillState="1"/>
  </pivotFields>
  <rowFields count="2">
    <field x="2"/>
    <field x="1"/>
  </rowFields>
  <rowItems count="14">
    <i>
      <x/>
    </i>
    <i r="1">
      <x/>
    </i>
    <i r="1">
      <x v="1"/>
    </i>
    <i r="1">
      <x v="2"/>
    </i>
    <i r="1">
      <x v="3"/>
    </i>
    <i r="1">
      <x v="4"/>
    </i>
    <i>
      <x v="1"/>
    </i>
    <i r="1">
      <x v="5"/>
    </i>
    <i>
      <x v="2"/>
    </i>
    <i r="1">
      <x v="6"/>
    </i>
    <i r="1">
      <x v="7"/>
    </i>
    <i r="1">
      <x v="8"/>
    </i>
    <i r="1">
      <x v="9"/>
    </i>
    <i t="grand">
      <x/>
    </i>
  </rowItems>
  <colItems count="1">
    <i/>
  </colItems>
  <dataFields count="1">
    <dataField name="Sum of Sales" fld="0" baseField="0" baseItem="0" numFmtId="164"/>
  </dataFields>
  <formats count="2">
    <format dxfId="74">
      <pivotArea outline="0" collapsedLevelsAreSubtotals="1" fieldPosition="0"/>
    </format>
    <format dxfId="7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3"/>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5C9317-DBFC-4382-AB8F-604B088FE27D}" name="PivotTable10" cacheId="55" applyNumberFormats="0" applyBorderFormats="0" applyFontFormats="0" applyPatternFormats="0" applyAlignmentFormats="0" applyWidthHeightFormats="1" dataCaption="Values" tag="7fa4a2cc-ce08-40a3-8e28-f2dfa1f3f663" updatedVersion="8" minRefreshableVersion="3" useAutoFormatting="1" itemPrintTitles="1" createdVersion="8" indent="0" multipleFieldFilters="0" chartFormat="17">
  <location ref="N45:O56" firstHeaderRow="1" firstDataRow="1" firstDataCol="1"/>
  <pivotFields count="3">
    <pivotField axis="axisRow" allDrilled="1" showAll="0"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Average of Discount%" fld="1" subtotal="average" baseField="0" baseItem="0" numFmtId="10"/>
  </dataFields>
  <formats count="2">
    <format dxfId="76">
      <pivotArea outline="0" collapsedLevelsAreSubtotals="1" fieldPosition="0"/>
    </format>
    <format dxfId="75">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30DBB3-5A7A-4452-9CD0-3405A8F13FCA}" name="PivotTable6" cacheId="52" applyNumberFormats="0" applyBorderFormats="0" applyFontFormats="0" applyPatternFormats="0" applyAlignmentFormats="0" applyWidthHeightFormats="1" dataCaption="Values" tag="81e9974d-b4cd-4327-9f50-bc954008c23c" updatedVersion="8" minRefreshableVersion="3" useAutoFormatting="1" itemPrintTitles="1" createdVersion="8" indent="0" multipleFieldFilters="0" chartFormat="33">
  <location ref="A29:C34" firstHeaderRow="0" firstDataRow="1" firstDataCol="1"/>
  <pivotFields count="4">
    <pivotField dataField="1" showAll="0"/>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1"/>
  </rowFields>
  <rowItems count="5">
    <i>
      <x/>
    </i>
    <i>
      <x v="1"/>
    </i>
    <i>
      <x v="2"/>
    </i>
    <i>
      <x v="3"/>
    </i>
    <i t="grand">
      <x/>
    </i>
  </rowItems>
  <colFields count="1">
    <field x="-2"/>
  </colFields>
  <colItems count="2">
    <i>
      <x/>
    </i>
    <i i="1">
      <x v="1"/>
    </i>
  </colItems>
  <dataFields count="2">
    <dataField name="Sum of Sales" fld="0" baseField="0" baseItem="0" numFmtId="164"/>
    <dataField name="Sum of Profit" fld="2" baseField="0" baseItem="0"/>
  </dataFields>
  <formats count="2">
    <format dxfId="78">
      <pivotArea outline="0" collapsedLevelsAreSubtotals="1" fieldPosition="0"/>
    </format>
    <format dxfId="77">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1" count="1" selected="0">
            <x v="0"/>
          </reference>
        </references>
      </pivotArea>
    </chartFormat>
    <chartFormat chart="8" format="7">
      <pivotArea type="data" outline="0" fieldPosition="0">
        <references count="2">
          <reference field="4294967294" count="1" selected="0">
            <x v="1"/>
          </reference>
          <reference field="1" count="1" selected="0">
            <x v="1"/>
          </reference>
        </references>
      </pivotArea>
    </chartFormat>
    <chartFormat chart="8" format="8">
      <pivotArea type="data" outline="0" fieldPosition="0">
        <references count="2">
          <reference field="4294967294" count="1" selected="0">
            <x v="1"/>
          </reference>
          <reference field="1" count="1" selected="0">
            <x v="2"/>
          </reference>
        </references>
      </pivotArea>
    </chartFormat>
    <chartFormat chart="8" format="9">
      <pivotArea type="data" outline="0" fieldPosition="0">
        <references count="2">
          <reference field="4294967294" count="1" selected="0">
            <x v="1"/>
          </reference>
          <reference field="1"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829A46-9EB6-4D7E-B40F-25D929A38A5B}" name="PivotTable2" cacheId="2" applyNumberFormats="0" applyBorderFormats="0" applyFontFormats="0" applyPatternFormats="0" applyAlignmentFormats="0" applyWidthHeightFormats="1" dataCaption="Values" tag="ca8f1f95-0fb5-4f25-a784-df5c40f5020c" updatedVersion="8" minRefreshableVersion="3" useAutoFormatting="1" itemPrintTitles="1" createdVersion="8" indent="0" multipleFieldFilters="0">
  <location ref="A65:A66" firstHeaderRow="1" firstDataRow="1" firstDataCol="0"/>
  <pivotFields count="1">
    <pivotField dataField="1" showAll="0"/>
  </pivotFields>
  <rowItems count="1">
    <i/>
  </rowItems>
  <colItems count="1">
    <i/>
  </colItems>
  <dataFields count="1">
    <dataField fld="0" subtotal="count" baseField="0" baseItem="0" numFmtId="1"/>
  </dataFields>
  <formats count="2">
    <format dxfId="80">
      <pivotArea outline="0" collapsedLevelsAreSubtotals="1" fieldPosition="0">
        <references count="1">
          <reference field="4294967294" count="1" selected="0">
            <x v="0"/>
          </reference>
        </references>
      </pivotArea>
    </format>
    <format dxfId="79">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alesData_StablePricing.xlsx!Table1">
        <x15:activeTabTopLevelEntity name="[Table1]"/>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5B4BA4C-5BF8-40C6-814B-4F69D5B06E1E}" sourceName="[Table1].[Year]">
  <pivotTables>
    <pivotTable tabId="6" name="PivotTable4"/>
    <pivotTable tabId="6" name="PivotTable6"/>
    <pivotTable tabId="6" name="PivotTable10"/>
    <pivotTable tabId="6" name="PivotTable7"/>
    <pivotTable tabId="6" name="PivotTable9"/>
    <pivotTable tabId="6" name="PivotTable11"/>
    <pivotTable tabId="6" name="PivotTable8"/>
  </pivotTables>
  <data>
    <olap pivotCacheId="602848117">
      <levels count="2">
        <level uniqueName="[Table1].[Year].[(All)]" sourceCaption="(All)" count="0"/>
        <level uniqueName="[Table1].[Year].[Year]" sourceCaption="Year" count="3">
          <ranges>
            <range startItem="0">
              <i n="[Table1].[Year].&amp;[2021]" c="2021"/>
              <i n="[Table1].[Year].&amp;[2022]" c="2022"/>
              <i n="[Table1].[Year].&amp;[2023]" c="2023"/>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53CBF30-F804-46E9-9A0C-E4A770A898CE}" sourceName="[Table1].[Month name]">
  <pivotTables>
    <pivotTable tabId="6" name="PivotTable4"/>
  </pivotTables>
  <data>
    <olap pivotCacheId="602848117">
      <levels count="2">
        <level uniqueName="[Table1].[Month name].[(All)]" sourceCaption="(All)" count="0"/>
        <level uniqueName="[Table1].[Month name].[Month name]" sourceCaption="Month name" count="12">
          <ranges>
            <range startItem="0">
              <i n="[Table1].[Month name].&amp;[January]" c="January"/>
              <i n="[Table1].[Month name].&amp;[February]" c="February"/>
              <i n="[Table1].[Month name].&amp;[March]" c="March"/>
              <i n="[Table1].[Month name].&amp;[April]" c="April"/>
              <i n="[Table1].[Month name].&amp;[May]" c="May"/>
              <i n="[Table1].[Month name].&amp;[June]" c="June"/>
              <i n="[Table1].[Month name].&amp;[July]" c="July"/>
              <i n="[Table1].[Month name].&amp;[August]" c="August"/>
              <i n="[Table1].[Month name].&amp;[September]" c="September"/>
              <i n="[Table1].[Month name].&amp;[October]" c="October"/>
              <i n="[Table1].[Month name].&amp;[November]" c="November"/>
              <i n="[Table1].[Month name].&amp;[December]" c="December"/>
            </range>
          </ranges>
        </level>
      </levels>
      <selections count="1">
        <selection n="[Table1].[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99C94E-E2E2-4217-9FEB-36979E07790F}" sourceName="[Table1].[Category]">
  <pivotTables>
    <pivotTable tabId="6" name="PivotTable7"/>
    <pivotTable tabId="6" name="PivotTable12"/>
    <pivotTable tabId="6" name="PivotTable11"/>
  </pivotTables>
  <data>
    <olap pivotCacheId="602848117">
      <levels count="2">
        <level uniqueName="[Table1].[Category].[(All)]" sourceCaption="(All)" count="0"/>
        <level uniqueName="[Table1].[Category].[Category]" sourceCaption="Category" count="4">
          <ranges>
            <range startItem="0">
              <i n="[Table1].[Category].&amp;[Clothing]" c="Clothing"/>
              <i n="[Table1].[Category].&amp;[Electronics]" c="Electronics"/>
              <i n="[Table1].[Category].&amp;[Home &amp; Kitchen]" c="Home &amp; Kitchen"/>
              <i n="[Table1].[Category].&amp;[Toys]" c="Toys"/>
            </range>
          </ranges>
        </level>
      </levels>
      <selections count="1">
        <selection n="[Table1].[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F2ED50-BFB9-4DA4-B47B-D8E0EE0B8662}" sourceName="[Table1].[Region]">
  <pivotTables>
    <pivotTable tabId="6" name="PivotTable9"/>
    <pivotTable tabId="6" name="PivotTable10"/>
    <pivotTable tabId="6" name="PivotTable4"/>
    <pivotTable tabId="6" name="PivotTable5"/>
    <pivotTable tabId="6" name="PivotTable8"/>
  </pivotTables>
  <data>
    <olap pivotCacheId="602848117">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4C6F4D1-2156-445A-B113-AF8D66322345}" cache="Slicer_Year" caption="Year" level="1" style="SlicerStyleLight5" rowHeight="288000"/>
  <slicer name="Month 1" xr10:uid="{FFA8098C-E6F6-4AF2-92B7-36B3A798989A}" cache="Slicer_Month_name" caption="Month name" level="1" style="SlicerStyleLight5" rowHeight="234950"/>
  <slicer name="Category 1" xr10:uid="{478B0537-0326-42E5-AED5-79FB27284984}" cache="Slicer_Category" caption="Category" level="1" style="SlicerStyleLight5" rowHeight="288000"/>
  <slicer name="Region 1" xr10:uid="{D33CEE78-4C38-41F6-9176-A82707292639}" cache="Slicer_Region" caption="Region" level="1" style="SlicerStyleLight5"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2BCF875-3E1D-45E2-ADBF-8014BF17BF7A}" cache="Slicer_Year" caption="Year" level="1" rowHeight="234950"/>
  <slicer name="Month" xr10:uid="{DC6A7A0A-DEFE-4A41-A068-D667444B3D8E}" cache="Slicer_Month_name" caption="Month name" level="1" rowHeight="234950"/>
  <slicer name="Category" xr10:uid="{C2281803-A679-455E-B2EA-D7693D86E63C}" cache="Slicer_Category" caption="Category" level="1" rowHeight="234950"/>
  <slicer name="Region" xr10:uid="{558615AE-0349-4A3F-943F-6F04BCC5F5F4}"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537470-3FAE-4E9D-B6C3-CFF2A4AB1949}" name="Table1" displayName="Table1" ref="A1:T1001" totalsRowShown="0" headerRowDxfId="57">
  <autoFilter ref="A1:T1001" xr:uid="{B8537470-3FAE-4E9D-B6C3-CFF2A4AB1949}"/>
  <sortState xmlns:xlrd2="http://schemas.microsoft.com/office/spreadsheetml/2017/richdata2" ref="A2:T1001">
    <sortCondition ref="A1:A1001"/>
  </sortState>
  <tableColumns count="20">
    <tableColumn id="1" xr3:uid="{6526D341-3031-4DEE-B38B-9DD9A5DE22AB}" name="Date" dataDxfId="56" totalsRowDxfId="55"/>
    <tableColumn id="2" xr3:uid="{C29D9877-BCCF-46D0-BF00-A9610D51D7CA}" name="StoreID"/>
    <tableColumn id="3" xr3:uid="{32B266ED-D585-4DE7-90B9-1386965593A2}" name="Opening Date" dataDxfId="54" totalsRowDxfId="53">
      <calculatedColumnFormula>_xlfn.XLOOKUP(B2,Stores!A:A,Stores!E:E)</calculatedColumnFormula>
    </tableColumn>
    <tableColumn id="4" xr3:uid="{F8E374A2-15D2-4F84-923B-A1218F17C879}" name="RepID"/>
    <tableColumn id="5" xr3:uid="{911E0E11-ADD4-487A-A0DB-F602E504FD08}" name="Joining date" dataDxfId="52" totalsRowDxfId="51">
      <calculatedColumnFormula>_xlfn.XLOOKUP(D2,SalesReps!A:A,SalesReps!D:D)</calculatedColumnFormula>
    </tableColumn>
    <tableColumn id="16" xr3:uid="{DE6C8FA6-8219-49AA-A5A5-E332461FC4A6}" name="Status" dataDxfId="50" totalsRowDxfId="49">
      <calculatedColumnFormula>_xlfn.XLOOKUP(Table1[[#This Row],[RepID]],SalesReps!A:A,SalesReps!E:E)</calculatedColumnFormula>
    </tableColumn>
    <tableColumn id="6" xr3:uid="{57928342-E485-413A-BF72-E62DBDAD0125}" name="ProductID"/>
    <tableColumn id="17" xr3:uid="{78F15EF1-F269-409D-B683-D9DDB631CC0B}" name="Category" dataDxfId="48" totalsRowDxfId="47">
      <calculatedColumnFormula>_xlfn.XLOOKUP(Table1[[#This Row],[ProductID]],Products!A:A,Products!B:B)</calculatedColumnFormula>
    </tableColumn>
    <tableColumn id="18" xr3:uid="{C8C94C50-964B-4C68-B754-D438B7A6F558}" name="Subcategory" dataDxfId="46" totalsRowDxfId="45">
      <calculatedColumnFormula>_xlfn.XLOOKUP(Table1[[#This Row],[ProductID]],Products!A:A,Products!C:C)</calculatedColumnFormula>
    </tableColumn>
    <tableColumn id="7" xr3:uid="{7C1C377E-EC79-48DC-8EFE-A8FAD4418BE3}" name="Quantity" totalsRowDxfId="44"/>
    <tableColumn id="20" xr3:uid="{26F16B1F-13FA-42C1-95C0-F75D30F19A64}" name="Costprice" dataDxfId="43" totalsRowDxfId="42">
      <calculatedColumnFormula>_xlfn.XLOOKUP(Table1[[#This Row],[ProductID]],Products!A:A,Products!E:E)</calculatedColumnFormula>
    </tableColumn>
    <tableColumn id="8" xr3:uid="{BA821C76-6AD5-460C-8C9B-87FC5D0F4C65}" name="UnitPrice" dataDxfId="41" totalsRowDxfId="40"/>
    <tableColumn id="9" xr3:uid="{56F1E8AC-12F4-4F44-8A70-796D3D982EA9}" name="Discount%" dataDxfId="39" totalsRowDxfId="38"/>
    <tableColumn id="10" xr3:uid="{C9E08F05-AAB5-4606-9752-7BE35D83519D}" name="Region"/>
    <tableColumn id="11" xr3:uid="{532585C8-1629-45C9-9887-B55DC2C4AD27}" name="Saleprice" dataDxfId="37" totalsRowDxfId="36">
      <calculatedColumnFormula>L2*(1-M2)</calculatedColumnFormula>
    </tableColumn>
    <tableColumn id="12" xr3:uid="{478A9EFA-51E8-4EA6-8A0E-BFD847BFB4ED}" name="Sales" dataDxfId="35" totalsRowDxfId="34">
      <calculatedColumnFormula>O2*J2</calculatedColumnFormula>
    </tableColumn>
    <tableColumn id="19" xr3:uid="{8E2C803D-1C3D-4675-9276-EC22466077AA}" name="Profit" dataDxfId="33" totalsRowDxfId="32">
      <calculatedColumnFormula>Table1[[#This Row],[Quantity]]*(Table1[[#This Row],[Saleprice]]-Table1[[#This Row],[Costprice]])</calculatedColumnFormula>
    </tableColumn>
    <tableColumn id="13" xr3:uid="{CBAA8742-9AD0-49A1-A8B8-E79836AC2A0E}" name="Year">
      <calculatedColumnFormula>YEAR(A2)</calculatedColumnFormula>
    </tableColumn>
    <tableColumn id="14" xr3:uid="{20E00069-52A4-46B3-AE54-582CAB67931E}" name="Month">
      <calculatedColumnFormula>MONTH(A2)</calculatedColumnFormula>
    </tableColumn>
    <tableColumn id="15" xr3:uid="{D0273F72-55C6-4EB6-8BDA-BFC23E7994B3}" name="Month name">
      <calculatedColumnFormula>TEXT(A2,"MMMM")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1CC02-6540-4481-85EF-A63C5710934F}">
  <dimension ref="A1"/>
  <sheetViews>
    <sheetView tabSelected="1" zoomScale="55" zoomScaleNormal="55" workbookViewId="0">
      <selection activeCell="AE16" sqref="AE16"/>
    </sheetView>
  </sheetViews>
  <sheetFormatPr defaultRowHeight="14.4" x14ac:dyDescent="0.3"/>
  <cols>
    <col min="1" max="16384" width="8.88671875" style="10"/>
  </cols>
  <sheetData/>
  <sheetProtection algorithmName="SHA-512" hashValue="so2uaVDtDSE4MCebiKWOePPF3z/YAn5rJpzgJ84UkuDOJzaf02WtQc3JOhcXciKa9GnuExGJtF7FGJCiUtdbvg==" saltValue="3tJWdH0PbKq72k1suUjZU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EF6F-556C-41DF-A37B-264AC9F81EFC}">
  <dimension ref="A1:O77"/>
  <sheetViews>
    <sheetView topLeftCell="A49" workbookViewId="0">
      <selection activeCell="B72" sqref="B72"/>
    </sheetView>
  </sheetViews>
  <sheetFormatPr defaultRowHeight="14.4" x14ac:dyDescent="0.3"/>
  <cols>
    <col min="1" max="1" width="12.5546875" bestFit="1" customWidth="1"/>
    <col min="2" max="2" width="12.6640625" bestFit="1" customWidth="1"/>
    <col min="3" max="3" width="12.109375" bestFit="1" customWidth="1"/>
    <col min="4" max="5" width="11.6640625" bestFit="1" customWidth="1"/>
    <col min="6" max="6" width="12.6640625" bestFit="1" customWidth="1"/>
    <col min="8" max="8" width="12.5546875" bestFit="1" customWidth="1"/>
    <col min="9" max="9" width="12.109375" bestFit="1" customWidth="1"/>
    <col min="10" max="10" width="10.109375" bestFit="1" customWidth="1"/>
    <col min="11" max="11" width="10.77734375" bestFit="1" customWidth="1"/>
    <col min="12" max="12" width="18.5546875" bestFit="1" customWidth="1"/>
    <col min="13" max="13" width="16.44140625" bestFit="1" customWidth="1"/>
    <col min="14" max="14" width="12.5546875" bestFit="1" customWidth="1"/>
    <col min="15" max="15" width="12.6640625" bestFit="1" customWidth="1"/>
    <col min="16" max="16" width="16.33203125" bestFit="1" customWidth="1"/>
  </cols>
  <sheetData>
    <row r="1" spans="1:15" x14ac:dyDescent="0.3">
      <c r="A1" s="7" t="s">
        <v>103</v>
      </c>
      <c r="B1" s="7" t="s">
        <v>114</v>
      </c>
      <c r="H1" s="7" t="s">
        <v>106</v>
      </c>
      <c r="I1" s="7" t="s">
        <v>114</v>
      </c>
      <c r="N1" s="7" t="s">
        <v>89</v>
      </c>
      <c r="O1" s="5" t="s">
        <v>103</v>
      </c>
    </row>
    <row r="2" spans="1:15" x14ac:dyDescent="0.3">
      <c r="A2" s="7" t="s">
        <v>89</v>
      </c>
      <c r="B2" t="s">
        <v>9</v>
      </c>
      <c r="C2" t="s">
        <v>8</v>
      </c>
      <c r="D2" t="s">
        <v>10</v>
      </c>
      <c r="E2" t="s">
        <v>11</v>
      </c>
      <c r="F2" t="s">
        <v>102</v>
      </c>
      <c r="H2" s="7" t="s">
        <v>89</v>
      </c>
      <c r="I2" t="s">
        <v>80</v>
      </c>
      <c r="J2" t="s">
        <v>81</v>
      </c>
      <c r="K2" t="s">
        <v>102</v>
      </c>
      <c r="N2" s="8" t="s">
        <v>108</v>
      </c>
      <c r="O2" s="5">
        <v>512939.71619999944</v>
      </c>
    </row>
    <row r="3" spans="1:15" x14ac:dyDescent="0.3">
      <c r="A3" s="8" t="s">
        <v>94</v>
      </c>
      <c r="B3" s="5"/>
      <c r="C3" s="5">
        <v>76269.208900000027</v>
      </c>
      <c r="D3" s="5">
        <v>6442.7451000000001</v>
      </c>
      <c r="E3" s="5"/>
      <c r="F3" s="5">
        <v>82711.954000000027</v>
      </c>
      <c r="H3" s="8" t="s">
        <v>104</v>
      </c>
      <c r="I3" s="5">
        <v>23071.387825000002</v>
      </c>
      <c r="J3" s="5">
        <v>1723.5018916666668</v>
      </c>
      <c r="K3" s="5">
        <v>24794.889716666661</v>
      </c>
      <c r="N3" s="9">
        <v>103</v>
      </c>
      <c r="O3" s="5">
        <v>107781.34980000004</v>
      </c>
    </row>
    <row r="4" spans="1:15" x14ac:dyDescent="0.3">
      <c r="A4" s="8" t="s">
        <v>93</v>
      </c>
      <c r="B4" s="5"/>
      <c r="C4" s="5">
        <v>68745.405100000018</v>
      </c>
      <c r="D4" s="5">
        <v>5051.2498000000005</v>
      </c>
      <c r="E4" s="5">
        <v>13309.1034</v>
      </c>
      <c r="F4" s="5">
        <v>87105.758300000045</v>
      </c>
      <c r="H4" s="9">
        <v>204</v>
      </c>
      <c r="I4" s="5">
        <v>5348.2647916666674</v>
      </c>
      <c r="J4" s="5"/>
      <c r="K4" s="5">
        <v>5348.2647916666674</v>
      </c>
      <c r="N4" s="9">
        <v>105</v>
      </c>
      <c r="O4" s="5">
        <v>112890.64960000002</v>
      </c>
    </row>
    <row r="5" spans="1:15" x14ac:dyDescent="0.3">
      <c r="A5" s="8" t="s">
        <v>97</v>
      </c>
      <c r="B5" s="5"/>
      <c r="C5" s="5"/>
      <c r="D5" s="5">
        <v>22920.817499999994</v>
      </c>
      <c r="E5" s="5">
        <v>22572.680700000001</v>
      </c>
      <c r="F5" s="5">
        <v>45493.498200000009</v>
      </c>
      <c r="H5" s="9">
        <v>205</v>
      </c>
      <c r="I5" s="5">
        <v>8076.1624499999989</v>
      </c>
      <c r="J5" s="5"/>
      <c r="K5" s="5">
        <v>8076.1624499999989</v>
      </c>
      <c r="N5" s="9">
        <v>106</v>
      </c>
      <c r="O5" s="5">
        <v>85185.175100000022</v>
      </c>
    </row>
    <row r="6" spans="1:15" x14ac:dyDescent="0.3">
      <c r="A6" s="8" t="s">
        <v>90</v>
      </c>
      <c r="B6" s="5">
        <v>32723.5275</v>
      </c>
      <c r="C6" s="5"/>
      <c r="D6" s="5">
        <v>36693.144999999997</v>
      </c>
      <c r="E6" s="5">
        <v>24568.227800000001</v>
      </c>
      <c r="F6" s="5">
        <v>93984.900300000008</v>
      </c>
      <c r="H6" s="9">
        <v>206</v>
      </c>
      <c r="I6" s="5">
        <v>2546.9414500000007</v>
      </c>
      <c r="J6" s="5"/>
      <c r="K6" s="5">
        <v>2546.9414500000007</v>
      </c>
      <c r="N6" s="9">
        <v>108</v>
      </c>
      <c r="O6" s="5">
        <v>96913.949399999983</v>
      </c>
    </row>
    <row r="7" spans="1:15" x14ac:dyDescent="0.3">
      <c r="A7" s="8" t="s">
        <v>98</v>
      </c>
      <c r="B7" s="5">
        <v>31487.698200000006</v>
      </c>
      <c r="C7" s="5">
        <v>23930.800600000002</v>
      </c>
      <c r="D7" s="5">
        <v>54263.9637</v>
      </c>
      <c r="E7" s="5">
        <v>7047.3888000000006</v>
      </c>
      <c r="F7" s="5">
        <v>116729.85130000005</v>
      </c>
      <c r="H7" s="9">
        <v>208</v>
      </c>
      <c r="I7" s="5">
        <v>1532.5465333333332</v>
      </c>
      <c r="J7" s="5"/>
      <c r="K7" s="5">
        <v>1532.5465333333332</v>
      </c>
      <c r="N7" s="9">
        <v>110</v>
      </c>
      <c r="O7" s="5">
        <v>110168.5923</v>
      </c>
    </row>
    <row r="8" spans="1:15" x14ac:dyDescent="0.3">
      <c r="A8" s="8" t="s">
        <v>96</v>
      </c>
      <c r="B8" s="5">
        <v>41609.585100000011</v>
      </c>
      <c r="C8" s="5">
        <v>40447.690199999997</v>
      </c>
      <c r="D8" s="5">
        <v>57027.792799999988</v>
      </c>
      <c r="E8" s="5">
        <v>16536.615900000001</v>
      </c>
      <c r="F8" s="5">
        <v>155621.68400000004</v>
      </c>
      <c r="H8" s="9">
        <v>209</v>
      </c>
      <c r="I8" s="5"/>
      <c r="J8" s="5">
        <v>1723.5018916666668</v>
      </c>
      <c r="K8" s="5">
        <v>1723.5018916666668</v>
      </c>
      <c r="N8" s="8" t="s">
        <v>104</v>
      </c>
      <c r="O8" s="5">
        <v>94000.471400000053</v>
      </c>
    </row>
    <row r="9" spans="1:15" x14ac:dyDescent="0.3">
      <c r="A9" s="8" t="s">
        <v>95</v>
      </c>
      <c r="B9" s="5">
        <v>1960.5389999999998</v>
      </c>
      <c r="C9" s="5">
        <v>42827.763599999998</v>
      </c>
      <c r="D9" s="5">
        <v>44955.494799999993</v>
      </c>
      <c r="E9" s="5">
        <v>17090.453599999997</v>
      </c>
      <c r="F9" s="5">
        <v>106834.25100000003</v>
      </c>
      <c r="H9" s="9">
        <v>210</v>
      </c>
      <c r="I9" s="5">
        <v>2173.0278916666662</v>
      </c>
      <c r="J9" s="5"/>
      <c r="K9" s="5">
        <v>2173.0278916666662</v>
      </c>
      <c r="N9" s="9">
        <v>104</v>
      </c>
      <c r="O9" s="5">
        <v>94000.471400000053</v>
      </c>
    </row>
    <row r="10" spans="1:15" x14ac:dyDescent="0.3">
      <c r="A10" s="8" t="s">
        <v>91</v>
      </c>
      <c r="B10" s="5"/>
      <c r="C10" s="5">
        <v>19461.313300000002</v>
      </c>
      <c r="D10" s="5">
        <v>12254.7197</v>
      </c>
      <c r="E10" s="5">
        <v>20349.019299999996</v>
      </c>
      <c r="F10" s="5">
        <v>52065.052299999996</v>
      </c>
      <c r="H10" s="9">
        <v>213</v>
      </c>
      <c r="I10" s="5">
        <v>2016.4564250000003</v>
      </c>
      <c r="J10" s="5"/>
      <c r="K10" s="5">
        <v>2016.4564250000003</v>
      </c>
      <c r="N10" s="8" t="s">
        <v>105</v>
      </c>
      <c r="O10" s="5">
        <v>445958.17220000009</v>
      </c>
    </row>
    <row r="11" spans="1:15" x14ac:dyDescent="0.3">
      <c r="A11" s="8" t="s">
        <v>101</v>
      </c>
      <c r="B11" s="5"/>
      <c r="C11" s="5">
        <v>15078.178400000001</v>
      </c>
      <c r="D11" s="5">
        <v>22555.936999999994</v>
      </c>
      <c r="E11" s="5"/>
      <c r="F11" s="5">
        <v>37634.11540000001</v>
      </c>
      <c r="H11" s="9">
        <v>218</v>
      </c>
      <c r="I11" s="5">
        <v>1377.9882833333334</v>
      </c>
      <c r="J11" s="5"/>
      <c r="K11" s="5">
        <v>1377.9882833333334</v>
      </c>
      <c r="N11" s="9">
        <v>101</v>
      </c>
      <c r="O11" s="5">
        <v>100108.58560000003</v>
      </c>
    </row>
    <row r="12" spans="1:15" x14ac:dyDescent="0.3">
      <c r="A12" s="8" t="s">
        <v>100</v>
      </c>
      <c r="B12" s="5"/>
      <c r="C12" s="5">
        <v>43039.677299999996</v>
      </c>
      <c r="D12" s="5">
        <v>11485.2284</v>
      </c>
      <c r="E12" s="5"/>
      <c r="F12" s="5">
        <v>54524.905700000003</v>
      </c>
      <c r="H12" s="8" t="s">
        <v>105</v>
      </c>
      <c r="I12" s="5">
        <v>44358.370108333293</v>
      </c>
      <c r="J12" s="5">
        <v>18588.270158333326</v>
      </c>
      <c r="K12" s="5">
        <v>62946.640266666684</v>
      </c>
      <c r="N12" s="9">
        <v>102</v>
      </c>
      <c r="O12" s="5">
        <v>122057.22020000004</v>
      </c>
    </row>
    <row r="13" spans="1:15" x14ac:dyDescent="0.3">
      <c r="A13" s="8" t="s">
        <v>99</v>
      </c>
      <c r="B13" s="5"/>
      <c r="C13" s="5">
        <v>68043.596099999981</v>
      </c>
      <c r="D13" s="5">
        <v>9079.4734999999982</v>
      </c>
      <c r="E13" s="5"/>
      <c r="F13" s="5">
        <v>77123.069600000003</v>
      </c>
      <c r="H13" s="9">
        <v>201</v>
      </c>
      <c r="I13" s="5">
        <v>1915.1163750000003</v>
      </c>
      <c r="J13" s="5"/>
      <c r="K13" s="5">
        <v>1915.1163750000003</v>
      </c>
      <c r="N13" s="9">
        <v>107</v>
      </c>
      <c r="O13" s="5">
        <v>102318.87689999997</v>
      </c>
    </row>
    <row r="14" spans="1:15" x14ac:dyDescent="0.3">
      <c r="A14" s="8" t="s">
        <v>92</v>
      </c>
      <c r="B14" s="5"/>
      <c r="C14" s="5">
        <v>133723.59089999989</v>
      </c>
      <c r="D14" s="5">
        <v>9345.7288000000008</v>
      </c>
      <c r="E14" s="5"/>
      <c r="F14" s="5">
        <v>143069.31969999991</v>
      </c>
      <c r="H14" s="9">
        <v>202</v>
      </c>
      <c r="I14" s="5">
        <v>4548.8798666666662</v>
      </c>
      <c r="J14" s="5"/>
      <c r="K14" s="5">
        <v>4548.8798666666662</v>
      </c>
      <c r="N14" s="9">
        <v>109</v>
      </c>
      <c r="O14" s="5">
        <v>121473.48950000001</v>
      </c>
    </row>
    <row r="15" spans="1:15" x14ac:dyDescent="0.3">
      <c r="A15" s="8" t="s">
        <v>102</v>
      </c>
      <c r="B15" s="5">
        <v>107781.34980000004</v>
      </c>
      <c r="C15" s="5">
        <v>531567.22439999972</v>
      </c>
      <c r="D15" s="5">
        <v>292076.29609999992</v>
      </c>
      <c r="E15" s="5">
        <v>121473.48950000001</v>
      </c>
      <c r="F15" s="5">
        <v>1052898.3597999993</v>
      </c>
      <c r="H15" s="9">
        <v>203</v>
      </c>
      <c r="I15" s="5">
        <v>1863.8678833333331</v>
      </c>
      <c r="J15" s="5"/>
      <c r="K15" s="5">
        <v>1863.8678833333331</v>
      </c>
      <c r="N15" s="8" t="s">
        <v>102</v>
      </c>
      <c r="O15" s="5">
        <v>1052898.3597999993</v>
      </c>
    </row>
    <row r="16" spans="1:15" x14ac:dyDescent="0.3">
      <c r="H16" s="9">
        <v>207</v>
      </c>
      <c r="I16" s="5">
        <v>8981.7791500000039</v>
      </c>
      <c r="J16" s="5"/>
      <c r="K16" s="5">
        <v>8981.7791500000039</v>
      </c>
    </row>
    <row r="17" spans="1:15" x14ac:dyDescent="0.3">
      <c r="H17" s="9">
        <v>211</v>
      </c>
      <c r="I17" s="5">
        <v>4209.075291666667</v>
      </c>
      <c r="J17" s="5"/>
      <c r="K17" s="5">
        <v>4209.075291666667</v>
      </c>
    </row>
    <row r="18" spans="1:15" x14ac:dyDescent="0.3">
      <c r="H18" s="9">
        <v>212</v>
      </c>
      <c r="I18" s="5">
        <v>2015.2018833333329</v>
      </c>
      <c r="J18" s="5"/>
      <c r="K18" s="5">
        <v>2015.2018833333329</v>
      </c>
    </row>
    <row r="19" spans="1:15" x14ac:dyDescent="0.3">
      <c r="H19" s="9">
        <v>214</v>
      </c>
      <c r="I19" s="5">
        <v>4774.5259999999989</v>
      </c>
      <c r="J19" s="5"/>
      <c r="K19" s="5">
        <v>4774.5259999999989</v>
      </c>
    </row>
    <row r="20" spans="1:15" x14ac:dyDescent="0.3">
      <c r="H20" s="9">
        <v>215</v>
      </c>
      <c r="I20" s="5">
        <v>4317.4977833333323</v>
      </c>
      <c r="J20" s="5"/>
      <c r="K20" s="5">
        <v>4317.4977833333323</v>
      </c>
    </row>
    <row r="21" spans="1:15" x14ac:dyDescent="0.3">
      <c r="H21" s="9">
        <v>216</v>
      </c>
      <c r="I21" s="5"/>
      <c r="J21" s="5">
        <v>9407.5541333333349</v>
      </c>
      <c r="K21" s="5">
        <v>9407.5541333333349</v>
      </c>
    </row>
    <row r="22" spans="1:15" x14ac:dyDescent="0.3">
      <c r="H22" s="9">
        <v>217</v>
      </c>
      <c r="I22" s="5"/>
      <c r="J22" s="5">
        <v>9180.7160249999997</v>
      </c>
      <c r="K22" s="5">
        <v>9180.7160249999997</v>
      </c>
    </row>
    <row r="23" spans="1:15" x14ac:dyDescent="0.3">
      <c r="H23" s="9">
        <v>219</v>
      </c>
      <c r="I23" s="5">
        <v>10171.43501666667</v>
      </c>
      <c r="J23" s="5"/>
      <c r="K23" s="5">
        <v>10171.43501666667</v>
      </c>
    </row>
    <row r="24" spans="1:15" x14ac:dyDescent="0.3">
      <c r="H24" s="9">
        <v>220</v>
      </c>
      <c r="I24" s="5">
        <v>1560.9908583333338</v>
      </c>
      <c r="J24" s="5"/>
      <c r="K24" s="5">
        <v>1560.9908583333338</v>
      </c>
    </row>
    <row r="25" spans="1:15" x14ac:dyDescent="0.3">
      <c r="H25" s="8" t="s">
        <v>102</v>
      </c>
      <c r="I25" s="5">
        <v>67429.757933333283</v>
      </c>
      <c r="J25" s="5">
        <v>20311.772049999985</v>
      </c>
      <c r="K25" s="5">
        <v>87741.529983333268</v>
      </c>
    </row>
    <row r="27" spans="1:15" x14ac:dyDescent="0.3">
      <c r="N27" s="7" t="s">
        <v>89</v>
      </c>
      <c r="O27" s="5" t="s">
        <v>103</v>
      </c>
    </row>
    <row r="28" spans="1:15" x14ac:dyDescent="0.3">
      <c r="H28" s="7" t="s">
        <v>89</v>
      </c>
      <c r="I28" s="5" t="s">
        <v>112</v>
      </c>
      <c r="N28" s="8">
        <v>101</v>
      </c>
      <c r="O28" s="5">
        <v>100108.58560000003</v>
      </c>
    </row>
    <row r="29" spans="1:15" x14ac:dyDescent="0.3">
      <c r="A29" s="7" t="s">
        <v>89</v>
      </c>
      <c r="B29" t="s">
        <v>103</v>
      </c>
      <c r="C29" t="s">
        <v>112</v>
      </c>
      <c r="H29" s="8">
        <v>307</v>
      </c>
      <c r="I29" s="5">
        <v>12465.269700000003</v>
      </c>
      <c r="N29" s="8">
        <v>102</v>
      </c>
      <c r="O29" s="5">
        <v>122057.22020000004</v>
      </c>
    </row>
    <row r="30" spans="1:15" x14ac:dyDescent="0.3">
      <c r="A30" s="8" t="s">
        <v>42</v>
      </c>
      <c r="B30" s="5">
        <v>167303.69429999997</v>
      </c>
      <c r="C30" s="5">
        <v>9569.8142999999909</v>
      </c>
      <c r="H30" s="8">
        <v>311</v>
      </c>
      <c r="I30" s="5">
        <v>10193.215099999998</v>
      </c>
      <c r="N30" s="8">
        <v>103</v>
      </c>
      <c r="O30" s="5">
        <v>107781.34980000004</v>
      </c>
    </row>
    <row r="31" spans="1:15" x14ac:dyDescent="0.3">
      <c r="A31" s="8" t="s">
        <v>39</v>
      </c>
      <c r="B31" s="5">
        <v>197546.8018000001</v>
      </c>
      <c r="C31" s="5">
        <v>18547.441799999997</v>
      </c>
      <c r="H31" s="8">
        <v>319</v>
      </c>
      <c r="I31" s="5">
        <v>9903.5738000000038</v>
      </c>
      <c r="N31" s="8">
        <v>104</v>
      </c>
      <c r="O31" s="5">
        <v>94000.471400000053</v>
      </c>
    </row>
    <row r="32" spans="1:15" x14ac:dyDescent="0.3">
      <c r="A32" s="8" t="s">
        <v>41</v>
      </c>
      <c r="B32" s="5">
        <v>363865.02119999984</v>
      </c>
      <c r="C32" s="5">
        <v>21511.831200000026</v>
      </c>
      <c r="H32" s="8">
        <v>301</v>
      </c>
      <c r="I32" s="5">
        <v>9204.4924999999985</v>
      </c>
      <c r="N32" s="8">
        <v>105</v>
      </c>
      <c r="O32" s="5">
        <v>112890.64960000002</v>
      </c>
    </row>
    <row r="33" spans="1:15" x14ac:dyDescent="0.3">
      <c r="A33" s="8" t="s">
        <v>40</v>
      </c>
      <c r="B33" s="5">
        <v>324182.84249999956</v>
      </c>
      <c r="C33" s="5">
        <v>23715.572500000028</v>
      </c>
      <c r="H33" s="8">
        <v>317</v>
      </c>
      <c r="I33" s="5">
        <v>8533.7468000000008</v>
      </c>
      <c r="N33" s="8">
        <v>106</v>
      </c>
      <c r="O33" s="5">
        <v>85185.175100000022</v>
      </c>
    </row>
    <row r="34" spans="1:15" x14ac:dyDescent="0.3">
      <c r="A34" s="8" t="s">
        <v>102</v>
      </c>
      <c r="B34" s="5">
        <v>1052898.3597999993</v>
      </c>
      <c r="C34" s="5">
        <v>73344.65980000011</v>
      </c>
      <c r="H34" s="8">
        <v>310</v>
      </c>
      <c r="I34" s="5">
        <v>8521.7796999999973</v>
      </c>
      <c r="N34" s="8">
        <v>107</v>
      </c>
      <c r="O34" s="5">
        <v>102318.87689999997</v>
      </c>
    </row>
    <row r="35" spans="1:15" x14ac:dyDescent="0.3">
      <c r="H35" s="8">
        <v>306</v>
      </c>
      <c r="I35" s="5">
        <v>6231.1018999999987</v>
      </c>
      <c r="N35" s="8">
        <v>108</v>
      </c>
      <c r="O35" s="5">
        <v>96913.949399999983</v>
      </c>
    </row>
    <row r="36" spans="1:15" x14ac:dyDescent="0.3">
      <c r="H36" s="8">
        <v>303</v>
      </c>
      <c r="I36" s="5">
        <v>5832.0436000000027</v>
      </c>
      <c r="N36" s="8">
        <v>109</v>
      </c>
      <c r="O36" s="5">
        <v>121473.48950000001</v>
      </c>
    </row>
    <row r="37" spans="1:15" x14ac:dyDescent="0.3">
      <c r="H37" s="8">
        <v>312</v>
      </c>
      <c r="I37" s="5">
        <v>5751.2324999999992</v>
      </c>
      <c r="N37" s="8">
        <v>110</v>
      </c>
      <c r="O37" s="5">
        <v>110168.5923</v>
      </c>
    </row>
    <row r="38" spans="1:15" x14ac:dyDescent="0.3">
      <c r="H38" s="8">
        <v>318</v>
      </c>
      <c r="I38" s="5">
        <v>4864.2955999999995</v>
      </c>
      <c r="N38" s="8" t="s">
        <v>102</v>
      </c>
      <c r="O38" s="5">
        <v>1052898.3597999993</v>
      </c>
    </row>
    <row r="39" spans="1:15" x14ac:dyDescent="0.3">
      <c r="H39" s="8">
        <v>313</v>
      </c>
      <c r="I39" s="5">
        <v>3033.9509999999996</v>
      </c>
    </row>
    <row r="40" spans="1:15" x14ac:dyDescent="0.3">
      <c r="H40" s="8">
        <v>309</v>
      </c>
      <c r="I40" s="5">
        <v>2814.3777</v>
      </c>
    </row>
    <row r="41" spans="1:15" x14ac:dyDescent="0.3">
      <c r="H41" s="8">
        <v>305</v>
      </c>
      <c r="I41" s="5">
        <v>1664.2760000000019</v>
      </c>
    </row>
    <row r="42" spans="1:15" x14ac:dyDescent="0.3">
      <c r="H42" s="8">
        <v>304</v>
      </c>
      <c r="I42" s="5">
        <v>1114.7009000000007</v>
      </c>
    </row>
    <row r="43" spans="1:15" x14ac:dyDescent="0.3">
      <c r="H43" s="8">
        <v>314</v>
      </c>
      <c r="I43" s="5">
        <v>304.76139999999714</v>
      </c>
    </row>
    <row r="44" spans="1:15" x14ac:dyDescent="0.3">
      <c r="A44" s="7" t="s">
        <v>89</v>
      </c>
      <c r="B44" s="5" t="s">
        <v>103</v>
      </c>
      <c r="H44" s="8">
        <v>316</v>
      </c>
      <c r="I44" s="5">
        <v>-1749.0595999999957</v>
      </c>
    </row>
    <row r="45" spans="1:15" x14ac:dyDescent="0.3">
      <c r="A45" s="8" t="s">
        <v>46</v>
      </c>
      <c r="B45" s="5">
        <v>47367.396000000008</v>
      </c>
      <c r="H45" s="8">
        <v>308</v>
      </c>
      <c r="I45" s="5">
        <v>-2400.8484999999941</v>
      </c>
      <c r="N45" s="7" t="s">
        <v>89</v>
      </c>
      <c r="O45" s="6" t="s">
        <v>109</v>
      </c>
    </row>
    <row r="46" spans="1:15" x14ac:dyDescent="0.3">
      <c r="A46" s="8" t="s">
        <v>49</v>
      </c>
      <c r="B46" s="5">
        <v>115406.94430000006</v>
      </c>
      <c r="H46" s="8">
        <v>315</v>
      </c>
      <c r="I46" s="5">
        <v>-3363.0519999999992</v>
      </c>
      <c r="N46" s="8">
        <v>101</v>
      </c>
      <c r="O46" s="6">
        <v>0.14670212765957449</v>
      </c>
    </row>
    <row r="47" spans="1:15" x14ac:dyDescent="0.3">
      <c r="A47" s="8" t="s">
        <v>52</v>
      </c>
      <c r="B47" s="5">
        <v>25375.116799999996</v>
      </c>
      <c r="H47" s="8">
        <v>320</v>
      </c>
      <c r="I47" s="5">
        <v>-3582.8373999999963</v>
      </c>
      <c r="N47" s="8">
        <v>102</v>
      </c>
      <c r="O47" s="6">
        <v>0.14518518518518522</v>
      </c>
    </row>
    <row r="48" spans="1:15" x14ac:dyDescent="0.3">
      <c r="A48" s="8" t="s">
        <v>45</v>
      </c>
      <c r="B48" s="5">
        <v>363865.02119999984</v>
      </c>
      <c r="H48" s="8">
        <v>302</v>
      </c>
      <c r="I48" s="5">
        <v>-5992.3608999999915</v>
      </c>
      <c r="N48" s="8">
        <v>103</v>
      </c>
      <c r="O48" s="6">
        <v>0.14053571428571426</v>
      </c>
    </row>
    <row r="49" spans="1:15" x14ac:dyDescent="0.3">
      <c r="A49" s="8" t="s">
        <v>51</v>
      </c>
      <c r="B49" s="5">
        <v>74675.191399999996</v>
      </c>
      <c r="H49" s="8" t="s">
        <v>102</v>
      </c>
      <c r="I49" s="5">
        <v>73344.65980000011</v>
      </c>
      <c r="N49" s="8">
        <v>104</v>
      </c>
      <c r="O49" s="6">
        <v>0.14000000000000007</v>
      </c>
    </row>
    <row r="50" spans="1:15" x14ac:dyDescent="0.3">
      <c r="A50" s="8" t="s">
        <v>48</v>
      </c>
      <c r="B50" s="5">
        <v>61153.09770000002</v>
      </c>
      <c r="N50" s="8">
        <v>105</v>
      </c>
      <c r="O50" s="6">
        <v>0.149622641509434</v>
      </c>
    </row>
    <row r="51" spans="1:15" x14ac:dyDescent="0.3">
      <c r="A51" s="8" t="s">
        <v>47</v>
      </c>
      <c r="B51" s="5">
        <v>62866.551899999984</v>
      </c>
      <c r="N51" s="8">
        <v>106</v>
      </c>
      <c r="O51" s="6">
        <v>0.16682926829268302</v>
      </c>
    </row>
    <row r="52" spans="1:15" x14ac:dyDescent="0.3">
      <c r="A52" s="8" t="s">
        <v>43</v>
      </c>
      <c r="B52" s="5">
        <v>89026.308100000009</v>
      </c>
      <c r="N52" s="8">
        <v>107</v>
      </c>
      <c r="O52" s="6">
        <v>0.17717391304347832</v>
      </c>
    </row>
    <row r="53" spans="1:15" x14ac:dyDescent="0.3">
      <c r="A53" s="8" t="s">
        <v>44</v>
      </c>
      <c r="B53" s="5">
        <v>183400.78139999995</v>
      </c>
      <c r="N53" s="8">
        <v>108</v>
      </c>
      <c r="O53" s="6">
        <v>0.1330612244897959</v>
      </c>
    </row>
    <row r="54" spans="1:15" x14ac:dyDescent="0.3">
      <c r="A54" s="8" t="s">
        <v>50</v>
      </c>
      <c r="B54" s="5">
        <v>29761.951000000005</v>
      </c>
      <c r="N54" s="8">
        <v>109</v>
      </c>
      <c r="O54" s="6">
        <v>0.16669642857142852</v>
      </c>
    </row>
    <row r="55" spans="1:15" x14ac:dyDescent="0.3">
      <c r="A55" s="8" t="s">
        <v>102</v>
      </c>
      <c r="B55" s="5">
        <v>1052898.3597999993</v>
      </c>
      <c r="N55" s="8">
        <v>110</v>
      </c>
      <c r="O55" s="6">
        <v>0.14421568627450973</v>
      </c>
    </row>
    <row r="56" spans="1:15" x14ac:dyDescent="0.3">
      <c r="H56" s="7" t="s">
        <v>89</v>
      </c>
      <c r="I56" s="5" t="s">
        <v>113</v>
      </c>
      <c r="N56" s="8" t="s">
        <v>102</v>
      </c>
      <c r="O56" s="6">
        <v>0.15063000000000026</v>
      </c>
    </row>
    <row r="57" spans="1:15" x14ac:dyDescent="0.3">
      <c r="H57" s="8">
        <v>302</v>
      </c>
      <c r="I57" s="5">
        <v>7500.9899250000017</v>
      </c>
    </row>
    <row r="58" spans="1:15" x14ac:dyDescent="0.3">
      <c r="H58" s="9">
        <v>2021</v>
      </c>
      <c r="I58" s="5">
        <v>1209.3331999999998</v>
      </c>
    </row>
    <row r="59" spans="1:15" x14ac:dyDescent="0.3">
      <c r="H59" s="9">
        <v>2022</v>
      </c>
      <c r="I59" s="5">
        <v>5951.6090250000007</v>
      </c>
    </row>
    <row r="60" spans="1:15" x14ac:dyDescent="0.3">
      <c r="H60" s="9">
        <v>2023</v>
      </c>
      <c r="I60" s="5">
        <v>3854.286000000001</v>
      </c>
    </row>
    <row r="61" spans="1:15" x14ac:dyDescent="0.3">
      <c r="A61" t="s">
        <v>115</v>
      </c>
      <c r="H61" s="8">
        <v>308</v>
      </c>
      <c r="I61" s="5">
        <v>6090.9292916666673</v>
      </c>
    </row>
    <row r="62" spans="1:15" x14ac:dyDescent="0.3">
      <c r="A62" s="5">
        <v>1052898.3597999993</v>
      </c>
      <c r="H62" s="9">
        <v>2021</v>
      </c>
      <c r="I62" s="5">
        <v>1425.3433</v>
      </c>
    </row>
    <row r="63" spans="1:15" x14ac:dyDescent="0.3">
      <c r="H63" s="9">
        <v>2022</v>
      </c>
      <c r="I63" s="5">
        <v>4560.8718500000004</v>
      </c>
    </row>
    <row r="64" spans="1:15" x14ac:dyDescent="0.3">
      <c r="H64" s="9">
        <v>2023</v>
      </c>
      <c r="I64" s="5">
        <v>2766.2998000000002</v>
      </c>
    </row>
    <row r="65" spans="1:9" x14ac:dyDescent="0.3">
      <c r="A65" t="s">
        <v>116</v>
      </c>
      <c r="H65" s="8">
        <v>315</v>
      </c>
      <c r="I65" s="5">
        <v>4657.0873333333329</v>
      </c>
    </row>
    <row r="66" spans="1:9" x14ac:dyDescent="0.3">
      <c r="A66" s="16">
        <v>4971</v>
      </c>
      <c r="H66" s="9">
        <v>2021</v>
      </c>
      <c r="I66" s="5">
        <v>1087.4862444444445</v>
      </c>
    </row>
    <row r="67" spans="1:9" x14ac:dyDescent="0.3">
      <c r="H67" s="9">
        <v>2022</v>
      </c>
      <c r="I67" s="5">
        <v>3073.4209499999997</v>
      </c>
    </row>
    <row r="68" spans="1:9" x14ac:dyDescent="0.3">
      <c r="H68" s="9">
        <v>2023</v>
      </c>
      <c r="I68" s="5">
        <v>4608.3102000000008</v>
      </c>
    </row>
    <row r="69" spans="1:9" x14ac:dyDescent="0.3">
      <c r="A69" t="s">
        <v>117</v>
      </c>
      <c r="H69" s="8">
        <v>316</v>
      </c>
      <c r="I69" s="5">
        <v>6162.4700333333349</v>
      </c>
    </row>
    <row r="70" spans="1:9" x14ac:dyDescent="0.3">
      <c r="A70" s="5">
        <v>73344.65980000011</v>
      </c>
      <c r="H70" s="9">
        <v>2021</v>
      </c>
      <c r="I70" s="5">
        <v>993.24595555555561</v>
      </c>
    </row>
    <row r="71" spans="1:9" x14ac:dyDescent="0.3">
      <c r="H71" s="9">
        <v>2022</v>
      </c>
      <c r="I71" s="5">
        <v>4983.3551083333341</v>
      </c>
    </row>
    <row r="72" spans="1:9" x14ac:dyDescent="0.3">
      <c r="H72" s="9">
        <v>2023</v>
      </c>
      <c r="I72" s="5">
        <v>2605.08275</v>
      </c>
    </row>
    <row r="73" spans="1:9" x14ac:dyDescent="0.3">
      <c r="A73" t="s">
        <v>118</v>
      </c>
      <c r="H73" s="8">
        <v>320</v>
      </c>
      <c r="I73" s="5">
        <v>6377.0277166666683</v>
      </c>
    </row>
    <row r="74" spans="1:9" x14ac:dyDescent="0.3">
      <c r="A74" s="5">
        <v>2537.1044814457814</v>
      </c>
      <c r="H74" s="9">
        <v>2021</v>
      </c>
      <c r="I74" s="5">
        <v>1182.5880333333332</v>
      </c>
    </row>
    <row r="75" spans="1:9" x14ac:dyDescent="0.3">
      <c r="H75" s="9">
        <v>2022</v>
      </c>
      <c r="I75" s="5">
        <v>4638.0384249999997</v>
      </c>
    </row>
    <row r="76" spans="1:9" x14ac:dyDescent="0.3">
      <c r="H76" s="9">
        <v>2023</v>
      </c>
      <c r="I76" s="5">
        <v>5112.2896000000001</v>
      </c>
    </row>
    <row r="77" spans="1:9" x14ac:dyDescent="0.3">
      <c r="H77" s="8" t="s">
        <v>102</v>
      </c>
      <c r="I77" s="5">
        <v>30788.504299999975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workbookViewId="0">
      <selection activeCell="A1002" sqref="A1002"/>
    </sheetView>
  </sheetViews>
  <sheetFormatPr defaultRowHeight="14.4" x14ac:dyDescent="0.3"/>
  <cols>
    <col min="1" max="1" width="10.33203125" style="3" bestFit="1" customWidth="1"/>
    <col min="2" max="2" width="9.109375" customWidth="1"/>
    <col min="3" max="3" width="14.33203125" customWidth="1"/>
    <col min="5" max="6" width="13" customWidth="1"/>
    <col min="7" max="7" width="13.88671875" bestFit="1" customWidth="1"/>
    <col min="8" max="8" width="14.21875" bestFit="1" customWidth="1"/>
    <col min="9" max="9" width="13.77734375" style="5" bestFit="1" customWidth="1"/>
    <col min="10" max="10" width="12.77734375" style="6" bestFit="1" customWidth="1"/>
    <col min="11" max="11" width="8.88671875" style="5"/>
    <col min="12" max="12" width="10.44140625" customWidth="1"/>
    <col min="16" max="16" width="9" bestFit="1" customWidth="1"/>
    <col min="17" max="17" width="9.109375" bestFit="1" customWidth="1"/>
    <col min="20" max="20" width="16.44140625" bestFit="1" customWidth="1"/>
  </cols>
  <sheetData>
    <row r="1" spans="1:20" s="8" customFormat="1" x14ac:dyDescent="0.3">
      <c r="A1" s="11" t="s">
        <v>0</v>
      </c>
      <c r="B1" s="12" t="s">
        <v>1</v>
      </c>
      <c r="C1" s="12" t="s">
        <v>85</v>
      </c>
      <c r="D1" s="12" t="s">
        <v>2</v>
      </c>
      <c r="E1" s="13" t="s">
        <v>84</v>
      </c>
      <c r="F1" s="13" t="s">
        <v>59</v>
      </c>
      <c r="G1" s="12" t="s">
        <v>3</v>
      </c>
      <c r="H1" s="12" t="s">
        <v>35</v>
      </c>
      <c r="I1" s="12" t="s">
        <v>107</v>
      </c>
      <c r="J1" s="12" t="s">
        <v>4</v>
      </c>
      <c r="K1" s="14" t="s">
        <v>111</v>
      </c>
      <c r="L1" s="14" t="s">
        <v>5</v>
      </c>
      <c r="M1" s="15" t="s">
        <v>6</v>
      </c>
      <c r="N1" s="12" t="s">
        <v>7</v>
      </c>
      <c r="O1" s="13" t="s">
        <v>82</v>
      </c>
      <c r="P1" s="13" t="s">
        <v>83</v>
      </c>
      <c r="Q1" s="13" t="s">
        <v>110</v>
      </c>
      <c r="R1" s="13" t="s">
        <v>86</v>
      </c>
      <c r="S1" s="13" t="s">
        <v>87</v>
      </c>
      <c r="T1" s="13" t="s">
        <v>88</v>
      </c>
    </row>
    <row r="2" spans="1:20" x14ac:dyDescent="0.3">
      <c r="A2" s="3">
        <v>44301</v>
      </c>
      <c r="B2">
        <v>104</v>
      </c>
      <c r="C2" s="3">
        <f>_xlfn.XLOOKUP(B2,Stores!A:A,Stores!E:E)</f>
        <v>44297</v>
      </c>
      <c r="D2">
        <v>209</v>
      </c>
      <c r="E2" s="3">
        <f>_xlfn.XLOOKUP(D2,SalesReps!A:A,SalesReps!D:D)</f>
        <v>44218</v>
      </c>
      <c r="F2" s="3" t="str">
        <f>_xlfn.XLOOKUP(Table1[[#This Row],[RepID]],SalesReps!A:A,SalesReps!E:E)</f>
        <v>Left</v>
      </c>
      <c r="G2">
        <v>305</v>
      </c>
      <c r="H2" t="str">
        <f>_xlfn.XLOOKUP(Table1[[#This Row],[ProductID]],Products!A:A,Products!B:B)</f>
        <v>Electronics</v>
      </c>
      <c r="I2" t="str">
        <f>_xlfn.XLOOKUP(Table1[[#This Row],[ProductID]],Products!A:A,Products!C:C)</f>
        <v>Accessories</v>
      </c>
      <c r="J2">
        <v>2</v>
      </c>
      <c r="K2" s="5">
        <f>_xlfn.XLOOKUP(Table1[[#This Row],[ProductID]],Products!A:A,Products!E:E)</f>
        <v>275.32</v>
      </c>
      <c r="L2" s="5">
        <v>305.91000000000003</v>
      </c>
      <c r="M2" s="6">
        <v>0.1</v>
      </c>
      <c r="N2" t="s">
        <v>10</v>
      </c>
      <c r="O2" s="5">
        <f t="shared" ref="O2:O65" si="0">L2*(1-M2)</f>
        <v>275.31900000000002</v>
      </c>
      <c r="P2" s="5">
        <f t="shared" ref="P2:P65" si="1">O2*J2</f>
        <v>550.63800000000003</v>
      </c>
      <c r="Q2" s="5">
        <f>Table1[[#This Row],[Quantity]]*(Table1[[#This Row],[Saleprice]]-Table1[[#This Row],[Costprice]])</f>
        <v>-1.9999999999527063E-3</v>
      </c>
      <c r="R2">
        <f t="shared" ref="R2:R65" si="2">YEAR(A2)</f>
        <v>2021</v>
      </c>
      <c r="S2">
        <f t="shared" ref="S2:S65" si="3">MONTH(A2)</f>
        <v>4</v>
      </c>
      <c r="T2" t="str">
        <f t="shared" ref="T2:T65" si="4">TEXT(A2,"MMMM")</f>
        <v>April</v>
      </c>
    </row>
    <row r="3" spans="1:20" x14ac:dyDescent="0.3">
      <c r="A3" s="3">
        <v>44303</v>
      </c>
      <c r="B3">
        <v>104</v>
      </c>
      <c r="C3" s="3">
        <f>_xlfn.XLOOKUP(B3,Stores!A:A,Stores!E:E)</f>
        <v>44297</v>
      </c>
      <c r="D3">
        <v>209</v>
      </c>
      <c r="E3" s="3">
        <f>_xlfn.XLOOKUP(D3,SalesReps!A:A,SalesReps!D:D)</f>
        <v>44218</v>
      </c>
      <c r="F3" s="3" t="str">
        <f>_xlfn.XLOOKUP(Table1[[#This Row],[RepID]],SalesReps!A:A,SalesReps!E:E)</f>
        <v>Left</v>
      </c>
      <c r="G3">
        <v>301</v>
      </c>
      <c r="H3" t="str">
        <f>_xlfn.XLOOKUP(Table1[[#This Row],[ProductID]],Products!A:A,Products!B:B)</f>
        <v>Electronics</v>
      </c>
      <c r="I3" t="str">
        <f>_xlfn.XLOOKUP(Table1[[#This Row],[ProductID]],Products!A:A,Products!C:C)</f>
        <v>Mobiles</v>
      </c>
      <c r="J3">
        <v>2</v>
      </c>
      <c r="K3" s="5">
        <f>_xlfn.XLOOKUP(Table1[[#This Row],[ProductID]],Products!A:A,Products!E:E)</f>
        <v>159.16</v>
      </c>
      <c r="L3" s="5">
        <v>201.7</v>
      </c>
      <c r="M3" s="6">
        <v>0.24</v>
      </c>
      <c r="N3" t="s">
        <v>10</v>
      </c>
      <c r="O3" s="5">
        <f t="shared" si="0"/>
        <v>153.292</v>
      </c>
      <c r="P3" s="5">
        <f t="shared" si="1"/>
        <v>306.584</v>
      </c>
      <c r="Q3" s="5">
        <f>Table1[[#This Row],[Quantity]]*(Table1[[#This Row],[Saleprice]]-Table1[[#This Row],[Costprice]])</f>
        <v>-11.73599999999999</v>
      </c>
      <c r="R3">
        <f t="shared" si="2"/>
        <v>2021</v>
      </c>
      <c r="S3">
        <f t="shared" si="3"/>
        <v>4</v>
      </c>
      <c r="T3" t="str">
        <f t="shared" si="4"/>
        <v>April</v>
      </c>
    </row>
    <row r="4" spans="1:20" x14ac:dyDescent="0.3">
      <c r="A4" s="3">
        <v>44304</v>
      </c>
      <c r="B4">
        <v>104</v>
      </c>
      <c r="C4" s="3">
        <f>_xlfn.XLOOKUP(B4,Stores!A:A,Stores!E:E)</f>
        <v>44297</v>
      </c>
      <c r="D4">
        <v>209</v>
      </c>
      <c r="E4" s="3">
        <f>_xlfn.XLOOKUP(D4,SalesReps!A:A,SalesReps!D:D)</f>
        <v>44218</v>
      </c>
      <c r="F4" s="3" t="str">
        <f>_xlfn.XLOOKUP(Table1[[#This Row],[RepID]],SalesReps!A:A,SalesReps!E:E)</f>
        <v>Left</v>
      </c>
      <c r="G4">
        <v>301</v>
      </c>
      <c r="H4" t="str">
        <f>_xlfn.XLOOKUP(Table1[[#This Row],[ProductID]],Products!A:A,Products!B:B)</f>
        <v>Electronics</v>
      </c>
      <c r="I4" t="str">
        <f>_xlfn.XLOOKUP(Table1[[#This Row],[ProductID]],Products!A:A,Products!C:C)</f>
        <v>Mobiles</v>
      </c>
      <c r="J4">
        <v>1</v>
      </c>
      <c r="K4" s="5">
        <f>_xlfn.XLOOKUP(Table1[[#This Row],[ProductID]],Products!A:A,Products!E:E)</f>
        <v>159.16</v>
      </c>
      <c r="L4" s="5">
        <v>201.7</v>
      </c>
      <c r="M4" s="6">
        <v>0.24</v>
      </c>
      <c r="N4" t="s">
        <v>10</v>
      </c>
      <c r="O4" s="5">
        <f t="shared" si="0"/>
        <v>153.292</v>
      </c>
      <c r="P4" s="5">
        <f t="shared" si="1"/>
        <v>153.292</v>
      </c>
      <c r="Q4" s="5">
        <f>Table1[[#This Row],[Quantity]]*(Table1[[#This Row],[Saleprice]]-Table1[[#This Row],[Costprice]])</f>
        <v>-5.867999999999995</v>
      </c>
      <c r="R4">
        <f t="shared" si="2"/>
        <v>2021</v>
      </c>
      <c r="S4">
        <f t="shared" si="3"/>
        <v>4</v>
      </c>
      <c r="T4" t="str">
        <f t="shared" si="4"/>
        <v>April</v>
      </c>
    </row>
    <row r="5" spans="1:20" x14ac:dyDescent="0.3">
      <c r="A5" s="3">
        <v>44304</v>
      </c>
      <c r="B5">
        <v>104</v>
      </c>
      <c r="C5" s="3">
        <f>_xlfn.XLOOKUP(B5,Stores!A:A,Stores!E:E)</f>
        <v>44297</v>
      </c>
      <c r="D5">
        <v>209</v>
      </c>
      <c r="E5" s="3">
        <f>_xlfn.XLOOKUP(D5,SalesReps!A:A,SalesReps!D:D)</f>
        <v>44218</v>
      </c>
      <c r="F5" s="3" t="str">
        <f>_xlfn.XLOOKUP(Table1[[#This Row],[RepID]],SalesReps!A:A,SalesReps!E:E)</f>
        <v>Left</v>
      </c>
      <c r="G5">
        <v>314</v>
      </c>
      <c r="H5" t="str">
        <f>_xlfn.XLOOKUP(Table1[[#This Row],[ProductID]],Products!A:A,Products!B:B)</f>
        <v>Clothing</v>
      </c>
      <c r="I5" t="str">
        <f>_xlfn.XLOOKUP(Table1[[#This Row],[ProductID]],Products!A:A,Products!C:C)</f>
        <v>Kids</v>
      </c>
      <c r="J5">
        <v>4</v>
      </c>
      <c r="K5" s="5">
        <f>_xlfn.XLOOKUP(Table1[[#This Row],[ProductID]],Products!A:A,Products!E:E)</f>
        <v>276.47000000000003</v>
      </c>
      <c r="L5" s="5">
        <v>298.98</v>
      </c>
      <c r="M5" s="6">
        <v>7.0000000000000007E-2</v>
      </c>
      <c r="N5" t="s">
        <v>10</v>
      </c>
      <c r="O5" s="5">
        <f t="shared" si="0"/>
        <v>278.0514</v>
      </c>
      <c r="P5" s="5">
        <f t="shared" si="1"/>
        <v>1112.2056</v>
      </c>
      <c r="Q5" s="5">
        <f>Table1[[#This Row],[Quantity]]*(Table1[[#This Row],[Saleprice]]-Table1[[#This Row],[Costprice]])</f>
        <v>6.3255999999998949</v>
      </c>
      <c r="R5">
        <f t="shared" si="2"/>
        <v>2021</v>
      </c>
      <c r="S5">
        <f t="shared" si="3"/>
        <v>4</v>
      </c>
      <c r="T5" t="str">
        <f t="shared" si="4"/>
        <v>April</v>
      </c>
    </row>
    <row r="6" spans="1:20" x14ac:dyDescent="0.3">
      <c r="A6" s="3">
        <v>44307</v>
      </c>
      <c r="B6">
        <v>104</v>
      </c>
      <c r="C6" s="3">
        <f>_xlfn.XLOOKUP(B6,Stores!A:A,Stores!E:E)</f>
        <v>44297</v>
      </c>
      <c r="D6">
        <v>209</v>
      </c>
      <c r="E6" s="3">
        <f>_xlfn.XLOOKUP(D6,SalesReps!A:A,SalesReps!D:D)</f>
        <v>44218</v>
      </c>
      <c r="F6" s="3" t="str">
        <f>_xlfn.XLOOKUP(Table1[[#This Row],[RepID]],SalesReps!A:A,SalesReps!E:E)</f>
        <v>Left</v>
      </c>
      <c r="G6">
        <v>306</v>
      </c>
      <c r="H6" t="str">
        <f>_xlfn.XLOOKUP(Table1[[#This Row],[ProductID]],Products!A:A,Products!B:B)</f>
        <v>Clothing</v>
      </c>
      <c r="I6" t="str">
        <f>_xlfn.XLOOKUP(Table1[[#This Row],[ProductID]],Products!A:A,Products!C:C)</f>
        <v>Men</v>
      </c>
      <c r="J6">
        <v>5</v>
      </c>
      <c r="K6" s="5">
        <f>_xlfn.XLOOKUP(Table1[[#This Row],[ProductID]],Products!A:A,Products!E:E)</f>
        <v>185.69</v>
      </c>
      <c r="L6" s="5">
        <v>241.13</v>
      </c>
      <c r="M6" s="6">
        <v>0.14000000000000001</v>
      </c>
      <c r="N6" t="s">
        <v>10</v>
      </c>
      <c r="O6" s="5">
        <f t="shared" si="0"/>
        <v>207.37179999999998</v>
      </c>
      <c r="P6" s="5">
        <f t="shared" si="1"/>
        <v>1036.8589999999999</v>
      </c>
      <c r="Q6" s="5">
        <f>Table1[[#This Row],[Quantity]]*(Table1[[#This Row],[Saleprice]]-Table1[[#This Row],[Costprice]])</f>
        <v>108.40899999999991</v>
      </c>
      <c r="R6">
        <f t="shared" si="2"/>
        <v>2021</v>
      </c>
      <c r="S6">
        <f t="shared" si="3"/>
        <v>4</v>
      </c>
      <c r="T6" t="str">
        <f t="shared" si="4"/>
        <v>April</v>
      </c>
    </row>
    <row r="7" spans="1:20" x14ac:dyDescent="0.3">
      <c r="A7" s="3">
        <v>44308</v>
      </c>
      <c r="B7">
        <v>104</v>
      </c>
      <c r="C7" s="3">
        <f>_xlfn.XLOOKUP(B7,Stores!A:A,Stores!E:E)</f>
        <v>44297</v>
      </c>
      <c r="D7">
        <v>209</v>
      </c>
      <c r="E7" s="3">
        <f>_xlfn.XLOOKUP(D7,SalesReps!A:A,SalesReps!D:D)</f>
        <v>44218</v>
      </c>
      <c r="F7" s="3" t="str">
        <f>_xlfn.XLOOKUP(Table1[[#This Row],[RepID]],SalesReps!A:A,SalesReps!E:E)</f>
        <v>Left</v>
      </c>
      <c r="G7">
        <v>311</v>
      </c>
      <c r="H7" t="str">
        <f>_xlfn.XLOOKUP(Table1[[#This Row],[ProductID]],Products!A:A,Products!B:B)</f>
        <v>Home &amp; Kitchen</v>
      </c>
      <c r="I7" t="str">
        <f>_xlfn.XLOOKUP(Table1[[#This Row],[ProductID]],Products!A:A,Products!C:C)</f>
        <v>Furniture</v>
      </c>
      <c r="J7">
        <v>3</v>
      </c>
      <c r="K7" s="5">
        <f>_xlfn.XLOOKUP(Table1[[#This Row],[ProductID]],Products!A:A,Products!E:E)</f>
        <v>16.23</v>
      </c>
      <c r="L7" s="5">
        <v>46.74</v>
      </c>
      <c r="M7" s="6">
        <v>0.15</v>
      </c>
      <c r="N7" t="s">
        <v>10</v>
      </c>
      <c r="O7" s="5">
        <f t="shared" si="0"/>
        <v>39.728999999999999</v>
      </c>
      <c r="P7" s="5">
        <f t="shared" si="1"/>
        <v>119.187</v>
      </c>
      <c r="Q7" s="5">
        <f>Table1[[#This Row],[Quantity]]*(Table1[[#This Row],[Saleprice]]-Table1[[#This Row],[Costprice]])</f>
        <v>70.497</v>
      </c>
      <c r="R7">
        <f t="shared" si="2"/>
        <v>2021</v>
      </c>
      <c r="S7">
        <f t="shared" si="3"/>
        <v>4</v>
      </c>
      <c r="T7" t="str">
        <f t="shared" si="4"/>
        <v>April</v>
      </c>
    </row>
    <row r="8" spans="1:20" x14ac:dyDescent="0.3">
      <c r="A8" s="3">
        <v>44315</v>
      </c>
      <c r="B8">
        <v>104</v>
      </c>
      <c r="C8" s="3">
        <f>_xlfn.XLOOKUP(B8,Stores!A:A,Stores!E:E)</f>
        <v>44297</v>
      </c>
      <c r="D8">
        <v>209</v>
      </c>
      <c r="E8" s="3">
        <f>_xlfn.XLOOKUP(D8,SalesReps!A:A,SalesReps!D:D)</f>
        <v>44218</v>
      </c>
      <c r="F8" s="3" t="str">
        <f>_xlfn.XLOOKUP(Table1[[#This Row],[RepID]],SalesReps!A:A,SalesReps!E:E)</f>
        <v>Left</v>
      </c>
      <c r="G8">
        <v>315</v>
      </c>
      <c r="H8" t="str">
        <f>_xlfn.XLOOKUP(Table1[[#This Row],[ProductID]],Products!A:A,Products!B:B)</f>
        <v>Toys</v>
      </c>
      <c r="I8" t="str">
        <f>_xlfn.XLOOKUP(Table1[[#This Row],[ProductID]],Products!A:A,Products!C:C)</f>
        <v>Board Games</v>
      </c>
      <c r="J8">
        <v>7</v>
      </c>
      <c r="K8" s="5">
        <f>_xlfn.XLOOKUP(Table1[[#This Row],[ProductID]],Products!A:A,Products!E:E)</f>
        <v>247.9</v>
      </c>
      <c r="L8" s="5">
        <v>285.38</v>
      </c>
      <c r="M8" s="6">
        <v>7.0000000000000007E-2</v>
      </c>
      <c r="N8" t="s">
        <v>10</v>
      </c>
      <c r="O8" s="5">
        <f t="shared" si="0"/>
        <v>265.40339999999998</v>
      </c>
      <c r="P8" s="5">
        <f t="shared" si="1"/>
        <v>1857.8237999999999</v>
      </c>
      <c r="Q8" s="5">
        <f>Table1[[#This Row],[Quantity]]*(Table1[[#This Row],[Saleprice]]-Table1[[#This Row],[Costprice]])</f>
        <v>122.5237999999998</v>
      </c>
      <c r="R8">
        <f t="shared" si="2"/>
        <v>2021</v>
      </c>
      <c r="S8">
        <f t="shared" si="3"/>
        <v>4</v>
      </c>
      <c r="T8" t="str">
        <f t="shared" si="4"/>
        <v>April</v>
      </c>
    </row>
    <row r="9" spans="1:20" x14ac:dyDescent="0.3">
      <c r="A9" s="3">
        <v>44316</v>
      </c>
      <c r="B9">
        <v>104</v>
      </c>
      <c r="C9" s="3">
        <f>_xlfn.XLOOKUP(B9,Stores!A:A,Stores!E:E)</f>
        <v>44297</v>
      </c>
      <c r="D9">
        <v>209</v>
      </c>
      <c r="E9" s="3">
        <f>_xlfn.XLOOKUP(D9,SalesReps!A:A,SalesReps!D:D)</f>
        <v>44218</v>
      </c>
      <c r="F9" s="3" t="str">
        <f>_xlfn.XLOOKUP(Table1[[#This Row],[RepID]],SalesReps!A:A,SalesReps!E:E)</f>
        <v>Left</v>
      </c>
      <c r="G9">
        <v>317</v>
      </c>
      <c r="H9" t="str">
        <f>_xlfn.XLOOKUP(Table1[[#This Row],[ProductID]],Products!A:A,Products!B:B)</f>
        <v>Toys</v>
      </c>
      <c r="I9" t="str">
        <f>_xlfn.XLOOKUP(Table1[[#This Row],[ProductID]],Products!A:A,Products!C:C)</f>
        <v>Educational</v>
      </c>
      <c r="J9">
        <v>2</v>
      </c>
      <c r="K9" s="5">
        <f>_xlfn.XLOOKUP(Table1[[#This Row],[ProductID]],Products!A:A,Products!E:E)</f>
        <v>77.61</v>
      </c>
      <c r="L9" s="5">
        <v>141.34</v>
      </c>
      <c r="M9" s="6">
        <v>0.12</v>
      </c>
      <c r="N9" t="s">
        <v>10</v>
      </c>
      <c r="O9" s="5">
        <f t="shared" si="0"/>
        <v>124.3792</v>
      </c>
      <c r="P9" s="5">
        <f t="shared" si="1"/>
        <v>248.75839999999999</v>
      </c>
      <c r="Q9" s="5">
        <f>Table1[[#This Row],[Quantity]]*(Table1[[#This Row],[Saleprice]]-Table1[[#This Row],[Costprice]])</f>
        <v>93.538399999999996</v>
      </c>
      <c r="R9">
        <f t="shared" si="2"/>
        <v>2021</v>
      </c>
      <c r="S9">
        <f t="shared" si="3"/>
        <v>4</v>
      </c>
      <c r="T9" t="str">
        <f t="shared" si="4"/>
        <v>April</v>
      </c>
    </row>
    <row r="10" spans="1:20" x14ac:dyDescent="0.3">
      <c r="A10" s="3">
        <v>44317</v>
      </c>
      <c r="B10">
        <v>104</v>
      </c>
      <c r="C10" s="3">
        <f>_xlfn.XLOOKUP(B10,Stores!A:A,Stores!E:E)</f>
        <v>44297</v>
      </c>
      <c r="D10">
        <v>209</v>
      </c>
      <c r="E10" s="3">
        <f>_xlfn.XLOOKUP(D10,SalesReps!A:A,SalesReps!D:D)</f>
        <v>44218</v>
      </c>
      <c r="F10" s="3" t="str">
        <f>_xlfn.XLOOKUP(Table1[[#This Row],[RepID]],SalesReps!A:A,SalesReps!E:E)</f>
        <v>Left</v>
      </c>
      <c r="G10">
        <v>306</v>
      </c>
      <c r="H10" t="str">
        <f>_xlfn.XLOOKUP(Table1[[#This Row],[ProductID]],Products!A:A,Products!B:B)</f>
        <v>Clothing</v>
      </c>
      <c r="I10" t="str">
        <f>_xlfn.XLOOKUP(Table1[[#This Row],[ProductID]],Products!A:A,Products!C:C)</f>
        <v>Men</v>
      </c>
      <c r="J10">
        <v>6</v>
      </c>
      <c r="K10" s="5">
        <f>_xlfn.XLOOKUP(Table1[[#This Row],[ProductID]],Products!A:A,Products!E:E)</f>
        <v>185.69</v>
      </c>
      <c r="L10" s="5">
        <v>241.13</v>
      </c>
      <c r="M10" s="6">
        <v>0.14000000000000001</v>
      </c>
      <c r="N10" t="s">
        <v>10</v>
      </c>
      <c r="O10" s="5">
        <f t="shared" si="0"/>
        <v>207.37179999999998</v>
      </c>
      <c r="P10" s="5">
        <f t="shared" si="1"/>
        <v>1244.2307999999998</v>
      </c>
      <c r="Q10" s="5">
        <f>Table1[[#This Row],[Quantity]]*(Table1[[#This Row],[Saleprice]]-Table1[[#This Row],[Costprice]])</f>
        <v>130.09079999999989</v>
      </c>
      <c r="R10">
        <f t="shared" si="2"/>
        <v>2021</v>
      </c>
      <c r="S10">
        <f t="shared" si="3"/>
        <v>5</v>
      </c>
      <c r="T10" t="str">
        <f t="shared" si="4"/>
        <v>May</v>
      </c>
    </row>
    <row r="11" spans="1:20" x14ac:dyDescent="0.3">
      <c r="A11" s="3">
        <v>44318</v>
      </c>
      <c r="B11">
        <v>104</v>
      </c>
      <c r="C11" s="3">
        <f>_xlfn.XLOOKUP(B11,Stores!A:A,Stores!E:E)</f>
        <v>44297</v>
      </c>
      <c r="D11">
        <v>209</v>
      </c>
      <c r="E11" s="3">
        <f>_xlfn.XLOOKUP(D11,SalesReps!A:A,SalesReps!D:D)</f>
        <v>44218</v>
      </c>
      <c r="F11" s="3" t="str">
        <f>_xlfn.XLOOKUP(Table1[[#This Row],[RepID]],SalesReps!A:A,SalesReps!E:E)</f>
        <v>Left</v>
      </c>
      <c r="G11">
        <v>307</v>
      </c>
      <c r="H11" t="str">
        <f>_xlfn.XLOOKUP(Table1[[#This Row],[ProductID]],Products!A:A,Products!B:B)</f>
        <v>Toys</v>
      </c>
      <c r="I11" t="str">
        <f>_xlfn.XLOOKUP(Table1[[#This Row],[ProductID]],Products!A:A,Products!C:C)</f>
        <v>Outdoor</v>
      </c>
      <c r="J11">
        <v>8</v>
      </c>
      <c r="K11" s="5">
        <f>_xlfn.XLOOKUP(Table1[[#This Row],[ProductID]],Products!A:A,Products!E:E)</f>
        <v>15.17</v>
      </c>
      <c r="L11" s="5">
        <v>97.07</v>
      </c>
      <c r="M11" s="6">
        <v>0.12</v>
      </c>
      <c r="N11" t="s">
        <v>10</v>
      </c>
      <c r="O11" s="5">
        <f t="shared" si="0"/>
        <v>85.421599999999998</v>
      </c>
      <c r="P11" s="5">
        <f t="shared" si="1"/>
        <v>683.37279999999998</v>
      </c>
      <c r="Q11" s="5">
        <f>Table1[[#This Row],[Quantity]]*(Table1[[#This Row],[Saleprice]]-Table1[[#This Row],[Costprice]])</f>
        <v>562.01279999999997</v>
      </c>
      <c r="R11">
        <f t="shared" si="2"/>
        <v>2021</v>
      </c>
      <c r="S11">
        <f t="shared" si="3"/>
        <v>5</v>
      </c>
      <c r="T11" t="str">
        <f t="shared" si="4"/>
        <v>May</v>
      </c>
    </row>
    <row r="12" spans="1:20" x14ac:dyDescent="0.3">
      <c r="A12" s="3">
        <v>44328</v>
      </c>
      <c r="B12">
        <v>104</v>
      </c>
      <c r="C12" s="3">
        <f>_xlfn.XLOOKUP(B12,Stores!A:A,Stores!E:E)</f>
        <v>44297</v>
      </c>
      <c r="D12">
        <v>209</v>
      </c>
      <c r="E12" s="3">
        <f>_xlfn.XLOOKUP(D12,SalesReps!A:A,SalesReps!D:D)</f>
        <v>44218</v>
      </c>
      <c r="F12" s="3" t="str">
        <f>_xlfn.XLOOKUP(Table1[[#This Row],[RepID]],SalesReps!A:A,SalesReps!E:E)</f>
        <v>Left</v>
      </c>
      <c r="G12">
        <v>311</v>
      </c>
      <c r="H12" t="str">
        <f>_xlfn.XLOOKUP(Table1[[#This Row],[ProductID]],Products!A:A,Products!B:B)</f>
        <v>Home &amp; Kitchen</v>
      </c>
      <c r="I12" t="str">
        <f>_xlfn.XLOOKUP(Table1[[#This Row],[ProductID]],Products!A:A,Products!C:C)</f>
        <v>Furniture</v>
      </c>
      <c r="J12">
        <v>4</v>
      </c>
      <c r="K12" s="5">
        <f>_xlfn.XLOOKUP(Table1[[#This Row],[ProductID]],Products!A:A,Products!E:E)</f>
        <v>16.23</v>
      </c>
      <c r="L12" s="5">
        <v>46.74</v>
      </c>
      <c r="M12" s="6">
        <v>0.15</v>
      </c>
      <c r="N12" t="s">
        <v>10</v>
      </c>
      <c r="O12" s="5">
        <f t="shared" si="0"/>
        <v>39.728999999999999</v>
      </c>
      <c r="P12" s="5">
        <f t="shared" si="1"/>
        <v>158.916</v>
      </c>
      <c r="Q12" s="5">
        <f>Table1[[#This Row],[Quantity]]*(Table1[[#This Row],[Saleprice]]-Table1[[#This Row],[Costprice]])</f>
        <v>93.995999999999995</v>
      </c>
      <c r="R12">
        <f t="shared" si="2"/>
        <v>2021</v>
      </c>
      <c r="S12">
        <f t="shared" si="3"/>
        <v>5</v>
      </c>
      <c r="T12" t="str">
        <f t="shared" si="4"/>
        <v>May</v>
      </c>
    </row>
    <row r="13" spans="1:20" x14ac:dyDescent="0.3">
      <c r="A13" s="3">
        <v>44328</v>
      </c>
      <c r="B13">
        <v>104</v>
      </c>
      <c r="C13" s="3">
        <f>_xlfn.XLOOKUP(B13,Stores!A:A,Stores!E:E)</f>
        <v>44297</v>
      </c>
      <c r="D13">
        <v>209</v>
      </c>
      <c r="E13" s="3">
        <f>_xlfn.XLOOKUP(D13,SalesReps!A:A,SalesReps!D:D)</f>
        <v>44218</v>
      </c>
      <c r="F13" s="3" t="str">
        <f>_xlfn.XLOOKUP(Table1[[#This Row],[RepID]],SalesReps!A:A,SalesReps!E:E)</f>
        <v>Left</v>
      </c>
      <c r="G13">
        <v>311</v>
      </c>
      <c r="H13" t="str">
        <f>_xlfn.XLOOKUP(Table1[[#This Row],[ProductID]],Products!A:A,Products!B:B)</f>
        <v>Home &amp; Kitchen</v>
      </c>
      <c r="I13" t="str">
        <f>_xlfn.XLOOKUP(Table1[[#This Row],[ProductID]],Products!A:A,Products!C:C)</f>
        <v>Furniture</v>
      </c>
      <c r="J13">
        <v>1</v>
      </c>
      <c r="K13" s="5">
        <f>_xlfn.XLOOKUP(Table1[[#This Row],[ProductID]],Products!A:A,Products!E:E)</f>
        <v>16.23</v>
      </c>
      <c r="L13" s="5">
        <v>46.74</v>
      </c>
      <c r="M13" s="6">
        <v>0.15</v>
      </c>
      <c r="N13" t="s">
        <v>10</v>
      </c>
      <c r="O13" s="5">
        <f t="shared" si="0"/>
        <v>39.728999999999999</v>
      </c>
      <c r="P13" s="5">
        <f t="shared" si="1"/>
        <v>39.728999999999999</v>
      </c>
      <c r="Q13" s="5">
        <f>Table1[[#This Row],[Quantity]]*(Table1[[#This Row],[Saleprice]]-Table1[[#This Row],[Costprice]])</f>
        <v>23.498999999999999</v>
      </c>
      <c r="R13">
        <f t="shared" si="2"/>
        <v>2021</v>
      </c>
      <c r="S13">
        <f t="shared" si="3"/>
        <v>5</v>
      </c>
      <c r="T13" t="str">
        <f t="shared" si="4"/>
        <v>May</v>
      </c>
    </row>
    <row r="14" spans="1:20" x14ac:dyDescent="0.3">
      <c r="A14" s="3">
        <v>44330</v>
      </c>
      <c r="B14">
        <v>104</v>
      </c>
      <c r="C14" s="3">
        <f>_xlfn.XLOOKUP(B14,Stores!A:A,Stores!E:E)</f>
        <v>44297</v>
      </c>
      <c r="D14">
        <v>209</v>
      </c>
      <c r="E14" s="3">
        <f>_xlfn.XLOOKUP(D14,SalesReps!A:A,SalesReps!D:D)</f>
        <v>44218</v>
      </c>
      <c r="F14" s="3" t="str">
        <f>_xlfn.XLOOKUP(Table1[[#This Row],[RepID]],SalesReps!A:A,SalesReps!E:E)</f>
        <v>Left</v>
      </c>
      <c r="G14">
        <v>312</v>
      </c>
      <c r="H14" t="str">
        <f>_xlfn.XLOOKUP(Table1[[#This Row],[ProductID]],Products!A:A,Products!B:B)</f>
        <v>Toys</v>
      </c>
      <c r="I14" t="str">
        <f>_xlfn.XLOOKUP(Table1[[#This Row],[ProductID]],Products!A:A,Products!C:C)</f>
        <v>Board Games</v>
      </c>
      <c r="J14">
        <v>3</v>
      </c>
      <c r="K14" s="5">
        <f>_xlfn.XLOOKUP(Table1[[#This Row],[ProductID]],Products!A:A,Products!E:E)</f>
        <v>100.05</v>
      </c>
      <c r="L14" s="5">
        <v>163.13999999999999</v>
      </c>
      <c r="M14" s="6">
        <v>7.0000000000000007E-2</v>
      </c>
      <c r="N14" t="s">
        <v>10</v>
      </c>
      <c r="O14" s="5">
        <f t="shared" si="0"/>
        <v>151.72019999999998</v>
      </c>
      <c r="P14" s="5">
        <f t="shared" si="1"/>
        <v>455.16059999999993</v>
      </c>
      <c r="Q14" s="5">
        <f>Table1[[#This Row],[Quantity]]*(Table1[[#This Row],[Saleprice]]-Table1[[#This Row],[Costprice]])</f>
        <v>155.01059999999995</v>
      </c>
      <c r="R14">
        <f t="shared" si="2"/>
        <v>2021</v>
      </c>
      <c r="S14">
        <f t="shared" si="3"/>
        <v>5</v>
      </c>
      <c r="T14" t="str">
        <f t="shared" si="4"/>
        <v>May</v>
      </c>
    </row>
    <row r="15" spans="1:20" x14ac:dyDescent="0.3">
      <c r="A15" s="3">
        <v>44340</v>
      </c>
      <c r="B15">
        <v>104</v>
      </c>
      <c r="C15" s="3">
        <f>_xlfn.XLOOKUP(B15,Stores!A:A,Stores!E:E)</f>
        <v>44297</v>
      </c>
      <c r="D15">
        <v>209</v>
      </c>
      <c r="E15" s="3">
        <f>_xlfn.XLOOKUP(D15,SalesReps!A:A,SalesReps!D:D)</f>
        <v>44218</v>
      </c>
      <c r="F15" s="3" t="str">
        <f>_xlfn.XLOOKUP(Table1[[#This Row],[RepID]],SalesReps!A:A,SalesReps!E:E)</f>
        <v>Left</v>
      </c>
      <c r="G15">
        <v>306</v>
      </c>
      <c r="H15" t="str">
        <f>_xlfn.XLOOKUP(Table1[[#This Row],[ProductID]],Products!A:A,Products!B:B)</f>
        <v>Clothing</v>
      </c>
      <c r="I15" t="str">
        <f>_xlfn.XLOOKUP(Table1[[#This Row],[ProductID]],Products!A:A,Products!C:C)</f>
        <v>Men</v>
      </c>
      <c r="J15">
        <v>5</v>
      </c>
      <c r="K15" s="5">
        <f>_xlfn.XLOOKUP(Table1[[#This Row],[ProductID]],Products!A:A,Products!E:E)</f>
        <v>185.69</v>
      </c>
      <c r="L15" s="5">
        <v>241.13</v>
      </c>
      <c r="M15" s="6">
        <v>0.14000000000000001</v>
      </c>
      <c r="N15" t="s">
        <v>10</v>
      </c>
      <c r="O15" s="5">
        <f t="shared" si="0"/>
        <v>207.37179999999998</v>
      </c>
      <c r="P15" s="5">
        <f t="shared" si="1"/>
        <v>1036.8589999999999</v>
      </c>
      <c r="Q15" s="5">
        <f>Table1[[#This Row],[Quantity]]*(Table1[[#This Row],[Saleprice]]-Table1[[#This Row],[Costprice]])</f>
        <v>108.40899999999991</v>
      </c>
      <c r="R15">
        <f t="shared" si="2"/>
        <v>2021</v>
      </c>
      <c r="S15">
        <f t="shared" si="3"/>
        <v>5</v>
      </c>
      <c r="T15" t="str">
        <f t="shared" si="4"/>
        <v>May</v>
      </c>
    </row>
    <row r="16" spans="1:20" x14ac:dyDescent="0.3">
      <c r="A16" s="3">
        <v>44343</v>
      </c>
      <c r="B16">
        <v>104</v>
      </c>
      <c r="C16" s="3">
        <f>_xlfn.XLOOKUP(B16,Stores!A:A,Stores!E:E)</f>
        <v>44297</v>
      </c>
      <c r="D16">
        <v>209</v>
      </c>
      <c r="E16" s="3">
        <f>_xlfn.XLOOKUP(D16,SalesReps!A:A,SalesReps!D:D)</f>
        <v>44218</v>
      </c>
      <c r="F16" s="3" t="str">
        <f>_xlfn.XLOOKUP(Table1[[#This Row],[RepID]],SalesReps!A:A,SalesReps!E:E)</f>
        <v>Left</v>
      </c>
      <c r="G16">
        <v>306</v>
      </c>
      <c r="H16" t="str">
        <f>_xlfn.XLOOKUP(Table1[[#This Row],[ProductID]],Products!A:A,Products!B:B)</f>
        <v>Clothing</v>
      </c>
      <c r="I16" t="str">
        <f>_xlfn.XLOOKUP(Table1[[#This Row],[ProductID]],Products!A:A,Products!C:C)</f>
        <v>Men</v>
      </c>
      <c r="J16">
        <v>3</v>
      </c>
      <c r="K16" s="5">
        <f>_xlfn.XLOOKUP(Table1[[#This Row],[ProductID]],Products!A:A,Products!E:E)</f>
        <v>185.69</v>
      </c>
      <c r="L16" s="5">
        <v>241.13</v>
      </c>
      <c r="M16" s="6">
        <v>0.14000000000000001</v>
      </c>
      <c r="N16" t="s">
        <v>10</v>
      </c>
      <c r="O16" s="5">
        <f t="shared" si="0"/>
        <v>207.37179999999998</v>
      </c>
      <c r="P16" s="5">
        <f t="shared" si="1"/>
        <v>622.11539999999991</v>
      </c>
      <c r="Q16" s="5">
        <f>Table1[[#This Row],[Quantity]]*(Table1[[#This Row],[Saleprice]]-Table1[[#This Row],[Costprice]])</f>
        <v>65.045399999999944</v>
      </c>
      <c r="R16">
        <f t="shared" si="2"/>
        <v>2021</v>
      </c>
      <c r="S16">
        <f t="shared" si="3"/>
        <v>5</v>
      </c>
      <c r="T16" t="str">
        <f t="shared" si="4"/>
        <v>May</v>
      </c>
    </row>
    <row r="17" spans="1:20" x14ac:dyDescent="0.3">
      <c r="A17" s="3">
        <v>44358</v>
      </c>
      <c r="B17">
        <v>104</v>
      </c>
      <c r="C17" s="3">
        <f>_xlfn.XLOOKUP(B17,Stores!A:A,Stores!E:E)</f>
        <v>44297</v>
      </c>
      <c r="D17">
        <v>209</v>
      </c>
      <c r="E17" s="3">
        <f>_xlfn.XLOOKUP(D17,SalesReps!A:A,SalesReps!D:D)</f>
        <v>44218</v>
      </c>
      <c r="F17" s="3" t="str">
        <f>_xlfn.XLOOKUP(Table1[[#This Row],[RepID]],SalesReps!A:A,SalesReps!E:E)</f>
        <v>Left</v>
      </c>
      <c r="G17">
        <v>309</v>
      </c>
      <c r="H17" t="str">
        <f>_xlfn.XLOOKUP(Table1[[#This Row],[ProductID]],Products!A:A,Products!B:B)</f>
        <v>Electronics</v>
      </c>
      <c r="I17" t="str">
        <f>_xlfn.XLOOKUP(Table1[[#This Row],[ProductID]],Products!A:A,Products!C:C)</f>
        <v>Laptops</v>
      </c>
      <c r="J17">
        <v>5</v>
      </c>
      <c r="K17" s="5">
        <f>_xlfn.XLOOKUP(Table1[[#This Row],[ProductID]],Products!A:A,Products!E:E)</f>
        <v>229.68</v>
      </c>
      <c r="L17" s="5">
        <v>329.15</v>
      </c>
      <c r="M17" s="6">
        <v>0.09</v>
      </c>
      <c r="N17" t="s">
        <v>10</v>
      </c>
      <c r="O17" s="5">
        <f t="shared" si="0"/>
        <v>299.5265</v>
      </c>
      <c r="P17" s="5">
        <f t="shared" si="1"/>
        <v>1497.6324999999999</v>
      </c>
      <c r="Q17" s="5">
        <f>Table1[[#This Row],[Quantity]]*(Table1[[#This Row],[Saleprice]]-Table1[[#This Row],[Costprice]])</f>
        <v>349.23249999999996</v>
      </c>
      <c r="R17">
        <f t="shared" si="2"/>
        <v>2021</v>
      </c>
      <c r="S17">
        <f t="shared" si="3"/>
        <v>6</v>
      </c>
      <c r="T17" t="str">
        <f t="shared" si="4"/>
        <v>June</v>
      </c>
    </row>
    <row r="18" spans="1:20" x14ac:dyDescent="0.3">
      <c r="A18" s="3">
        <v>44361</v>
      </c>
      <c r="B18">
        <v>104</v>
      </c>
      <c r="C18" s="3">
        <f>_xlfn.XLOOKUP(B18,Stores!A:A,Stores!E:E)</f>
        <v>44297</v>
      </c>
      <c r="D18">
        <v>209</v>
      </c>
      <c r="E18" s="3">
        <f>_xlfn.XLOOKUP(D18,SalesReps!A:A,SalesReps!D:D)</f>
        <v>44218</v>
      </c>
      <c r="F18" s="3" t="str">
        <f>_xlfn.XLOOKUP(Table1[[#This Row],[RepID]],SalesReps!A:A,SalesReps!E:E)</f>
        <v>Left</v>
      </c>
      <c r="G18">
        <v>319</v>
      </c>
      <c r="H18" t="str">
        <f>_xlfn.XLOOKUP(Table1[[#This Row],[ProductID]],Products!A:A,Products!B:B)</f>
        <v>Toys</v>
      </c>
      <c r="I18" t="str">
        <f>_xlfn.XLOOKUP(Table1[[#This Row],[ProductID]],Products!A:A,Products!C:C)</f>
        <v>Board Games</v>
      </c>
      <c r="J18">
        <v>3</v>
      </c>
      <c r="K18" s="5">
        <f>_xlfn.XLOOKUP(Table1[[#This Row],[ProductID]],Products!A:A,Products!E:E)</f>
        <v>81.069999999999993</v>
      </c>
      <c r="L18" s="5">
        <v>131.91</v>
      </c>
      <c r="M18" s="6">
        <v>0.15</v>
      </c>
      <c r="N18" t="s">
        <v>10</v>
      </c>
      <c r="O18" s="5">
        <f t="shared" si="0"/>
        <v>112.12349999999999</v>
      </c>
      <c r="P18" s="5">
        <f t="shared" si="1"/>
        <v>336.37049999999999</v>
      </c>
      <c r="Q18" s="5">
        <f>Table1[[#This Row],[Quantity]]*(Table1[[#This Row],[Saleprice]]-Table1[[#This Row],[Costprice]])</f>
        <v>93.160499999999999</v>
      </c>
      <c r="R18">
        <f t="shared" si="2"/>
        <v>2021</v>
      </c>
      <c r="S18">
        <f t="shared" si="3"/>
        <v>6</v>
      </c>
      <c r="T18" t="str">
        <f t="shared" si="4"/>
        <v>June</v>
      </c>
    </row>
    <row r="19" spans="1:20" x14ac:dyDescent="0.3">
      <c r="A19" s="3">
        <v>44364</v>
      </c>
      <c r="B19">
        <v>104</v>
      </c>
      <c r="C19" s="3">
        <f>_xlfn.XLOOKUP(B19,Stores!A:A,Stores!E:E)</f>
        <v>44297</v>
      </c>
      <c r="D19">
        <v>209</v>
      </c>
      <c r="E19" s="3">
        <f>_xlfn.XLOOKUP(D19,SalesReps!A:A,SalesReps!D:D)</f>
        <v>44218</v>
      </c>
      <c r="F19" s="3" t="str">
        <f>_xlfn.XLOOKUP(Table1[[#This Row],[RepID]],SalesReps!A:A,SalesReps!E:E)</f>
        <v>Left</v>
      </c>
      <c r="G19">
        <v>304</v>
      </c>
      <c r="H19" t="str">
        <f>_xlfn.XLOOKUP(Table1[[#This Row],[ProductID]],Products!A:A,Products!B:B)</f>
        <v>Home &amp; Kitchen</v>
      </c>
      <c r="I19" t="str">
        <f>_xlfn.XLOOKUP(Table1[[#This Row],[ProductID]],Products!A:A,Products!C:C)</f>
        <v>Furniture</v>
      </c>
      <c r="J19">
        <v>7</v>
      </c>
      <c r="K19" s="5">
        <f>_xlfn.XLOOKUP(Table1[[#This Row],[ProductID]],Products!A:A,Products!E:E)</f>
        <v>345.38</v>
      </c>
      <c r="L19" s="5">
        <v>409.69</v>
      </c>
      <c r="M19" s="6">
        <v>0.11</v>
      </c>
      <c r="N19" t="s">
        <v>10</v>
      </c>
      <c r="O19" s="5">
        <f t="shared" si="0"/>
        <v>364.6241</v>
      </c>
      <c r="P19" s="5">
        <f t="shared" si="1"/>
        <v>2552.3687</v>
      </c>
      <c r="Q19" s="5">
        <f>Table1[[#This Row],[Quantity]]*(Table1[[#This Row],[Saleprice]]-Table1[[#This Row],[Costprice]])</f>
        <v>134.70870000000002</v>
      </c>
      <c r="R19">
        <f t="shared" si="2"/>
        <v>2021</v>
      </c>
      <c r="S19">
        <f t="shared" si="3"/>
        <v>6</v>
      </c>
      <c r="T19" t="str">
        <f t="shared" si="4"/>
        <v>June</v>
      </c>
    </row>
    <row r="20" spans="1:20" x14ac:dyDescent="0.3">
      <c r="A20" s="3">
        <v>44370</v>
      </c>
      <c r="B20">
        <v>104</v>
      </c>
      <c r="C20" s="3">
        <f>_xlfn.XLOOKUP(B20,Stores!A:A,Stores!E:E)</f>
        <v>44297</v>
      </c>
      <c r="D20">
        <v>209</v>
      </c>
      <c r="E20" s="3">
        <f>_xlfn.XLOOKUP(D20,SalesReps!A:A,SalesReps!D:D)</f>
        <v>44218</v>
      </c>
      <c r="F20" s="3" t="str">
        <f>_xlfn.XLOOKUP(Table1[[#This Row],[RepID]],SalesReps!A:A,SalesReps!E:E)</f>
        <v>Left</v>
      </c>
      <c r="G20">
        <v>303</v>
      </c>
      <c r="H20" t="str">
        <f>_xlfn.XLOOKUP(Table1[[#This Row],[ProductID]],Products!A:A,Products!B:B)</f>
        <v>Home &amp; Kitchen</v>
      </c>
      <c r="I20" t="str">
        <f>_xlfn.XLOOKUP(Table1[[#This Row],[ProductID]],Products!A:A,Products!C:C)</f>
        <v>Furniture</v>
      </c>
      <c r="J20">
        <v>4</v>
      </c>
      <c r="K20" s="5">
        <f>_xlfn.XLOOKUP(Table1[[#This Row],[ProductID]],Products!A:A,Products!E:E)</f>
        <v>192.04</v>
      </c>
      <c r="L20" s="5">
        <v>265.60000000000002</v>
      </c>
      <c r="M20" s="6">
        <v>0.1</v>
      </c>
      <c r="N20" t="s">
        <v>10</v>
      </c>
      <c r="O20" s="5">
        <f t="shared" si="0"/>
        <v>239.04000000000002</v>
      </c>
      <c r="P20" s="5">
        <f t="shared" si="1"/>
        <v>956.16000000000008</v>
      </c>
      <c r="Q20" s="5">
        <f>Table1[[#This Row],[Quantity]]*(Table1[[#This Row],[Saleprice]]-Table1[[#This Row],[Costprice]])</f>
        <v>188.00000000000011</v>
      </c>
      <c r="R20">
        <f t="shared" si="2"/>
        <v>2021</v>
      </c>
      <c r="S20">
        <f t="shared" si="3"/>
        <v>6</v>
      </c>
      <c r="T20" t="str">
        <f t="shared" si="4"/>
        <v>June</v>
      </c>
    </row>
    <row r="21" spans="1:20" x14ac:dyDescent="0.3">
      <c r="A21" s="3">
        <v>44370</v>
      </c>
      <c r="B21">
        <v>104</v>
      </c>
      <c r="C21" s="3">
        <f>_xlfn.XLOOKUP(B21,Stores!A:A,Stores!E:E)</f>
        <v>44297</v>
      </c>
      <c r="D21">
        <v>209</v>
      </c>
      <c r="E21" s="3">
        <f>_xlfn.XLOOKUP(D21,SalesReps!A:A,SalesReps!D:D)</f>
        <v>44218</v>
      </c>
      <c r="F21" s="3" t="str">
        <f>_xlfn.XLOOKUP(Table1[[#This Row],[RepID]],SalesReps!A:A,SalesReps!E:E)</f>
        <v>Left</v>
      </c>
      <c r="G21">
        <v>317</v>
      </c>
      <c r="H21" t="str">
        <f>_xlfn.XLOOKUP(Table1[[#This Row],[ProductID]],Products!A:A,Products!B:B)</f>
        <v>Toys</v>
      </c>
      <c r="I21" t="str">
        <f>_xlfn.XLOOKUP(Table1[[#This Row],[ProductID]],Products!A:A,Products!C:C)</f>
        <v>Educational</v>
      </c>
      <c r="J21">
        <v>3</v>
      </c>
      <c r="K21" s="5">
        <f>_xlfn.XLOOKUP(Table1[[#This Row],[ProductID]],Products!A:A,Products!E:E)</f>
        <v>77.61</v>
      </c>
      <c r="L21" s="5">
        <v>141.34</v>
      </c>
      <c r="M21" s="6">
        <v>0.12</v>
      </c>
      <c r="N21" t="s">
        <v>10</v>
      </c>
      <c r="O21" s="5">
        <f t="shared" si="0"/>
        <v>124.3792</v>
      </c>
      <c r="P21" s="5">
        <f t="shared" si="1"/>
        <v>373.13760000000002</v>
      </c>
      <c r="Q21" s="5">
        <f>Table1[[#This Row],[Quantity]]*(Table1[[#This Row],[Saleprice]]-Table1[[#This Row],[Costprice]])</f>
        <v>140.30759999999998</v>
      </c>
      <c r="R21">
        <f t="shared" si="2"/>
        <v>2021</v>
      </c>
      <c r="S21">
        <f t="shared" si="3"/>
        <v>6</v>
      </c>
      <c r="T21" t="str">
        <f t="shared" si="4"/>
        <v>June</v>
      </c>
    </row>
    <row r="22" spans="1:20" x14ac:dyDescent="0.3">
      <c r="A22" s="3">
        <v>44374</v>
      </c>
      <c r="B22">
        <v>104</v>
      </c>
      <c r="C22" s="3">
        <f>_xlfn.XLOOKUP(B22,Stores!A:A,Stores!E:E)</f>
        <v>44297</v>
      </c>
      <c r="D22">
        <v>209</v>
      </c>
      <c r="E22" s="3">
        <f>_xlfn.XLOOKUP(D22,SalesReps!A:A,SalesReps!D:D)</f>
        <v>44218</v>
      </c>
      <c r="F22" s="3" t="str">
        <f>_xlfn.XLOOKUP(Table1[[#This Row],[RepID]],SalesReps!A:A,SalesReps!E:E)</f>
        <v>Left</v>
      </c>
      <c r="G22">
        <v>309</v>
      </c>
      <c r="H22" t="str">
        <f>_xlfn.XLOOKUP(Table1[[#This Row],[ProductID]],Products!A:A,Products!B:B)</f>
        <v>Electronics</v>
      </c>
      <c r="I22" t="str">
        <f>_xlfn.XLOOKUP(Table1[[#This Row],[ProductID]],Products!A:A,Products!C:C)</f>
        <v>Laptops</v>
      </c>
      <c r="J22">
        <v>7</v>
      </c>
      <c r="K22" s="5">
        <f>_xlfn.XLOOKUP(Table1[[#This Row],[ProductID]],Products!A:A,Products!E:E)</f>
        <v>229.68</v>
      </c>
      <c r="L22" s="5">
        <v>329.15</v>
      </c>
      <c r="M22" s="6">
        <v>0.09</v>
      </c>
      <c r="N22" t="s">
        <v>10</v>
      </c>
      <c r="O22" s="5">
        <f t="shared" si="0"/>
        <v>299.5265</v>
      </c>
      <c r="P22" s="5">
        <f t="shared" si="1"/>
        <v>2096.6855</v>
      </c>
      <c r="Q22" s="5">
        <f>Table1[[#This Row],[Quantity]]*(Table1[[#This Row],[Saleprice]]-Table1[[#This Row],[Costprice]])</f>
        <v>488.92549999999994</v>
      </c>
      <c r="R22">
        <f t="shared" si="2"/>
        <v>2021</v>
      </c>
      <c r="S22">
        <f t="shared" si="3"/>
        <v>6</v>
      </c>
      <c r="T22" t="str">
        <f t="shared" si="4"/>
        <v>June</v>
      </c>
    </row>
    <row r="23" spans="1:20" x14ac:dyDescent="0.3">
      <c r="A23" s="3">
        <v>44375</v>
      </c>
      <c r="B23">
        <v>104</v>
      </c>
      <c r="C23" s="3">
        <f>_xlfn.XLOOKUP(B23,Stores!A:A,Stores!E:E)</f>
        <v>44297</v>
      </c>
      <c r="D23">
        <v>209</v>
      </c>
      <c r="E23" s="3">
        <f>_xlfn.XLOOKUP(D23,SalesReps!A:A,SalesReps!D:D)</f>
        <v>44218</v>
      </c>
      <c r="F23" s="3" t="str">
        <f>_xlfn.XLOOKUP(Table1[[#This Row],[RepID]],SalesReps!A:A,SalesReps!E:E)</f>
        <v>Left</v>
      </c>
      <c r="G23">
        <v>311</v>
      </c>
      <c r="H23" t="str">
        <f>_xlfn.XLOOKUP(Table1[[#This Row],[ProductID]],Products!A:A,Products!B:B)</f>
        <v>Home &amp; Kitchen</v>
      </c>
      <c r="I23" t="str">
        <f>_xlfn.XLOOKUP(Table1[[#This Row],[ProductID]],Products!A:A,Products!C:C)</f>
        <v>Furniture</v>
      </c>
      <c r="J23">
        <v>8</v>
      </c>
      <c r="K23" s="5">
        <f>_xlfn.XLOOKUP(Table1[[#This Row],[ProductID]],Products!A:A,Products!E:E)</f>
        <v>16.23</v>
      </c>
      <c r="L23" s="5">
        <v>46.74</v>
      </c>
      <c r="M23" s="6">
        <v>0.15</v>
      </c>
      <c r="N23" t="s">
        <v>10</v>
      </c>
      <c r="O23" s="5">
        <f t="shared" si="0"/>
        <v>39.728999999999999</v>
      </c>
      <c r="P23" s="5">
        <f t="shared" si="1"/>
        <v>317.83199999999999</v>
      </c>
      <c r="Q23" s="5">
        <f>Table1[[#This Row],[Quantity]]*(Table1[[#This Row],[Saleprice]]-Table1[[#This Row],[Costprice]])</f>
        <v>187.99199999999999</v>
      </c>
      <c r="R23">
        <f t="shared" si="2"/>
        <v>2021</v>
      </c>
      <c r="S23">
        <f t="shared" si="3"/>
        <v>6</v>
      </c>
      <c r="T23" t="str">
        <f t="shared" si="4"/>
        <v>June</v>
      </c>
    </row>
    <row r="24" spans="1:20" x14ac:dyDescent="0.3">
      <c r="A24" s="3">
        <v>44380</v>
      </c>
      <c r="B24">
        <v>104</v>
      </c>
      <c r="C24" s="3">
        <f>_xlfn.XLOOKUP(B24,Stores!A:A,Stores!E:E)</f>
        <v>44297</v>
      </c>
      <c r="D24">
        <v>209</v>
      </c>
      <c r="E24" s="3">
        <f>_xlfn.XLOOKUP(D24,SalesReps!A:A,SalesReps!D:D)</f>
        <v>44218</v>
      </c>
      <c r="F24" s="3" t="str">
        <f>_xlfn.XLOOKUP(Table1[[#This Row],[RepID]],SalesReps!A:A,SalesReps!E:E)</f>
        <v>Left</v>
      </c>
      <c r="G24">
        <v>319</v>
      </c>
      <c r="H24" t="str">
        <f>_xlfn.XLOOKUP(Table1[[#This Row],[ProductID]],Products!A:A,Products!B:B)</f>
        <v>Toys</v>
      </c>
      <c r="I24" t="str">
        <f>_xlfn.XLOOKUP(Table1[[#This Row],[ProductID]],Products!A:A,Products!C:C)</f>
        <v>Board Games</v>
      </c>
      <c r="J24">
        <v>4</v>
      </c>
      <c r="K24" s="5">
        <f>_xlfn.XLOOKUP(Table1[[#This Row],[ProductID]],Products!A:A,Products!E:E)</f>
        <v>81.069999999999993</v>
      </c>
      <c r="L24" s="5">
        <v>131.91</v>
      </c>
      <c r="M24" s="6">
        <v>0.15</v>
      </c>
      <c r="N24" t="s">
        <v>10</v>
      </c>
      <c r="O24" s="5">
        <f t="shared" si="0"/>
        <v>112.12349999999999</v>
      </c>
      <c r="P24" s="5">
        <f t="shared" si="1"/>
        <v>448.49399999999997</v>
      </c>
      <c r="Q24" s="5">
        <f>Table1[[#This Row],[Quantity]]*(Table1[[#This Row],[Saleprice]]-Table1[[#This Row],[Costprice]])</f>
        <v>124.214</v>
      </c>
      <c r="R24">
        <f t="shared" si="2"/>
        <v>2021</v>
      </c>
      <c r="S24">
        <f t="shared" si="3"/>
        <v>7</v>
      </c>
      <c r="T24" t="str">
        <f t="shared" si="4"/>
        <v>July</v>
      </c>
    </row>
    <row r="25" spans="1:20" x14ac:dyDescent="0.3">
      <c r="A25" s="3">
        <v>44381</v>
      </c>
      <c r="B25">
        <v>104</v>
      </c>
      <c r="C25" s="3">
        <f>_xlfn.XLOOKUP(B25,Stores!A:A,Stores!E:E)</f>
        <v>44297</v>
      </c>
      <c r="D25">
        <v>209</v>
      </c>
      <c r="E25" s="3">
        <f>_xlfn.XLOOKUP(D25,SalesReps!A:A,SalesReps!D:D)</f>
        <v>44218</v>
      </c>
      <c r="F25" s="3" t="str">
        <f>_xlfn.XLOOKUP(Table1[[#This Row],[RepID]],SalesReps!A:A,SalesReps!E:E)</f>
        <v>Left</v>
      </c>
      <c r="G25">
        <v>313</v>
      </c>
      <c r="H25" t="str">
        <f>_xlfn.XLOOKUP(Table1[[#This Row],[ProductID]],Products!A:A,Products!B:B)</f>
        <v>Clothing</v>
      </c>
      <c r="I25" t="str">
        <f>_xlfn.XLOOKUP(Table1[[#This Row],[ProductID]],Products!A:A,Products!C:C)</f>
        <v>Women</v>
      </c>
      <c r="J25">
        <v>2</v>
      </c>
      <c r="K25" s="5">
        <f>_xlfn.XLOOKUP(Table1[[#This Row],[ProductID]],Products!A:A,Products!E:E)</f>
        <v>104</v>
      </c>
      <c r="L25" s="5">
        <v>137.81</v>
      </c>
      <c r="M25" s="6">
        <v>0.16</v>
      </c>
      <c r="N25" t="s">
        <v>10</v>
      </c>
      <c r="O25" s="5">
        <f t="shared" si="0"/>
        <v>115.7604</v>
      </c>
      <c r="P25" s="5">
        <f t="shared" si="1"/>
        <v>231.52080000000001</v>
      </c>
      <c r="Q25" s="5">
        <f>Table1[[#This Row],[Quantity]]*(Table1[[#This Row],[Saleprice]]-Table1[[#This Row],[Costprice]])</f>
        <v>23.520800000000008</v>
      </c>
      <c r="R25">
        <f t="shared" si="2"/>
        <v>2021</v>
      </c>
      <c r="S25">
        <f t="shared" si="3"/>
        <v>7</v>
      </c>
      <c r="T25" t="str">
        <f t="shared" si="4"/>
        <v>July</v>
      </c>
    </row>
    <row r="26" spans="1:20" x14ac:dyDescent="0.3">
      <c r="A26" s="3">
        <v>44386</v>
      </c>
      <c r="B26">
        <v>104</v>
      </c>
      <c r="C26" s="3">
        <f>_xlfn.XLOOKUP(B26,Stores!A:A,Stores!E:E)</f>
        <v>44297</v>
      </c>
      <c r="D26">
        <v>209</v>
      </c>
      <c r="E26" s="3">
        <f>_xlfn.XLOOKUP(D26,SalesReps!A:A,SalesReps!D:D)</f>
        <v>44218</v>
      </c>
      <c r="F26" s="3" t="str">
        <f>_xlfn.XLOOKUP(Table1[[#This Row],[RepID]],SalesReps!A:A,SalesReps!E:E)</f>
        <v>Left</v>
      </c>
      <c r="G26">
        <v>317</v>
      </c>
      <c r="H26" t="str">
        <f>_xlfn.XLOOKUP(Table1[[#This Row],[ProductID]],Products!A:A,Products!B:B)</f>
        <v>Toys</v>
      </c>
      <c r="I26" t="str">
        <f>_xlfn.XLOOKUP(Table1[[#This Row],[ProductID]],Products!A:A,Products!C:C)</f>
        <v>Educational</v>
      </c>
      <c r="J26">
        <v>1</v>
      </c>
      <c r="K26" s="5">
        <f>_xlfn.XLOOKUP(Table1[[#This Row],[ProductID]],Products!A:A,Products!E:E)</f>
        <v>77.61</v>
      </c>
      <c r="L26" s="5">
        <v>141.34</v>
      </c>
      <c r="M26" s="6">
        <v>0.12</v>
      </c>
      <c r="N26" t="s">
        <v>10</v>
      </c>
      <c r="O26" s="5">
        <f t="shared" si="0"/>
        <v>124.3792</v>
      </c>
      <c r="P26" s="5">
        <f t="shared" si="1"/>
        <v>124.3792</v>
      </c>
      <c r="Q26" s="5">
        <f>Table1[[#This Row],[Quantity]]*(Table1[[#This Row],[Saleprice]]-Table1[[#This Row],[Costprice]])</f>
        <v>46.769199999999998</v>
      </c>
      <c r="R26">
        <f t="shared" si="2"/>
        <v>2021</v>
      </c>
      <c r="S26">
        <f t="shared" si="3"/>
        <v>7</v>
      </c>
      <c r="T26" t="str">
        <f t="shared" si="4"/>
        <v>July</v>
      </c>
    </row>
    <row r="27" spans="1:20" x14ac:dyDescent="0.3">
      <c r="A27" s="3">
        <v>44386</v>
      </c>
      <c r="B27">
        <v>104</v>
      </c>
      <c r="C27" s="3">
        <f>_xlfn.XLOOKUP(B27,Stores!A:A,Stores!E:E)</f>
        <v>44297</v>
      </c>
      <c r="D27">
        <v>209</v>
      </c>
      <c r="E27" s="3">
        <f>_xlfn.XLOOKUP(D27,SalesReps!A:A,SalesReps!D:D)</f>
        <v>44218</v>
      </c>
      <c r="F27" s="3" t="str">
        <f>_xlfn.XLOOKUP(Table1[[#This Row],[RepID]],SalesReps!A:A,SalesReps!E:E)</f>
        <v>Left</v>
      </c>
      <c r="G27">
        <v>308</v>
      </c>
      <c r="H27" t="str">
        <f>_xlfn.XLOOKUP(Table1[[#This Row],[ProductID]],Products!A:A,Products!B:B)</f>
        <v>Home &amp; Kitchen</v>
      </c>
      <c r="I27" t="str">
        <f>_xlfn.XLOOKUP(Table1[[#This Row],[ProductID]],Products!A:A,Products!C:C)</f>
        <v>Furniture</v>
      </c>
      <c r="J27">
        <v>5</v>
      </c>
      <c r="K27" s="5">
        <f>_xlfn.XLOOKUP(Table1[[#This Row],[ProductID]],Products!A:A,Products!E:E)</f>
        <v>377.46</v>
      </c>
      <c r="L27" s="5">
        <v>466.31</v>
      </c>
      <c r="M27" s="6">
        <v>0.09</v>
      </c>
      <c r="N27" t="s">
        <v>10</v>
      </c>
      <c r="O27" s="5">
        <f t="shared" si="0"/>
        <v>424.34210000000002</v>
      </c>
      <c r="P27" s="5">
        <f t="shared" si="1"/>
        <v>2121.7105000000001</v>
      </c>
      <c r="Q27" s="5">
        <f>Table1[[#This Row],[Quantity]]*(Table1[[#This Row],[Saleprice]]-Table1[[#This Row],[Costprice]])</f>
        <v>234.41050000000018</v>
      </c>
      <c r="R27">
        <f t="shared" si="2"/>
        <v>2021</v>
      </c>
      <c r="S27">
        <f t="shared" si="3"/>
        <v>7</v>
      </c>
      <c r="T27" t="str">
        <f t="shared" si="4"/>
        <v>July</v>
      </c>
    </row>
    <row r="28" spans="1:20" x14ac:dyDescent="0.3">
      <c r="A28" s="3">
        <v>44387</v>
      </c>
      <c r="B28">
        <v>106</v>
      </c>
      <c r="C28" s="3">
        <f>_xlfn.XLOOKUP(B28,Stores!A:A,Stores!E:E)</f>
        <v>43918</v>
      </c>
      <c r="D28">
        <v>218</v>
      </c>
      <c r="E28" s="3">
        <f>_xlfn.XLOOKUP(D28,SalesReps!A:A,SalesReps!D:D)</f>
        <v>44386</v>
      </c>
      <c r="F28" s="3" t="str">
        <f>_xlfn.XLOOKUP(Table1[[#This Row],[RepID]],SalesReps!A:A,SalesReps!E:E)</f>
        <v>Active</v>
      </c>
      <c r="G28">
        <v>311</v>
      </c>
      <c r="H28" t="str">
        <f>_xlfn.XLOOKUP(Table1[[#This Row],[ProductID]],Products!A:A,Products!B:B)</f>
        <v>Home &amp; Kitchen</v>
      </c>
      <c r="I28" t="str">
        <f>_xlfn.XLOOKUP(Table1[[#This Row],[ProductID]],Products!A:A,Products!C:C)</f>
        <v>Furniture</v>
      </c>
      <c r="J28">
        <v>4</v>
      </c>
      <c r="K28" s="5">
        <f>_xlfn.XLOOKUP(Table1[[#This Row],[ProductID]],Products!A:A,Products!E:E)</f>
        <v>16.23</v>
      </c>
      <c r="L28" s="5">
        <v>101.43</v>
      </c>
      <c r="M28" s="6">
        <v>0.24</v>
      </c>
      <c r="N28" t="s">
        <v>10</v>
      </c>
      <c r="O28" s="5">
        <f t="shared" si="0"/>
        <v>77.086800000000011</v>
      </c>
      <c r="P28" s="5">
        <f t="shared" si="1"/>
        <v>308.34720000000004</v>
      </c>
      <c r="Q28" s="5">
        <f>Table1[[#This Row],[Quantity]]*(Table1[[#This Row],[Saleprice]]-Table1[[#This Row],[Costprice]])</f>
        <v>243.42720000000003</v>
      </c>
      <c r="R28">
        <f t="shared" si="2"/>
        <v>2021</v>
      </c>
      <c r="S28">
        <f t="shared" si="3"/>
        <v>7</v>
      </c>
      <c r="T28" t="str">
        <f t="shared" si="4"/>
        <v>July</v>
      </c>
    </row>
    <row r="29" spans="1:20" x14ac:dyDescent="0.3">
      <c r="A29" s="3">
        <v>44394</v>
      </c>
      <c r="B29">
        <v>106</v>
      </c>
      <c r="C29" s="3">
        <f>_xlfn.XLOOKUP(B29,Stores!A:A,Stores!E:E)</f>
        <v>43918</v>
      </c>
      <c r="D29">
        <v>218</v>
      </c>
      <c r="E29" s="3">
        <f>_xlfn.XLOOKUP(D29,SalesReps!A:A,SalesReps!D:D)</f>
        <v>44386</v>
      </c>
      <c r="F29" s="3" t="str">
        <f>_xlfn.XLOOKUP(Table1[[#This Row],[RepID]],SalesReps!A:A,SalesReps!E:E)</f>
        <v>Active</v>
      </c>
      <c r="G29">
        <v>304</v>
      </c>
      <c r="H29" t="str">
        <f>_xlfn.XLOOKUP(Table1[[#This Row],[ProductID]],Products!A:A,Products!B:B)</f>
        <v>Home &amp; Kitchen</v>
      </c>
      <c r="I29" t="str">
        <f>_xlfn.XLOOKUP(Table1[[#This Row],[ProductID]],Products!A:A,Products!C:C)</f>
        <v>Furniture</v>
      </c>
      <c r="J29">
        <v>9</v>
      </c>
      <c r="K29" s="5">
        <f>_xlfn.XLOOKUP(Table1[[#This Row],[ProductID]],Products!A:A,Products!E:E)</f>
        <v>345.38</v>
      </c>
      <c r="L29" s="5">
        <v>371.13</v>
      </c>
      <c r="M29" s="6">
        <v>0.13</v>
      </c>
      <c r="N29" t="s">
        <v>10</v>
      </c>
      <c r="O29" s="5">
        <f t="shared" si="0"/>
        <v>322.88310000000001</v>
      </c>
      <c r="P29" s="5">
        <f t="shared" si="1"/>
        <v>2905.9479000000001</v>
      </c>
      <c r="Q29" s="5">
        <f>Table1[[#This Row],[Quantity]]*(Table1[[#This Row],[Saleprice]]-Table1[[#This Row],[Costprice]])</f>
        <v>-202.47209999999984</v>
      </c>
      <c r="R29">
        <f t="shared" si="2"/>
        <v>2021</v>
      </c>
      <c r="S29">
        <f t="shared" si="3"/>
        <v>7</v>
      </c>
      <c r="T29" t="str">
        <f t="shared" si="4"/>
        <v>July</v>
      </c>
    </row>
    <row r="30" spans="1:20" x14ac:dyDescent="0.3">
      <c r="A30" s="3">
        <v>44397</v>
      </c>
      <c r="B30">
        <v>106</v>
      </c>
      <c r="C30" s="3">
        <f>_xlfn.XLOOKUP(B30,Stores!A:A,Stores!E:E)</f>
        <v>43918</v>
      </c>
      <c r="D30">
        <v>218</v>
      </c>
      <c r="E30" s="3">
        <f>_xlfn.XLOOKUP(D30,SalesReps!A:A,SalesReps!D:D)</f>
        <v>44386</v>
      </c>
      <c r="F30" s="3" t="str">
        <f>_xlfn.XLOOKUP(Table1[[#This Row],[RepID]],SalesReps!A:A,SalesReps!E:E)</f>
        <v>Active</v>
      </c>
      <c r="G30">
        <v>302</v>
      </c>
      <c r="H30" t="str">
        <f>_xlfn.XLOOKUP(Table1[[#This Row],[ProductID]],Products!A:A,Products!B:B)</f>
        <v>Toys</v>
      </c>
      <c r="I30" t="str">
        <f>_xlfn.XLOOKUP(Table1[[#This Row],[ProductID]],Products!A:A,Products!C:C)</f>
        <v>Outdoor</v>
      </c>
      <c r="J30">
        <v>6</v>
      </c>
      <c r="K30" s="5">
        <f>_xlfn.XLOOKUP(Table1[[#This Row],[ProductID]],Products!A:A,Products!E:E)</f>
        <v>393.46</v>
      </c>
      <c r="L30" s="5">
        <v>456.03</v>
      </c>
      <c r="M30" s="6">
        <v>0.24</v>
      </c>
      <c r="N30" t="s">
        <v>10</v>
      </c>
      <c r="O30" s="5">
        <f t="shared" si="0"/>
        <v>346.58279999999996</v>
      </c>
      <c r="P30" s="5">
        <f t="shared" si="1"/>
        <v>2079.4967999999999</v>
      </c>
      <c r="Q30" s="5">
        <f>Table1[[#This Row],[Quantity]]*(Table1[[#This Row],[Saleprice]]-Table1[[#This Row],[Costprice]])</f>
        <v>-281.2632000000001</v>
      </c>
      <c r="R30">
        <f t="shared" si="2"/>
        <v>2021</v>
      </c>
      <c r="S30">
        <f t="shared" si="3"/>
        <v>7</v>
      </c>
      <c r="T30" t="str">
        <f t="shared" si="4"/>
        <v>July</v>
      </c>
    </row>
    <row r="31" spans="1:20" x14ac:dyDescent="0.3">
      <c r="A31" s="3">
        <v>44398</v>
      </c>
      <c r="B31">
        <v>106</v>
      </c>
      <c r="C31" s="3">
        <f>_xlfn.XLOOKUP(B31,Stores!A:A,Stores!E:E)</f>
        <v>43918</v>
      </c>
      <c r="D31">
        <v>218</v>
      </c>
      <c r="E31" s="3">
        <f>_xlfn.XLOOKUP(D31,SalesReps!A:A,SalesReps!D:D)</f>
        <v>44386</v>
      </c>
      <c r="F31" s="3" t="str">
        <f>_xlfn.XLOOKUP(Table1[[#This Row],[RepID]],SalesReps!A:A,SalesReps!E:E)</f>
        <v>Active</v>
      </c>
      <c r="G31">
        <v>314</v>
      </c>
      <c r="H31" t="str">
        <f>_xlfn.XLOOKUP(Table1[[#This Row],[ProductID]],Products!A:A,Products!B:B)</f>
        <v>Clothing</v>
      </c>
      <c r="I31" t="str">
        <f>_xlfn.XLOOKUP(Table1[[#This Row],[ProductID]],Products!A:A,Products!C:C)</f>
        <v>Kids</v>
      </c>
      <c r="J31">
        <v>1</v>
      </c>
      <c r="K31" s="5">
        <f>_xlfn.XLOOKUP(Table1[[#This Row],[ProductID]],Products!A:A,Products!E:E)</f>
        <v>276.47000000000003</v>
      </c>
      <c r="L31" s="5">
        <v>287</v>
      </c>
      <c r="M31" s="6">
        <v>0.23</v>
      </c>
      <c r="N31" t="s">
        <v>10</v>
      </c>
      <c r="O31" s="5">
        <f t="shared" si="0"/>
        <v>220.99</v>
      </c>
      <c r="P31" s="5">
        <f t="shared" si="1"/>
        <v>220.99</v>
      </c>
      <c r="Q31" s="5">
        <f>Table1[[#This Row],[Quantity]]*(Table1[[#This Row],[Saleprice]]-Table1[[#This Row],[Costprice]])</f>
        <v>-55.480000000000018</v>
      </c>
      <c r="R31">
        <f t="shared" si="2"/>
        <v>2021</v>
      </c>
      <c r="S31">
        <f t="shared" si="3"/>
        <v>7</v>
      </c>
      <c r="T31" t="str">
        <f t="shared" si="4"/>
        <v>July</v>
      </c>
    </row>
    <row r="32" spans="1:20" x14ac:dyDescent="0.3">
      <c r="A32" s="3">
        <v>44399</v>
      </c>
      <c r="B32">
        <v>106</v>
      </c>
      <c r="C32" s="3">
        <f>_xlfn.XLOOKUP(B32,Stores!A:A,Stores!E:E)</f>
        <v>43918</v>
      </c>
      <c r="D32">
        <v>218</v>
      </c>
      <c r="E32" s="3">
        <f>_xlfn.XLOOKUP(D32,SalesReps!A:A,SalesReps!D:D)</f>
        <v>44386</v>
      </c>
      <c r="F32" s="3" t="str">
        <f>_xlfn.XLOOKUP(Table1[[#This Row],[RepID]],SalesReps!A:A,SalesReps!E:E)</f>
        <v>Active</v>
      </c>
      <c r="G32">
        <v>310</v>
      </c>
      <c r="H32" t="str">
        <f>_xlfn.XLOOKUP(Table1[[#This Row],[ProductID]],Products!A:A,Products!B:B)</f>
        <v>Home &amp; Kitchen</v>
      </c>
      <c r="I32" t="str">
        <f>_xlfn.XLOOKUP(Table1[[#This Row],[ProductID]],Products!A:A,Products!C:C)</f>
        <v>Furniture</v>
      </c>
      <c r="J32">
        <v>6</v>
      </c>
      <c r="K32" s="5">
        <f>_xlfn.XLOOKUP(Table1[[#This Row],[ProductID]],Products!A:A,Products!E:E)</f>
        <v>160.31</v>
      </c>
      <c r="L32" s="5">
        <v>219.65</v>
      </c>
      <c r="M32" s="6">
        <v>0.2</v>
      </c>
      <c r="N32" t="s">
        <v>10</v>
      </c>
      <c r="O32" s="5">
        <f t="shared" si="0"/>
        <v>175.72000000000003</v>
      </c>
      <c r="P32" s="5">
        <f t="shared" si="1"/>
        <v>1054.3200000000002</v>
      </c>
      <c r="Q32" s="5">
        <f>Table1[[#This Row],[Quantity]]*(Table1[[#This Row],[Saleprice]]-Table1[[#This Row],[Costprice]])</f>
        <v>92.46000000000015</v>
      </c>
      <c r="R32">
        <f t="shared" si="2"/>
        <v>2021</v>
      </c>
      <c r="S32">
        <f t="shared" si="3"/>
        <v>7</v>
      </c>
      <c r="T32" t="str">
        <f t="shared" si="4"/>
        <v>July</v>
      </c>
    </row>
    <row r="33" spans="1:20" x14ac:dyDescent="0.3">
      <c r="A33" s="3">
        <v>44426</v>
      </c>
      <c r="B33">
        <v>106</v>
      </c>
      <c r="C33" s="3">
        <f>_xlfn.XLOOKUP(B33,Stores!A:A,Stores!E:E)</f>
        <v>43918</v>
      </c>
      <c r="D33">
        <v>218</v>
      </c>
      <c r="E33" s="3">
        <f>_xlfn.XLOOKUP(D33,SalesReps!A:A,SalesReps!D:D)</f>
        <v>44386</v>
      </c>
      <c r="F33" s="3" t="str">
        <f>_xlfn.XLOOKUP(Table1[[#This Row],[RepID]],SalesReps!A:A,SalesReps!E:E)</f>
        <v>Active</v>
      </c>
      <c r="G33">
        <v>312</v>
      </c>
      <c r="H33" t="str">
        <f>_xlfn.XLOOKUP(Table1[[#This Row],[ProductID]],Products!A:A,Products!B:B)</f>
        <v>Toys</v>
      </c>
      <c r="I33" t="str">
        <f>_xlfn.XLOOKUP(Table1[[#This Row],[ProductID]],Products!A:A,Products!C:C)</f>
        <v>Board Games</v>
      </c>
      <c r="J33">
        <v>5</v>
      </c>
      <c r="K33" s="5">
        <f>_xlfn.XLOOKUP(Table1[[#This Row],[ProductID]],Products!A:A,Products!E:E)</f>
        <v>100.05</v>
      </c>
      <c r="L33" s="5">
        <v>123.51</v>
      </c>
      <c r="M33" s="6">
        <v>0.06</v>
      </c>
      <c r="N33" t="s">
        <v>10</v>
      </c>
      <c r="O33" s="5">
        <f t="shared" si="0"/>
        <v>116.0994</v>
      </c>
      <c r="P33" s="5">
        <f t="shared" si="1"/>
        <v>580.49700000000007</v>
      </c>
      <c r="Q33" s="5">
        <f>Table1[[#This Row],[Quantity]]*(Table1[[#This Row],[Saleprice]]-Table1[[#This Row],[Costprice]])</f>
        <v>80.247000000000028</v>
      </c>
      <c r="R33">
        <f t="shared" si="2"/>
        <v>2021</v>
      </c>
      <c r="S33">
        <f t="shared" si="3"/>
        <v>8</v>
      </c>
      <c r="T33" t="str">
        <f t="shared" si="4"/>
        <v>August</v>
      </c>
    </row>
    <row r="34" spans="1:20" x14ac:dyDescent="0.3">
      <c r="A34" s="3">
        <v>44432</v>
      </c>
      <c r="B34">
        <v>106</v>
      </c>
      <c r="C34" s="3">
        <f>_xlfn.XLOOKUP(B34,Stores!A:A,Stores!E:E)</f>
        <v>43918</v>
      </c>
      <c r="D34">
        <v>218</v>
      </c>
      <c r="E34" s="3">
        <f>_xlfn.XLOOKUP(D34,SalesReps!A:A,SalesReps!D:D)</f>
        <v>44386</v>
      </c>
      <c r="F34" s="3" t="str">
        <f>_xlfn.XLOOKUP(Table1[[#This Row],[RepID]],SalesReps!A:A,SalesReps!E:E)</f>
        <v>Active</v>
      </c>
      <c r="G34">
        <v>304</v>
      </c>
      <c r="H34" t="str">
        <f>_xlfn.XLOOKUP(Table1[[#This Row],[ProductID]],Products!A:A,Products!B:B)</f>
        <v>Home &amp; Kitchen</v>
      </c>
      <c r="I34" t="str">
        <f>_xlfn.XLOOKUP(Table1[[#This Row],[ProductID]],Products!A:A,Products!C:C)</f>
        <v>Furniture</v>
      </c>
      <c r="J34">
        <v>2</v>
      </c>
      <c r="K34" s="5">
        <f>_xlfn.XLOOKUP(Table1[[#This Row],[ProductID]],Products!A:A,Products!E:E)</f>
        <v>345.38</v>
      </c>
      <c r="L34" s="5">
        <v>371.13</v>
      </c>
      <c r="M34" s="6">
        <v>0.13</v>
      </c>
      <c r="N34" t="s">
        <v>10</v>
      </c>
      <c r="O34" s="5">
        <f t="shared" si="0"/>
        <v>322.88310000000001</v>
      </c>
      <c r="P34" s="5">
        <f t="shared" si="1"/>
        <v>645.76620000000003</v>
      </c>
      <c r="Q34" s="5">
        <f>Table1[[#This Row],[Quantity]]*(Table1[[#This Row],[Saleprice]]-Table1[[#This Row],[Costprice]])</f>
        <v>-44.993799999999965</v>
      </c>
      <c r="R34">
        <f t="shared" si="2"/>
        <v>2021</v>
      </c>
      <c r="S34">
        <f t="shared" si="3"/>
        <v>8</v>
      </c>
      <c r="T34" t="str">
        <f t="shared" si="4"/>
        <v>August</v>
      </c>
    </row>
    <row r="35" spans="1:20" x14ac:dyDescent="0.3">
      <c r="A35" s="3">
        <v>44440</v>
      </c>
      <c r="B35">
        <v>106</v>
      </c>
      <c r="C35" s="3">
        <f>_xlfn.XLOOKUP(B35,Stores!A:A,Stores!E:E)</f>
        <v>43918</v>
      </c>
      <c r="D35">
        <v>218</v>
      </c>
      <c r="E35" s="3">
        <f>_xlfn.XLOOKUP(D35,SalesReps!A:A,SalesReps!D:D)</f>
        <v>44386</v>
      </c>
      <c r="F35" s="3" t="str">
        <f>_xlfn.XLOOKUP(Table1[[#This Row],[RepID]],SalesReps!A:A,SalesReps!E:E)</f>
        <v>Active</v>
      </c>
      <c r="G35">
        <v>305</v>
      </c>
      <c r="H35" t="str">
        <f>_xlfn.XLOOKUP(Table1[[#This Row],[ProductID]],Products!A:A,Products!B:B)</f>
        <v>Electronics</v>
      </c>
      <c r="I35" t="str">
        <f>_xlfn.XLOOKUP(Table1[[#This Row],[ProductID]],Products!A:A,Products!C:C)</f>
        <v>Accessories</v>
      </c>
      <c r="J35">
        <v>8</v>
      </c>
      <c r="K35" s="5">
        <f>_xlfn.XLOOKUP(Table1[[#This Row],[ProductID]],Products!A:A,Products!E:E)</f>
        <v>275.32</v>
      </c>
      <c r="L35" s="5">
        <v>333.34</v>
      </c>
      <c r="M35" s="6">
        <v>0.13</v>
      </c>
      <c r="N35" t="s">
        <v>10</v>
      </c>
      <c r="O35" s="5">
        <f t="shared" si="0"/>
        <v>290.00579999999997</v>
      </c>
      <c r="P35" s="5">
        <f t="shared" si="1"/>
        <v>2320.0463999999997</v>
      </c>
      <c r="Q35" s="5">
        <f>Table1[[#This Row],[Quantity]]*(Table1[[#This Row],[Saleprice]]-Table1[[#This Row],[Costprice]])</f>
        <v>117.48639999999978</v>
      </c>
      <c r="R35">
        <f t="shared" si="2"/>
        <v>2021</v>
      </c>
      <c r="S35">
        <f t="shared" si="3"/>
        <v>9</v>
      </c>
      <c r="T35" t="str">
        <f t="shared" si="4"/>
        <v>September</v>
      </c>
    </row>
    <row r="36" spans="1:20" x14ac:dyDescent="0.3">
      <c r="A36" s="3">
        <v>44446</v>
      </c>
      <c r="B36">
        <v>106</v>
      </c>
      <c r="C36" s="3">
        <f>_xlfn.XLOOKUP(B36,Stores!A:A,Stores!E:E)</f>
        <v>43918</v>
      </c>
      <c r="D36">
        <v>218</v>
      </c>
      <c r="E36" s="3">
        <f>_xlfn.XLOOKUP(D36,SalesReps!A:A,SalesReps!D:D)</f>
        <v>44386</v>
      </c>
      <c r="F36" s="3" t="str">
        <f>_xlfn.XLOOKUP(Table1[[#This Row],[RepID]],SalesReps!A:A,SalesReps!E:E)</f>
        <v>Active</v>
      </c>
      <c r="G36">
        <v>301</v>
      </c>
      <c r="H36" t="str">
        <f>_xlfn.XLOOKUP(Table1[[#This Row],[ProductID]],Products!A:A,Products!B:B)</f>
        <v>Electronics</v>
      </c>
      <c r="I36" t="str">
        <f>_xlfn.XLOOKUP(Table1[[#This Row],[ProductID]],Products!A:A,Products!C:C)</f>
        <v>Mobiles</v>
      </c>
      <c r="J36">
        <v>5</v>
      </c>
      <c r="K36" s="5">
        <f>_xlfn.XLOOKUP(Table1[[#This Row],[ProductID]],Products!A:A,Products!E:E)</f>
        <v>159.16</v>
      </c>
      <c r="L36" s="5">
        <v>218.35</v>
      </c>
      <c r="M36" s="6">
        <v>0.15</v>
      </c>
      <c r="N36" t="s">
        <v>10</v>
      </c>
      <c r="O36" s="5">
        <f t="shared" si="0"/>
        <v>185.5975</v>
      </c>
      <c r="P36" s="5">
        <f t="shared" si="1"/>
        <v>927.98749999999995</v>
      </c>
      <c r="Q36" s="5">
        <f>Table1[[#This Row],[Quantity]]*(Table1[[#This Row],[Saleprice]]-Table1[[#This Row],[Costprice]])</f>
        <v>132.1875</v>
      </c>
      <c r="R36">
        <f t="shared" si="2"/>
        <v>2021</v>
      </c>
      <c r="S36">
        <f t="shared" si="3"/>
        <v>9</v>
      </c>
      <c r="T36" t="str">
        <f t="shared" si="4"/>
        <v>September</v>
      </c>
    </row>
    <row r="37" spans="1:20" x14ac:dyDescent="0.3">
      <c r="A37" s="3">
        <v>44449</v>
      </c>
      <c r="B37">
        <v>106</v>
      </c>
      <c r="C37" s="3">
        <f>_xlfn.XLOOKUP(B37,Stores!A:A,Stores!E:E)</f>
        <v>43918</v>
      </c>
      <c r="D37">
        <v>210</v>
      </c>
      <c r="E37" s="3">
        <f>_xlfn.XLOOKUP(D37,SalesReps!A:A,SalesReps!D:D)</f>
        <v>44449</v>
      </c>
      <c r="F37" s="3" t="str">
        <f>_xlfn.XLOOKUP(Table1[[#This Row],[RepID]],SalesReps!A:A,SalesReps!E:E)</f>
        <v>Active</v>
      </c>
      <c r="G37">
        <v>312</v>
      </c>
      <c r="H37" t="str">
        <f>_xlfn.XLOOKUP(Table1[[#This Row],[ProductID]],Products!A:A,Products!B:B)</f>
        <v>Toys</v>
      </c>
      <c r="I37" t="str">
        <f>_xlfn.XLOOKUP(Table1[[#This Row],[ProductID]],Products!A:A,Products!C:C)</f>
        <v>Board Games</v>
      </c>
      <c r="J37">
        <v>1</v>
      </c>
      <c r="K37" s="5">
        <f>_xlfn.XLOOKUP(Table1[[#This Row],[ProductID]],Products!A:A,Products!E:E)</f>
        <v>100.05</v>
      </c>
      <c r="L37" s="5">
        <v>123.51</v>
      </c>
      <c r="M37" s="6">
        <v>0.06</v>
      </c>
      <c r="N37" t="s">
        <v>10</v>
      </c>
      <c r="O37" s="5">
        <f t="shared" si="0"/>
        <v>116.0994</v>
      </c>
      <c r="P37" s="5">
        <f t="shared" si="1"/>
        <v>116.0994</v>
      </c>
      <c r="Q37" s="5">
        <f>Table1[[#This Row],[Quantity]]*(Table1[[#This Row],[Saleprice]]-Table1[[#This Row],[Costprice]])</f>
        <v>16.049400000000006</v>
      </c>
      <c r="R37">
        <f t="shared" si="2"/>
        <v>2021</v>
      </c>
      <c r="S37">
        <f t="shared" si="3"/>
        <v>9</v>
      </c>
      <c r="T37" t="str">
        <f t="shared" si="4"/>
        <v>September</v>
      </c>
    </row>
    <row r="38" spans="1:20" x14ac:dyDescent="0.3">
      <c r="A38" s="3">
        <v>44450</v>
      </c>
      <c r="B38">
        <v>106</v>
      </c>
      <c r="C38" s="3">
        <f>_xlfn.XLOOKUP(B38,Stores!A:A,Stores!E:E)</f>
        <v>43918</v>
      </c>
      <c r="D38">
        <v>218</v>
      </c>
      <c r="E38" s="3">
        <f>_xlfn.XLOOKUP(D38,SalesReps!A:A,SalesReps!D:D)</f>
        <v>44386</v>
      </c>
      <c r="F38" s="3" t="str">
        <f>_xlfn.XLOOKUP(Table1[[#This Row],[RepID]],SalesReps!A:A,SalesReps!E:E)</f>
        <v>Active</v>
      </c>
      <c r="G38">
        <v>313</v>
      </c>
      <c r="H38" t="str">
        <f>_xlfn.XLOOKUP(Table1[[#This Row],[ProductID]],Products!A:A,Products!B:B)</f>
        <v>Clothing</v>
      </c>
      <c r="I38" t="str">
        <f>_xlfn.XLOOKUP(Table1[[#This Row],[ProductID]],Products!A:A,Products!C:C)</f>
        <v>Women</v>
      </c>
      <c r="J38">
        <v>2</v>
      </c>
      <c r="K38" s="5">
        <f>_xlfn.XLOOKUP(Table1[[#This Row],[ProductID]],Products!A:A,Products!E:E)</f>
        <v>104</v>
      </c>
      <c r="L38" s="5">
        <v>134.80000000000001</v>
      </c>
      <c r="M38" s="6">
        <v>0.24</v>
      </c>
      <c r="N38" t="s">
        <v>10</v>
      </c>
      <c r="O38" s="5">
        <f t="shared" si="0"/>
        <v>102.44800000000001</v>
      </c>
      <c r="P38" s="5">
        <f t="shared" si="1"/>
        <v>204.89600000000002</v>
      </c>
      <c r="Q38" s="5">
        <f>Table1[[#This Row],[Quantity]]*(Table1[[#This Row],[Saleprice]]-Table1[[#This Row],[Costprice]])</f>
        <v>-3.103999999999985</v>
      </c>
      <c r="R38">
        <f t="shared" si="2"/>
        <v>2021</v>
      </c>
      <c r="S38">
        <f t="shared" si="3"/>
        <v>9</v>
      </c>
      <c r="T38" t="str">
        <f t="shared" si="4"/>
        <v>September</v>
      </c>
    </row>
    <row r="39" spans="1:20" x14ac:dyDescent="0.3">
      <c r="A39" s="3">
        <v>44452</v>
      </c>
      <c r="B39">
        <v>106</v>
      </c>
      <c r="C39" s="3">
        <f>_xlfn.XLOOKUP(B39,Stores!A:A,Stores!E:E)</f>
        <v>43918</v>
      </c>
      <c r="D39">
        <v>218</v>
      </c>
      <c r="E39" s="3">
        <f>_xlfn.XLOOKUP(D39,SalesReps!A:A,SalesReps!D:D)</f>
        <v>44386</v>
      </c>
      <c r="F39" s="3" t="str">
        <f>_xlfn.XLOOKUP(Table1[[#This Row],[RepID]],SalesReps!A:A,SalesReps!E:E)</f>
        <v>Active</v>
      </c>
      <c r="G39">
        <v>302</v>
      </c>
      <c r="H39" t="str">
        <f>_xlfn.XLOOKUP(Table1[[#This Row],[ProductID]],Products!A:A,Products!B:B)</f>
        <v>Toys</v>
      </c>
      <c r="I39" t="str">
        <f>_xlfn.XLOOKUP(Table1[[#This Row],[ProductID]],Products!A:A,Products!C:C)</f>
        <v>Outdoor</v>
      </c>
      <c r="J39">
        <v>4</v>
      </c>
      <c r="K39" s="5">
        <f>_xlfn.XLOOKUP(Table1[[#This Row],[ProductID]],Products!A:A,Products!E:E)</f>
        <v>393.46</v>
      </c>
      <c r="L39" s="5">
        <v>456.03</v>
      </c>
      <c r="M39" s="6">
        <v>0.24</v>
      </c>
      <c r="N39" t="s">
        <v>10</v>
      </c>
      <c r="O39" s="5">
        <f t="shared" si="0"/>
        <v>346.58279999999996</v>
      </c>
      <c r="P39" s="5">
        <f t="shared" si="1"/>
        <v>1386.3311999999999</v>
      </c>
      <c r="Q39" s="5">
        <f>Table1[[#This Row],[Quantity]]*(Table1[[#This Row],[Saleprice]]-Table1[[#This Row],[Costprice]])</f>
        <v>-187.50880000000006</v>
      </c>
      <c r="R39">
        <f t="shared" si="2"/>
        <v>2021</v>
      </c>
      <c r="S39">
        <f t="shared" si="3"/>
        <v>9</v>
      </c>
      <c r="T39" t="str">
        <f t="shared" si="4"/>
        <v>September</v>
      </c>
    </row>
    <row r="40" spans="1:20" x14ac:dyDescent="0.3">
      <c r="A40" s="3">
        <v>44452</v>
      </c>
      <c r="B40">
        <v>106</v>
      </c>
      <c r="C40" s="3">
        <f>_xlfn.XLOOKUP(B40,Stores!A:A,Stores!E:E)</f>
        <v>43918</v>
      </c>
      <c r="D40">
        <v>210</v>
      </c>
      <c r="E40" s="3">
        <f>_xlfn.XLOOKUP(D40,SalesReps!A:A,SalesReps!D:D)</f>
        <v>44449</v>
      </c>
      <c r="F40" s="3" t="str">
        <f>_xlfn.XLOOKUP(Table1[[#This Row],[RepID]],SalesReps!A:A,SalesReps!E:E)</f>
        <v>Active</v>
      </c>
      <c r="G40">
        <v>318</v>
      </c>
      <c r="H40" t="str">
        <f>_xlfn.XLOOKUP(Table1[[#This Row],[ProductID]],Products!A:A,Products!B:B)</f>
        <v>Electronics</v>
      </c>
      <c r="I40" t="str">
        <f>_xlfn.XLOOKUP(Table1[[#This Row],[ProductID]],Products!A:A,Products!C:C)</f>
        <v>Mobiles</v>
      </c>
      <c r="J40">
        <v>6</v>
      </c>
      <c r="K40" s="5">
        <f>_xlfn.XLOOKUP(Table1[[#This Row],[ProductID]],Products!A:A,Products!E:E)</f>
        <v>162.51</v>
      </c>
      <c r="L40" s="5">
        <v>190.18</v>
      </c>
      <c r="M40" s="6">
        <v>0.19</v>
      </c>
      <c r="N40" t="s">
        <v>10</v>
      </c>
      <c r="O40" s="5">
        <f t="shared" si="0"/>
        <v>154.04580000000001</v>
      </c>
      <c r="P40" s="5">
        <f t="shared" si="1"/>
        <v>924.27480000000014</v>
      </c>
      <c r="Q40" s="5">
        <f>Table1[[#This Row],[Quantity]]*(Table1[[#This Row],[Saleprice]]-Table1[[#This Row],[Costprice]])</f>
        <v>-50.785199999999861</v>
      </c>
      <c r="R40">
        <f t="shared" si="2"/>
        <v>2021</v>
      </c>
      <c r="S40">
        <f t="shared" si="3"/>
        <v>9</v>
      </c>
      <c r="T40" t="str">
        <f t="shared" si="4"/>
        <v>September</v>
      </c>
    </row>
    <row r="41" spans="1:20" x14ac:dyDescent="0.3">
      <c r="A41" s="3">
        <v>44454</v>
      </c>
      <c r="B41">
        <v>106</v>
      </c>
      <c r="C41" s="3">
        <f>_xlfn.XLOOKUP(B41,Stores!A:A,Stores!E:E)</f>
        <v>43918</v>
      </c>
      <c r="D41">
        <v>218</v>
      </c>
      <c r="E41" s="3">
        <f>_xlfn.XLOOKUP(D41,SalesReps!A:A,SalesReps!D:D)</f>
        <v>44386</v>
      </c>
      <c r="F41" s="3" t="str">
        <f>_xlfn.XLOOKUP(Table1[[#This Row],[RepID]],SalesReps!A:A,SalesReps!E:E)</f>
        <v>Active</v>
      </c>
      <c r="G41">
        <v>314</v>
      </c>
      <c r="H41" t="str">
        <f>_xlfn.XLOOKUP(Table1[[#This Row],[ProductID]],Products!A:A,Products!B:B)</f>
        <v>Clothing</v>
      </c>
      <c r="I41" t="str">
        <f>_xlfn.XLOOKUP(Table1[[#This Row],[ProductID]],Products!A:A,Products!C:C)</f>
        <v>Kids</v>
      </c>
      <c r="J41">
        <v>2</v>
      </c>
      <c r="K41" s="5">
        <f>_xlfn.XLOOKUP(Table1[[#This Row],[ProductID]],Products!A:A,Products!E:E)</f>
        <v>276.47000000000003</v>
      </c>
      <c r="L41" s="5">
        <v>287</v>
      </c>
      <c r="M41" s="6">
        <v>0.23</v>
      </c>
      <c r="N41" t="s">
        <v>10</v>
      </c>
      <c r="O41" s="5">
        <f t="shared" si="0"/>
        <v>220.99</v>
      </c>
      <c r="P41" s="5">
        <f t="shared" si="1"/>
        <v>441.98</v>
      </c>
      <c r="Q41" s="5">
        <f>Table1[[#This Row],[Quantity]]*(Table1[[#This Row],[Saleprice]]-Table1[[#This Row],[Costprice]])</f>
        <v>-110.96000000000004</v>
      </c>
      <c r="R41">
        <f t="shared" si="2"/>
        <v>2021</v>
      </c>
      <c r="S41">
        <f t="shared" si="3"/>
        <v>9</v>
      </c>
      <c r="T41" t="str">
        <f t="shared" si="4"/>
        <v>September</v>
      </c>
    </row>
    <row r="42" spans="1:20" x14ac:dyDescent="0.3">
      <c r="A42" s="3">
        <v>44456</v>
      </c>
      <c r="B42">
        <v>106</v>
      </c>
      <c r="C42" s="3">
        <f>_xlfn.XLOOKUP(B42,Stores!A:A,Stores!E:E)</f>
        <v>43918</v>
      </c>
      <c r="D42">
        <v>218</v>
      </c>
      <c r="E42" s="3">
        <f>_xlfn.XLOOKUP(D42,SalesReps!A:A,SalesReps!D:D)</f>
        <v>44386</v>
      </c>
      <c r="F42" s="3" t="str">
        <f>_xlfn.XLOOKUP(Table1[[#This Row],[RepID]],SalesReps!A:A,SalesReps!E:E)</f>
        <v>Active</v>
      </c>
      <c r="G42">
        <v>310</v>
      </c>
      <c r="H42" t="str">
        <f>_xlfn.XLOOKUP(Table1[[#This Row],[ProductID]],Products!A:A,Products!B:B)</f>
        <v>Home &amp; Kitchen</v>
      </c>
      <c r="I42" t="str">
        <f>_xlfn.XLOOKUP(Table1[[#This Row],[ProductID]],Products!A:A,Products!C:C)</f>
        <v>Furniture</v>
      </c>
      <c r="J42">
        <v>4</v>
      </c>
      <c r="K42" s="5">
        <f>_xlfn.XLOOKUP(Table1[[#This Row],[ProductID]],Products!A:A,Products!E:E)</f>
        <v>160.31</v>
      </c>
      <c r="L42" s="5">
        <v>219.65</v>
      </c>
      <c r="M42" s="6">
        <v>0.2</v>
      </c>
      <c r="N42" t="s">
        <v>10</v>
      </c>
      <c r="O42" s="5">
        <f t="shared" si="0"/>
        <v>175.72000000000003</v>
      </c>
      <c r="P42" s="5">
        <f t="shared" si="1"/>
        <v>702.88000000000011</v>
      </c>
      <c r="Q42" s="5">
        <f>Table1[[#This Row],[Quantity]]*(Table1[[#This Row],[Saleprice]]-Table1[[#This Row],[Costprice]])</f>
        <v>61.6400000000001</v>
      </c>
      <c r="R42">
        <f t="shared" si="2"/>
        <v>2021</v>
      </c>
      <c r="S42">
        <f t="shared" si="3"/>
        <v>9</v>
      </c>
      <c r="T42" t="str">
        <f t="shared" si="4"/>
        <v>September</v>
      </c>
    </row>
    <row r="43" spans="1:20" x14ac:dyDescent="0.3">
      <c r="A43" s="3">
        <v>44457</v>
      </c>
      <c r="B43">
        <v>106</v>
      </c>
      <c r="C43" s="3">
        <f>_xlfn.XLOOKUP(B43,Stores!A:A,Stores!E:E)</f>
        <v>43918</v>
      </c>
      <c r="D43">
        <v>210</v>
      </c>
      <c r="E43" s="3">
        <f>_xlfn.XLOOKUP(D43,SalesReps!A:A,SalesReps!D:D)</f>
        <v>44449</v>
      </c>
      <c r="F43" s="3" t="str">
        <f>_xlfn.XLOOKUP(Table1[[#This Row],[RepID]],SalesReps!A:A,SalesReps!E:E)</f>
        <v>Active</v>
      </c>
      <c r="G43">
        <v>313</v>
      </c>
      <c r="H43" t="str">
        <f>_xlfn.XLOOKUP(Table1[[#This Row],[ProductID]],Products!A:A,Products!B:B)</f>
        <v>Clothing</v>
      </c>
      <c r="I43" t="str">
        <f>_xlfn.XLOOKUP(Table1[[#This Row],[ProductID]],Products!A:A,Products!C:C)</f>
        <v>Women</v>
      </c>
      <c r="J43">
        <v>8</v>
      </c>
      <c r="K43" s="5">
        <f>_xlfn.XLOOKUP(Table1[[#This Row],[ProductID]],Products!A:A,Products!E:E)</f>
        <v>104</v>
      </c>
      <c r="L43" s="5">
        <v>134.80000000000001</v>
      </c>
      <c r="M43" s="6">
        <v>0.24</v>
      </c>
      <c r="N43" t="s">
        <v>10</v>
      </c>
      <c r="O43" s="5">
        <f t="shared" si="0"/>
        <v>102.44800000000001</v>
      </c>
      <c r="P43" s="5">
        <f t="shared" si="1"/>
        <v>819.58400000000006</v>
      </c>
      <c r="Q43" s="5">
        <f>Table1[[#This Row],[Quantity]]*(Table1[[#This Row],[Saleprice]]-Table1[[#This Row],[Costprice]])</f>
        <v>-12.41599999999994</v>
      </c>
      <c r="R43">
        <f t="shared" si="2"/>
        <v>2021</v>
      </c>
      <c r="S43">
        <f t="shared" si="3"/>
        <v>9</v>
      </c>
      <c r="T43" t="str">
        <f t="shared" si="4"/>
        <v>September</v>
      </c>
    </row>
    <row r="44" spans="1:20" x14ac:dyDescent="0.3">
      <c r="A44" s="3">
        <v>44458</v>
      </c>
      <c r="B44">
        <v>106</v>
      </c>
      <c r="C44" s="3">
        <f>_xlfn.XLOOKUP(B44,Stores!A:A,Stores!E:E)</f>
        <v>43918</v>
      </c>
      <c r="D44">
        <v>210</v>
      </c>
      <c r="E44" s="3">
        <f>_xlfn.XLOOKUP(D44,SalesReps!A:A,SalesReps!D:D)</f>
        <v>44449</v>
      </c>
      <c r="F44" s="3" t="str">
        <f>_xlfn.XLOOKUP(Table1[[#This Row],[RepID]],SalesReps!A:A,SalesReps!E:E)</f>
        <v>Active</v>
      </c>
      <c r="G44">
        <v>307</v>
      </c>
      <c r="H44" t="str">
        <f>_xlfn.XLOOKUP(Table1[[#This Row],[ProductID]],Products!A:A,Products!B:B)</f>
        <v>Toys</v>
      </c>
      <c r="I44" t="str">
        <f>_xlfn.XLOOKUP(Table1[[#This Row],[ProductID]],Products!A:A,Products!C:C)</f>
        <v>Outdoor</v>
      </c>
      <c r="J44">
        <v>9</v>
      </c>
      <c r="K44" s="5">
        <f>_xlfn.XLOOKUP(Table1[[#This Row],[ProductID]],Products!A:A,Products!E:E)</f>
        <v>15.17</v>
      </c>
      <c r="L44" s="5">
        <v>57.94</v>
      </c>
      <c r="M44" s="6">
        <v>0.15</v>
      </c>
      <c r="N44" t="s">
        <v>10</v>
      </c>
      <c r="O44" s="5">
        <f t="shared" si="0"/>
        <v>49.248999999999995</v>
      </c>
      <c r="P44" s="5">
        <f t="shared" si="1"/>
        <v>443.24099999999999</v>
      </c>
      <c r="Q44" s="5">
        <f>Table1[[#This Row],[Quantity]]*(Table1[[#This Row],[Saleprice]]-Table1[[#This Row],[Costprice]])</f>
        <v>306.71099999999996</v>
      </c>
      <c r="R44">
        <f t="shared" si="2"/>
        <v>2021</v>
      </c>
      <c r="S44">
        <f t="shared" si="3"/>
        <v>9</v>
      </c>
      <c r="T44" t="str">
        <f t="shared" si="4"/>
        <v>September</v>
      </c>
    </row>
    <row r="45" spans="1:20" x14ac:dyDescent="0.3">
      <c r="A45" s="3">
        <v>44459</v>
      </c>
      <c r="B45">
        <v>106</v>
      </c>
      <c r="C45" s="3">
        <f>_xlfn.XLOOKUP(B45,Stores!A:A,Stores!E:E)</f>
        <v>43918</v>
      </c>
      <c r="D45">
        <v>210</v>
      </c>
      <c r="E45" s="3">
        <f>_xlfn.XLOOKUP(D45,SalesReps!A:A,SalesReps!D:D)</f>
        <v>44449</v>
      </c>
      <c r="F45" s="3" t="str">
        <f>_xlfn.XLOOKUP(Table1[[#This Row],[RepID]],SalesReps!A:A,SalesReps!E:E)</f>
        <v>Active</v>
      </c>
      <c r="G45">
        <v>313</v>
      </c>
      <c r="H45" t="str">
        <f>_xlfn.XLOOKUP(Table1[[#This Row],[ProductID]],Products!A:A,Products!B:B)</f>
        <v>Clothing</v>
      </c>
      <c r="I45" t="str">
        <f>_xlfn.XLOOKUP(Table1[[#This Row],[ProductID]],Products!A:A,Products!C:C)</f>
        <v>Women</v>
      </c>
      <c r="J45">
        <v>3</v>
      </c>
      <c r="K45" s="5">
        <f>_xlfn.XLOOKUP(Table1[[#This Row],[ProductID]],Products!A:A,Products!E:E)</f>
        <v>104</v>
      </c>
      <c r="L45" s="5">
        <v>134.80000000000001</v>
      </c>
      <c r="M45" s="6">
        <v>0.24</v>
      </c>
      <c r="N45" t="s">
        <v>10</v>
      </c>
      <c r="O45" s="5">
        <f t="shared" si="0"/>
        <v>102.44800000000001</v>
      </c>
      <c r="P45" s="5">
        <f t="shared" si="1"/>
        <v>307.34400000000005</v>
      </c>
      <c r="Q45" s="5">
        <f>Table1[[#This Row],[Quantity]]*(Table1[[#This Row],[Saleprice]]-Table1[[#This Row],[Costprice]])</f>
        <v>-4.6559999999999775</v>
      </c>
      <c r="R45">
        <f t="shared" si="2"/>
        <v>2021</v>
      </c>
      <c r="S45">
        <f t="shared" si="3"/>
        <v>9</v>
      </c>
      <c r="T45" t="str">
        <f t="shared" si="4"/>
        <v>September</v>
      </c>
    </row>
    <row r="46" spans="1:20" x14ac:dyDescent="0.3">
      <c r="A46" s="3">
        <v>44463</v>
      </c>
      <c r="B46">
        <v>106</v>
      </c>
      <c r="C46" s="3">
        <f>_xlfn.XLOOKUP(B46,Stores!A:A,Stores!E:E)</f>
        <v>43918</v>
      </c>
      <c r="D46">
        <v>210</v>
      </c>
      <c r="E46" s="3">
        <f>_xlfn.XLOOKUP(D46,SalesReps!A:A,SalesReps!D:D)</f>
        <v>44449</v>
      </c>
      <c r="F46" s="3" t="str">
        <f>_xlfn.XLOOKUP(Table1[[#This Row],[RepID]],SalesReps!A:A,SalesReps!E:E)</f>
        <v>Active</v>
      </c>
      <c r="G46">
        <v>304</v>
      </c>
      <c r="H46" t="str">
        <f>_xlfn.XLOOKUP(Table1[[#This Row],[ProductID]],Products!A:A,Products!B:B)</f>
        <v>Home &amp; Kitchen</v>
      </c>
      <c r="I46" t="str">
        <f>_xlfn.XLOOKUP(Table1[[#This Row],[ProductID]],Products!A:A,Products!C:C)</f>
        <v>Furniture</v>
      </c>
      <c r="J46">
        <v>6</v>
      </c>
      <c r="K46" s="5">
        <f>_xlfn.XLOOKUP(Table1[[#This Row],[ProductID]],Products!A:A,Products!E:E)</f>
        <v>345.38</v>
      </c>
      <c r="L46" s="5">
        <v>371.13</v>
      </c>
      <c r="M46" s="6">
        <v>0.13</v>
      </c>
      <c r="N46" t="s">
        <v>10</v>
      </c>
      <c r="O46" s="5">
        <f t="shared" si="0"/>
        <v>322.88310000000001</v>
      </c>
      <c r="P46" s="5">
        <f t="shared" si="1"/>
        <v>1937.2986000000001</v>
      </c>
      <c r="Q46" s="5">
        <f>Table1[[#This Row],[Quantity]]*(Table1[[#This Row],[Saleprice]]-Table1[[#This Row],[Costprice]])</f>
        <v>-134.98139999999989</v>
      </c>
      <c r="R46">
        <f t="shared" si="2"/>
        <v>2021</v>
      </c>
      <c r="S46">
        <f t="shared" si="3"/>
        <v>9</v>
      </c>
      <c r="T46" t="str">
        <f t="shared" si="4"/>
        <v>September</v>
      </c>
    </row>
    <row r="47" spans="1:20" x14ac:dyDescent="0.3">
      <c r="A47" s="3">
        <v>44463</v>
      </c>
      <c r="B47">
        <v>106</v>
      </c>
      <c r="C47" s="3">
        <f>_xlfn.XLOOKUP(B47,Stores!A:A,Stores!E:E)</f>
        <v>43918</v>
      </c>
      <c r="D47">
        <v>218</v>
      </c>
      <c r="E47" s="3">
        <f>_xlfn.XLOOKUP(D47,SalesReps!A:A,SalesReps!D:D)</f>
        <v>44386</v>
      </c>
      <c r="F47" s="3" t="str">
        <f>_xlfn.XLOOKUP(Table1[[#This Row],[RepID]],SalesReps!A:A,SalesReps!E:E)</f>
        <v>Active</v>
      </c>
      <c r="G47">
        <v>307</v>
      </c>
      <c r="H47" t="str">
        <f>_xlfn.XLOOKUP(Table1[[#This Row],[ProductID]],Products!A:A,Products!B:B)</f>
        <v>Toys</v>
      </c>
      <c r="I47" t="str">
        <f>_xlfn.XLOOKUP(Table1[[#This Row],[ProductID]],Products!A:A,Products!C:C)</f>
        <v>Outdoor</v>
      </c>
      <c r="J47">
        <v>2</v>
      </c>
      <c r="K47" s="5">
        <f>_xlfn.XLOOKUP(Table1[[#This Row],[ProductID]],Products!A:A,Products!E:E)</f>
        <v>15.17</v>
      </c>
      <c r="L47" s="5">
        <v>57.94</v>
      </c>
      <c r="M47" s="6">
        <v>0.15</v>
      </c>
      <c r="N47" t="s">
        <v>10</v>
      </c>
      <c r="O47" s="5">
        <f t="shared" si="0"/>
        <v>49.248999999999995</v>
      </c>
      <c r="P47" s="5">
        <f t="shared" si="1"/>
        <v>98.49799999999999</v>
      </c>
      <c r="Q47" s="5">
        <f>Table1[[#This Row],[Quantity]]*(Table1[[#This Row],[Saleprice]]-Table1[[#This Row],[Costprice]])</f>
        <v>68.157999999999987</v>
      </c>
      <c r="R47">
        <f t="shared" si="2"/>
        <v>2021</v>
      </c>
      <c r="S47">
        <f t="shared" si="3"/>
        <v>9</v>
      </c>
      <c r="T47" t="str">
        <f t="shared" si="4"/>
        <v>September</v>
      </c>
    </row>
    <row r="48" spans="1:20" x14ac:dyDescent="0.3">
      <c r="A48" s="3">
        <v>44464</v>
      </c>
      <c r="B48">
        <v>106</v>
      </c>
      <c r="C48" s="3">
        <f>_xlfn.XLOOKUP(B48,Stores!A:A,Stores!E:E)</f>
        <v>43918</v>
      </c>
      <c r="D48">
        <v>210</v>
      </c>
      <c r="E48" s="3">
        <f>_xlfn.XLOOKUP(D48,SalesReps!A:A,SalesReps!D:D)</f>
        <v>44449</v>
      </c>
      <c r="F48" s="3" t="str">
        <f>_xlfn.XLOOKUP(Table1[[#This Row],[RepID]],SalesReps!A:A,SalesReps!E:E)</f>
        <v>Active</v>
      </c>
      <c r="G48">
        <v>315</v>
      </c>
      <c r="H48" t="str">
        <f>_xlfn.XLOOKUP(Table1[[#This Row],[ProductID]],Products!A:A,Products!B:B)</f>
        <v>Toys</v>
      </c>
      <c r="I48" t="str">
        <f>_xlfn.XLOOKUP(Table1[[#This Row],[ProductID]],Products!A:A,Products!C:C)</f>
        <v>Board Games</v>
      </c>
      <c r="J48">
        <v>4</v>
      </c>
      <c r="K48" s="5">
        <f>_xlfn.XLOOKUP(Table1[[#This Row],[ProductID]],Products!A:A,Products!E:E)</f>
        <v>247.9</v>
      </c>
      <c r="L48" s="5">
        <v>345.95</v>
      </c>
      <c r="M48" s="6">
        <v>0.09</v>
      </c>
      <c r="N48" t="s">
        <v>10</v>
      </c>
      <c r="O48" s="5">
        <f t="shared" si="0"/>
        <v>314.81450000000001</v>
      </c>
      <c r="P48" s="5">
        <f t="shared" si="1"/>
        <v>1259.258</v>
      </c>
      <c r="Q48" s="5">
        <f>Table1[[#This Row],[Quantity]]*(Table1[[#This Row],[Saleprice]]-Table1[[#This Row],[Costprice]])</f>
        <v>267.65800000000002</v>
      </c>
      <c r="R48">
        <f t="shared" si="2"/>
        <v>2021</v>
      </c>
      <c r="S48">
        <f t="shared" si="3"/>
        <v>9</v>
      </c>
      <c r="T48" t="str">
        <f t="shared" si="4"/>
        <v>September</v>
      </c>
    </row>
    <row r="49" spans="1:20" x14ac:dyDescent="0.3">
      <c r="A49" s="3">
        <v>44465</v>
      </c>
      <c r="B49">
        <v>106</v>
      </c>
      <c r="C49" s="3">
        <f>_xlfn.XLOOKUP(B49,Stores!A:A,Stores!E:E)</f>
        <v>43918</v>
      </c>
      <c r="D49">
        <v>218</v>
      </c>
      <c r="E49" s="3">
        <f>_xlfn.XLOOKUP(D49,SalesReps!A:A,SalesReps!D:D)</f>
        <v>44386</v>
      </c>
      <c r="F49" s="3" t="str">
        <f>_xlfn.XLOOKUP(Table1[[#This Row],[RepID]],SalesReps!A:A,SalesReps!E:E)</f>
        <v>Active</v>
      </c>
      <c r="G49">
        <v>305</v>
      </c>
      <c r="H49" t="str">
        <f>_xlfn.XLOOKUP(Table1[[#This Row],[ProductID]],Products!A:A,Products!B:B)</f>
        <v>Electronics</v>
      </c>
      <c r="I49" t="str">
        <f>_xlfn.XLOOKUP(Table1[[#This Row],[ProductID]],Products!A:A,Products!C:C)</f>
        <v>Accessories</v>
      </c>
      <c r="J49">
        <v>2</v>
      </c>
      <c r="K49" s="5">
        <f>_xlfn.XLOOKUP(Table1[[#This Row],[ProductID]],Products!A:A,Products!E:E)</f>
        <v>275.32</v>
      </c>
      <c r="L49" s="5">
        <v>333.34</v>
      </c>
      <c r="M49" s="6">
        <v>0.13</v>
      </c>
      <c r="N49" t="s">
        <v>10</v>
      </c>
      <c r="O49" s="5">
        <f t="shared" si="0"/>
        <v>290.00579999999997</v>
      </c>
      <c r="P49" s="5">
        <f t="shared" si="1"/>
        <v>580.01159999999993</v>
      </c>
      <c r="Q49" s="5">
        <f>Table1[[#This Row],[Quantity]]*(Table1[[#This Row],[Saleprice]]-Table1[[#This Row],[Costprice]])</f>
        <v>29.371599999999944</v>
      </c>
      <c r="R49">
        <f t="shared" si="2"/>
        <v>2021</v>
      </c>
      <c r="S49">
        <f t="shared" si="3"/>
        <v>9</v>
      </c>
      <c r="T49" t="str">
        <f t="shared" si="4"/>
        <v>September</v>
      </c>
    </row>
    <row r="50" spans="1:20" x14ac:dyDescent="0.3">
      <c r="A50" s="3">
        <v>44467</v>
      </c>
      <c r="B50">
        <v>106</v>
      </c>
      <c r="C50" s="3">
        <f>_xlfn.XLOOKUP(B50,Stores!A:A,Stores!E:E)</f>
        <v>43918</v>
      </c>
      <c r="D50">
        <v>210</v>
      </c>
      <c r="E50" s="3">
        <f>_xlfn.XLOOKUP(D50,SalesReps!A:A,SalesReps!D:D)</f>
        <v>44449</v>
      </c>
      <c r="F50" s="3" t="str">
        <f>_xlfn.XLOOKUP(Table1[[#This Row],[RepID]],SalesReps!A:A,SalesReps!E:E)</f>
        <v>Active</v>
      </c>
      <c r="G50">
        <v>318</v>
      </c>
      <c r="H50" t="str">
        <f>_xlfn.XLOOKUP(Table1[[#This Row],[ProductID]],Products!A:A,Products!B:B)</f>
        <v>Electronics</v>
      </c>
      <c r="I50" t="str">
        <f>_xlfn.XLOOKUP(Table1[[#This Row],[ProductID]],Products!A:A,Products!C:C)</f>
        <v>Mobiles</v>
      </c>
      <c r="J50">
        <v>6</v>
      </c>
      <c r="K50" s="5">
        <f>_xlfn.XLOOKUP(Table1[[#This Row],[ProductID]],Products!A:A,Products!E:E)</f>
        <v>162.51</v>
      </c>
      <c r="L50" s="5">
        <v>190.18</v>
      </c>
      <c r="M50" s="6">
        <v>0.19</v>
      </c>
      <c r="N50" t="s">
        <v>10</v>
      </c>
      <c r="O50" s="5">
        <f t="shared" si="0"/>
        <v>154.04580000000001</v>
      </c>
      <c r="P50" s="5">
        <f t="shared" si="1"/>
        <v>924.27480000000014</v>
      </c>
      <c r="Q50" s="5">
        <f>Table1[[#This Row],[Quantity]]*(Table1[[#This Row],[Saleprice]]-Table1[[#This Row],[Costprice]])</f>
        <v>-50.785199999999861</v>
      </c>
      <c r="R50">
        <f t="shared" si="2"/>
        <v>2021</v>
      </c>
      <c r="S50">
        <f t="shared" si="3"/>
        <v>9</v>
      </c>
      <c r="T50" t="str">
        <f t="shared" si="4"/>
        <v>September</v>
      </c>
    </row>
    <row r="51" spans="1:20" x14ac:dyDescent="0.3">
      <c r="A51" s="3">
        <v>44467</v>
      </c>
      <c r="B51">
        <v>106</v>
      </c>
      <c r="C51" s="3">
        <f>_xlfn.XLOOKUP(B51,Stores!A:A,Stores!E:E)</f>
        <v>43918</v>
      </c>
      <c r="D51">
        <v>210</v>
      </c>
      <c r="E51" s="3">
        <f>_xlfn.XLOOKUP(D51,SalesReps!A:A,SalesReps!D:D)</f>
        <v>44449</v>
      </c>
      <c r="F51" s="3" t="str">
        <f>_xlfn.XLOOKUP(Table1[[#This Row],[RepID]],SalesReps!A:A,SalesReps!E:E)</f>
        <v>Active</v>
      </c>
      <c r="G51">
        <v>304</v>
      </c>
      <c r="H51" t="str">
        <f>_xlfn.XLOOKUP(Table1[[#This Row],[ProductID]],Products!A:A,Products!B:B)</f>
        <v>Home &amp; Kitchen</v>
      </c>
      <c r="I51" t="str">
        <f>_xlfn.XLOOKUP(Table1[[#This Row],[ProductID]],Products!A:A,Products!C:C)</f>
        <v>Furniture</v>
      </c>
      <c r="J51">
        <v>9</v>
      </c>
      <c r="K51" s="5">
        <f>_xlfn.XLOOKUP(Table1[[#This Row],[ProductID]],Products!A:A,Products!E:E)</f>
        <v>345.38</v>
      </c>
      <c r="L51" s="5">
        <v>371.13</v>
      </c>
      <c r="M51" s="6">
        <v>0.13</v>
      </c>
      <c r="N51" t="s">
        <v>10</v>
      </c>
      <c r="O51" s="5">
        <f t="shared" si="0"/>
        <v>322.88310000000001</v>
      </c>
      <c r="P51" s="5">
        <f t="shared" si="1"/>
        <v>2905.9479000000001</v>
      </c>
      <c r="Q51" s="5">
        <f>Table1[[#This Row],[Quantity]]*(Table1[[#This Row],[Saleprice]]-Table1[[#This Row],[Costprice]])</f>
        <v>-202.47209999999984</v>
      </c>
      <c r="R51">
        <f t="shared" si="2"/>
        <v>2021</v>
      </c>
      <c r="S51">
        <f t="shared" si="3"/>
        <v>9</v>
      </c>
      <c r="T51" t="str">
        <f t="shared" si="4"/>
        <v>September</v>
      </c>
    </row>
    <row r="52" spans="1:20" x14ac:dyDescent="0.3">
      <c r="A52" s="3">
        <v>44467</v>
      </c>
      <c r="B52">
        <v>106</v>
      </c>
      <c r="C52" s="3">
        <f>_xlfn.XLOOKUP(B52,Stores!A:A,Stores!E:E)</f>
        <v>43918</v>
      </c>
      <c r="D52">
        <v>210</v>
      </c>
      <c r="E52" s="3">
        <f>_xlfn.XLOOKUP(D52,SalesReps!A:A,SalesReps!D:D)</f>
        <v>44449</v>
      </c>
      <c r="F52" s="3" t="str">
        <f>_xlfn.XLOOKUP(Table1[[#This Row],[RepID]],SalesReps!A:A,SalesReps!E:E)</f>
        <v>Active</v>
      </c>
      <c r="G52">
        <v>312</v>
      </c>
      <c r="H52" t="str">
        <f>_xlfn.XLOOKUP(Table1[[#This Row],[ProductID]],Products!A:A,Products!B:B)</f>
        <v>Toys</v>
      </c>
      <c r="I52" t="str">
        <f>_xlfn.XLOOKUP(Table1[[#This Row],[ProductID]],Products!A:A,Products!C:C)</f>
        <v>Board Games</v>
      </c>
      <c r="J52">
        <v>3</v>
      </c>
      <c r="K52" s="5">
        <f>_xlfn.XLOOKUP(Table1[[#This Row],[ProductID]],Products!A:A,Products!E:E)</f>
        <v>100.05</v>
      </c>
      <c r="L52" s="5">
        <v>123.51</v>
      </c>
      <c r="M52" s="6">
        <v>0.06</v>
      </c>
      <c r="N52" t="s">
        <v>10</v>
      </c>
      <c r="O52" s="5">
        <f t="shared" si="0"/>
        <v>116.0994</v>
      </c>
      <c r="P52" s="5">
        <f t="shared" si="1"/>
        <v>348.29820000000001</v>
      </c>
      <c r="Q52" s="5">
        <f>Table1[[#This Row],[Quantity]]*(Table1[[#This Row],[Saleprice]]-Table1[[#This Row],[Costprice]])</f>
        <v>48.148200000000017</v>
      </c>
      <c r="R52">
        <f t="shared" si="2"/>
        <v>2021</v>
      </c>
      <c r="S52">
        <f t="shared" si="3"/>
        <v>9</v>
      </c>
      <c r="T52" t="str">
        <f t="shared" si="4"/>
        <v>September</v>
      </c>
    </row>
    <row r="53" spans="1:20" x14ac:dyDescent="0.3">
      <c r="A53" s="3">
        <v>44468</v>
      </c>
      <c r="B53">
        <v>106</v>
      </c>
      <c r="C53" s="3">
        <f>_xlfn.XLOOKUP(B53,Stores!A:A,Stores!E:E)</f>
        <v>43918</v>
      </c>
      <c r="D53">
        <v>210</v>
      </c>
      <c r="E53" s="3">
        <f>_xlfn.XLOOKUP(D53,SalesReps!A:A,SalesReps!D:D)</f>
        <v>44449</v>
      </c>
      <c r="F53" s="3" t="str">
        <f>_xlfn.XLOOKUP(Table1[[#This Row],[RepID]],SalesReps!A:A,SalesReps!E:E)</f>
        <v>Active</v>
      </c>
      <c r="G53">
        <v>320</v>
      </c>
      <c r="H53" t="str">
        <f>_xlfn.XLOOKUP(Table1[[#This Row],[ProductID]],Products!A:A,Products!B:B)</f>
        <v>Toys</v>
      </c>
      <c r="I53" t="str">
        <f>_xlfn.XLOOKUP(Table1[[#This Row],[ProductID]],Products!A:A,Products!C:C)</f>
        <v>Outdoor</v>
      </c>
      <c r="J53">
        <v>4</v>
      </c>
      <c r="K53" s="5">
        <f>_xlfn.XLOOKUP(Table1[[#This Row],[ProductID]],Products!A:A,Products!E:E)</f>
        <v>304.58999999999997</v>
      </c>
      <c r="L53" s="5">
        <v>347.27</v>
      </c>
      <c r="M53" s="6">
        <v>0.23</v>
      </c>
      <c r="N53" t="s">
        <v>10</v>
      </c>
      <c r="O53" s="5">
        <f t="shared" si="0"/>
        <v>267.39789999999999</v>
      </c>
      <c r="P53" s="5">
        <f t="shared" si="1"/>
        <v>1069.5916</v>
      </c>
      <c r="Q53" s="5">
        <f>Table1[[#This Row],[Quantity]]*(Table1[[#This Row],[Saleprice]]-Table1[[#This Row],[Costprice]])</f>
        <v>-148.76839999999993</v>
      </c>
      <c r="R53">
        <f t="shared" si="2"/>
        <v>2021</v>
      </c>
      <c r="S53">
        <f t="shared" si="3"/>
        <v>9</v>
      </c>
      <c r="T53" t="str">
        <f t="shared" si="4"/>
        <v>September</v>
      </c>
    </row>
    <row r="54" spans="1:20" x14ac:dyDescent="0.3">
      <c r="A54" s="3">
        <v>44471</v>
      </c>
      <c r="B54">
        <v>106</v>
      </c>
      <c r="C54" s="3">
        <f>_xlfn.XLOOKUP(B54,Stores!A:A,Stores!E:E)</f>
        <v>43918</v>
      </c>
      <c r="D54">
        <v>210</v>
      </c>
      <c r="E54" s="3">
        <f>_xlfn.XLOOKUP(D54,SalesReps!A:A,SalesReps!D:D)</f>
        <v>44449</v>
      </c>
      <c r="F54" s="3" t="str">
        <f>_xlfn.XLOOKUP(Table1[[#This Row],[RepID]],SalesReps!A:A,SalesReps!E:E)</f>
        <v>Active</v>
      </c>
      <c r="G54">
        <v>318</v>
      </c>
      <c r="H54" t="str">
        <f>_xlfn.XLOOKUP(Table1[[#This Row],[ProductID]],Products!A:A,Products!B:B)</f>
        <v>Electronics</v>
      </c>
      <c r="I54" t="str">
        <f>_xlfn.XLOOKUP(Table1[[#This Row],[ProductID]],Products!A:A,Products!C:C)</f>
        <v>Mobiles</v>
      </c>
      <c r="J54">
        <v>2</v>
      </c>
      <c r="K54" s="5">
        <f>_xlfn.XLOOKUP(Table1[[#This Row],[ProductID]],Products!A:A,Products!E:E)</f>
        <v>162.51</v>
      </c>
      <c r="L54" s="5">
        <v>190.18</v>
      </c>
      <c r="M54" s="6">
        <v>0.19</v>
      </c>
      <c r="N54" t="s">
        <v>10</v>
      </c>
      <c r="O54" s="5">
        <f t="shared" si="0"/>
        <v>154.04580000000001</v>
      </c>
      <c r="P54" s="5">
        <f t="shared" si="1"/>
        <v>308.09160000000003</v>
      </c>
      <c r="Q54" s="5">
        <f>Table1[[#This Row],[Quantity]]*(Table1[[#This Row],[Saleprice]]-Table1[[#This Row],[Costprice]])</f>
        <v>-16.928399999999954</v>
      </c>
      <c r="R54">
        <f t="shared" si="2"/>
        <v>2021</v>
      </c>
      <c r="S54">
        <f t="shared" si="3"/>
        <v>10</v>
      </c>
      <c r="T54" t="str">
        <f t="shared" si="4"/>
        <v>October</v>
      </c>
    </row>
    <row r="55" spans="1:20" x14ac:dyDescent="0.3">
      <c r="A55" s="3">
        <v>44472</v>
      </c>
      <c r="B55">
        <v>106</v>
      </c>
      <c r="C55" s="3">
        <f>_xlfn.XLOOKUP(B55,Stores!A:A,Stores!E:E)</f>
        <v>43918</v>
      </c>
      <c r="D55">
        <v>210</v>
      </c>
      <c r="E55" s="3">
        <f>_xlfn.XLOOKUP(D55,SalesReps!A:A,SalesReps!D:D)</f>
        <v>44449</v>
      </c>
      <c r="F55" s="3" t="str">
        <f>_xlfn.XLOOKUP(Table1[[#This Row],[RepID]],SalesReps!A:A,SalesReps!E:E)</f>
        <v>Active</v>
      </c>
      <c r="G55">
        <v>307</v>
      </c>
      <c r="H55" t="str">
        <f>_xlfn.XLOOKUP(Table1[[#This Row],[ProductID]],Products!A:A,Products!B:B)</f>
        <v>Toys</v>
      </c>
      <c r="I55" t="str">
        <f>_xlfn.XLOOKUP(Table1[[#This Row],[ProductID]],Products!A:A,Products!C:C)</f>
        <v>Outdoor</v>
      </c>
      <c r="J55">
        <v>7</v>
      </c>
      <c r="K55" s="5">
        <f>_xlfn.XLOOKUP(Table1[[#This Row],[ProductID]],Products!A:A,Products!E:E)</f>
        <v>15.17</v>
      </c>
      <c r="L55" s="5">
        <v>57.94</v>
      </c>
      <c r="M55" s="6">
        <v>0.15</v>
      </c>
      <c r="N55" t="s">
        <v>10</v>
      </c>
      <c r="O55" s="5">
        <f t="shared" si="0"/>
        <v>49.248999999999995</v>
      </c>
      <c r="P55" s="5">
        <f t="shared" si="1"/>
        <v>344.74299999999994</v>
      </c>
      <c r="Q55" s="5">
        <f>Table1[[#This Row],[Quantity]]*(Table1[[#This Row],[Saleprice]]-Table1[[#This Row],[Costprice]])</f>
        <v>238.55299999999994</v>
      </c>
      <c r="R55">
        <f t="shared" si="2"/>
        <v>2021</v>
      </c>
      <c r="S55">
        <f t="shared" si="3"/>
        <v>10</v>
      </c>
      <c r="T55" t="str">
        <f t="shared" si="4"/>
        <v>October</v>
      </c>
    </row>
    <row r="56" spans="1:20" x14ac:dyDescent="0.3">
      <c r="A56" s="3">
        <v>44472</v>
      </c>
      <c r="B56">
        <v>106</v>
      </c>
      <c r="C56" s="3">
        <f>_xlfn.XLOOKUP(B56,Stores!A:A,Stores!E:E)</f>
        <v>43918</v>
      </c>
      <c r="D56">
        <v>210</v>
      </c>
      <c r="E56" s="3">
        <f>_xlfn.XLOOKUP(D56,SalesReps!A:A,SalesReps!D:D)</f>
        <v>44449</v>
      </c>
      <c r="F56" s="3" t="str">
        <f>_xlfn.XLOOKUP(Table1[[#This Row],[RepID]],SalesReps!A:A,SalesReps!E:E)</f>
        <v>Active</v>
      </c>
      <c r="G56">
        <v>311</v>
      </c>
      <c r="H56" t="str">
        <f>_xlfn.XLOOKUP(Table1[[#This Row],[ProductID]],Products!A:A,Products!B:B)</f>
        <v>Home &amp; Kitchen</v>
      </c>
      <c r="I56" t="str">
        <f>_xlfn.XLOOKUP(Table1[[#This Row],[ProductID]],Products!A:A,Products!C:C)</f>
        <v>Furniture</v>
      </c>
      <c r="J56">
        <v>2</v>
      </c>
      <c r="K56" s="5">
        <f>_xlfn.XLOOKUP(Table1[[#This Row],[ProductID]],Products!A:A,Products!E:E)</f>
        <v>16.23</v>
      </c>
      <c r="L56" s="5">
        <v>101.43</v>
      </c>
      <c r="M56" s="6">
        <v>0.24</v>
      </c>
      <c r="N56" t="s">
        <v>10</v>
      </c>
      <c r="O56" s="5">
        <f t="shared" si="0"/>
        <v>77.086800000000011</v>
      </c>
      <c r="P56" s="5">
        <f t="shared" si="1"/>
        <v>154.17360000000002</v>
      </c>
      <c r="Q56" s="5">
        <f>Table1[[#This Row],[Quantity]]*(Table1[[#This Row],[Saleprice]]-Table1[[#This Row],[Costprice]])</f>
        <v>121.71360000000001</v>
      </c>
      <c r="R56">
        <f t="shared" si="2"/>
        <v>2021</v>
      </c>
      <c r="S56">
        <f t="shared" si="3"/>
        <v>10</v>
      </c>
      <c r="T56" t="str">
        <f t="shared" si="4"/>
        <v>October</v>
      </c>
    </row>
    <row r="57" spans="1:20" x14ac:dyDescent="0.3">
      <c r="A57" s="3">
        <v>44473</v>
      </c>
      <c r="B57">
        <v>108</v>
      </c>
      <c r="C57" s="3">
        <f>_xlfn.XLOOKUP(B57,Stores!A:A,Stores!E:E)</f>
        <v>43961</v>
      </c>
      <c r="D57">
        <v>205</v>
      </c>
      <c r="E57" s="3">
        <f>_xlfn.XLOOKUP(D57,SalesReps!A:A,SalesReps!D:D)</f>
        <v>44473</v>
      </c>
      <c r="F57" s="3" t="str">
        <f>_xlfn.XLOOKUP(Table1[[#This Row],[RepID]],SalesReps!A:A,SalesReps!E:E)</f>
        <v>Active</v>
      </c>
      <c r="G57">
        <v>309</v>
      </c>
      <c r="H57" t="str">
        <f>_xlfn.XLOOKUP(Table1[[#This Row],[ProductID]],Products!A:A,Products!B:B)</f>
        <v>Electronics</v>
      </c>
      <c r="I57" t="str">
        <f>_xlfn.XLOOKUP(Table1[[#This Row],[ProductID]],Products!A:A,Products!C:C)</f>
        <v>Laptops</v>
      </c>
      <c r="J57">
        <v>3</v>
      </c>
      <c r="K57" s="5">
        <f>_xlfn.XLOOKUP(Table1[[#This Row],[ProductID]],Products!A:A,Products!E:E)</f>
        <v>229.68</v>
      </c>
      <c r="L57" s="5">
        <v>263.95</v>
      </c>
      <c r="M57" s="6">
        <v>0.16</v>
      </c>
      <c r="N57" t="s">
        <v>8</v>
      </c>
      <c r="O57" s="5">
        <f t="shared" si="0"/>
        <v>221.71799999999999</v>
      </c>
      <c r="P57" s="5">
        <f t="shared" si="1"/>
        <v>665.154</v>
      </c>
      <c r="Q57" s="5">
        <f>Table1[[#This Row],[Quantity]]*(Table1[[#This Row],[Saleprice]]-Table1[[#This Row],[Costprice]])</f>
        <v>-23.886000000000053</v>
      </c>
      <c r="R57">
        <f t="shared" si="2"/>
        <v>2021</v>
      </c>
      <c r="S57">
        <f t="shared" si="3"/>
        <v>10</v>
      </c>
      <c r="T57" t="str">
        <f t="shared" si="4"/>
        <v>October</v>
      </c>
    </row>
    <row r="58" spans="1:20" x14ac:dyDescent="0.3">
      <c r="A58" s="3">
        <v>44473</v>
      </c>
      <c r="B58">
        <v>108</v>
      </c>
      <c r="C58" s="3">
        <f>_xlfn.XLOOKUP(B58,Stores!A:A,Stores!E:E)</f>
        <v>43961</v>
      </c>
      <c r="D58">
        <v>205</v>
      </c>
      <c r="E58" s="3">
        <f>_xlfn.XLOOKUP(D58,SalesReps!A:A,SalesReps!D:D)</f>
        <v>44473</v>
      </c>
      <c r="F58" s="3" t="str">
        <f>_xlfn.XLOOKUP(Table1[[#This Row],[RepID]],SalesReps!A:A,SalesReps!E:E)</f>
        <v>Active</v>
      </c>
      <c r="G58">
        <v>320</v>
      </c>
      <c r="H58" t="str">
        <f>_xlfn.XLOOKUP(Table1[[#This Row],[ProductID]],Products!A:A,Products!B:B)</f>
        <v>Toys</v>
      </c>
      <c r="I58" t="str">
        <f>_xlfn.XLOOKUP(Table1[[#This Row],[ProductID]],Products!A:A,Products!C:C)</f>
        <v>Outdoor</v>
      </c>
      <c r="J58">
        <v>9</v>
      </c>
      <c r="K58" s="5">
        <f>_xlfn.XLOOKUP(Table1[[#This Row],[ProductID]],Products!A:A,Products!E:E)</f>
        <v>304.58999999999997</v>
      </c>
      <c r="L58" s="5">
        <v>331.75</v>
      </c>
      <c r="M58" s="6">
        <v>0.17</v>
      </c>
      <c r="N58" t="s">
        <v>8</v>
      </c>
      <c r="O58" s="5">
        <f t="shared" si="0"/>
        <v>275.35249999999996</v>
      </c>
      <c r="P58" s="5">
        <f t="shared" si="1"/>
        <v>2478.1724999999997</v>
      </c>
      <c r="Q58" s="5">
        <f>Table1[[#This Row],[Quantity]]*(Table1[[#This Row],[Saleprice]]-Table1[[#This Row],[Costprice]])</f>
        <v>-263.1375000000001</v>
      </c>
      <c r="R58">
        <f t="shared" si="2"/>
        <v>2021</v>
      </c>
      <c r="S58">
        <f t="shared" si="3"/>
        <v>10</v>
      </c>
      <c r="T58" t="str">
        <f t="shared" si="4"/>
        <v>October</v>
      </c>
    </row>
    <row r="59" spans="1:20" x14ac:dyDescent="0.3">
      <c r="A59" s="3">
        <v>44474</v>
      </c>
      <c r="B59">
        <v>108</v>
      </c>
      <c r="C59" s="3">
        <f>_xlfn.XLOOKUP(B59,Stores!A:A,Stores!E:E)</f>
        <v>43961</v>
      </c>
      <c r="D59">
        <v>205</v>
      </c>
      <c r="E59" s="3">
        <f>_xlfn.XLOOKUP(D59,SalesReps!A:A,SalesReps!D:D)</f>
        <v>44473</v>
      </c>
      <c r="F59" s="3" t="str">
        <f>_xlfn.XLOOKUP(Table1[[#This Row],[RepID]],SalesReps!A:A,SalesReps!E:E)</f>
        <v>Active</v>
      </c>
      <c r="G59">
        <v>316</v>
      </c>
      <c r="H59" t="str">
        <f>_xlfn.XLOOKUP(Table1[[#This Row],[ProductID]],Products!A:A,Products!B:B)</f>
        <v>Home &amp; Kitchen</v>
      </c>
      <c r="I59" t="str">
        <f>_xlfn.XLOOKUP(Table1[[#This Row],[ProductID]],Products!A:A,Products!C:C)</f>
        <v>Furniture</v>
      </c>
      <c r="J59">
        <v>4</v>
      </c>
      <c r="K59" s="5">
        <f>_xlfn.XLOOKUP(Table1[[#This Row],[ProductID]],Products!A:A,Products!E:E)</f>
        <v>334.95</v>
      </c>
      <c r="L59" s="5">
        <v>394.42</v>
      </c>
      <c r="M59" s="6">
        <v>0.08</v>
      </c>
      <c r="N59" t="s">
        <v>8</v>
      </c>
      <c r="O59" s="5">
        <f t="shared" si="0"/>
        <v>362.86640000000006</v>
      </c>
      <c r="P59" s="5">
        <f t="shared" si="1"/>
        <v>1451.4656000000002</v>
      </c>
      <c r="Q59" s="5">
        <f>Table1[[#This Row],[Quantity]]*(Table1[[#This Row],[Saleprice]]-Table1[[#This Row],[Costprice]])</f>
        <v>111.66560000000027</v>
      </c>
      <c r="R59">
        <f t="shared" si="2"/>
        <v>2021</v>
      </c>
      <c r="S59">
        <f t="shared" si="3"/>
        <v>10</v>
      </c>
      <c r="T59" t="str">
        <f t="shared" si="4"/>
        <v>October</v>
      </c>
    </row>
    <row r="60" spans="1:20" x14ac:dyDescent="0.3">
      <c r="A60" s="3">
        <v>44474</v>
      </c>
      <c r="B60">
        <v>108</v>
      </c>
      <c r="C60" s="3">
        <f>_xlfn.XLOOKUP(B60,Stores!A:A,Stores!E:E)</f>
        <v>43961</v>
      </c>
      <c r="D60">
        <v>205</v>
      </c>
      <c r="E60" s="3">
        <f>_xlfn.XLOOKUP(D60,SalesReps!A:A,SalesReps!D:D)</f>
        <v>44473</v>
      </c>
      <c r="F60" s="3" t="str">
        <f>_xlfn.XLOOKUP(Table1[[#This Row],[RepID]],SalesReps!A:A,SalesReps!E:E)</f>
        <v>Active</v>
      </c>
      <c r="G60">
        <v>319</v>
      </c>
      <c r="H60" t="str">
        <f>_xlfn.XLOOKUP(Table1[[#This Row],[ProductID]],Products!A:A,Products!B:B)</f>
        <v>Toys</v>
      </c>
      <c r="I60" t="str">
        <f>_xlfn.XLOOKUP(Table1[[#This Row],[ProductID]],Products!A:A,Products!C:C)</f>
        <v>Board Games</v>
      </c>
      <c r="J60">
        <v>3</v>
      </c>
      <c r="K60" s="5">
        <f>_xlfn.XLOOKUP(Table1[[#This Row],[ProductID]],Products!A:A,Products!E:E)</f>
        <v>81.069999999999993</v>
      </c>
      <c r="L60" s="5">
        <v>160.29</v>
      </c>
      <c r="M60" s="6">
        <v>7.0000000000000007E-2</v>
      </c>
      <c r="N60" t="s">
        <v>8</v>
      </c>
      <c r="O60" s="5">
        <f t="shared" si="0"/>
        <v>149.06969999999998</v>
      </c>
      <c r="P60" s="5">
        <f t="shared" si="1"/>
        <v>447.20909999999992</v>
      </c>
      <c r="Q60" s="5">
        <f>Table1[[#This Row],[Quantity]]*(Table1[[#This Row],[Saleprice]]-Table1[[#This Row],[Costprice]])</f>
        <v>203.99909999999997</v>
      </c>
      <c r="R60">
        <f t="shared" si="2"/>
        <v>2021</v>
      </c>
      <c r="S60">
        <f t="shared" si="3"/>
        <v>10</v>
      </c>
      <c r="T60" t="str">
        <f t="shared" si="4"/>
        <v>October</v>
      </c>
    </row>
    <row r="61" spans="1:20" x14ac:dyDescent="0.3">
      <c r="A61" s="3">
        <v>44475</v>
      </c>
      <c r="B61">
        <v>106</v>
      </c>
      <c r="C61" s="3">
        <f>_xlfn.XLOOKUP(B61,Stores!A:A,Stores!E:E)</f>
        <v>43918</v>
      </c>
      <c r="D61">
        <v>218</v>
      </c>
      <c r="E61" s="3">
        <f>_xlfn.XLOOKUP(D61,SalesReps!A:A,SalesReps!D:D)</f>
        <v>44386</v>
      </c>
      <c r="F61" s="3" t="str">
        <f>_xlfn.XLOOKUP(Table1[[#This Row],[RepID]],SalesReps!A:A,SalesReps!E:E)</f>
        <v>Active</v>
      </c>
      <c r="G61">
        <v>316</v>
      </c>
      <c r="H61" t="str">
        <f>_xlfn.XLOOKUP(Table1[[#This Row],[ProductID]],Products!A:A,Products!B:B)</f>
        <v>Home &amp; Kitchen</v>
      </c>
      <c r="I61" t="str">
        <f>_xlfn.XLOOKUP(Table1[[#This Row],[ProductID]],Products!A:A,Products!C:C)</f>
        <v>Furniture</v>
      </c>
      <c r="J61">
        <v>6</v>
      </c>
      <c r="K61" s="5">
        <f>_xlfn.XLOOKUP(Table1[[#This Row],[ProductID]],Products!A:A,Products!E:E)</f>
        <v>334.95</v>
      </c>
      <c r="L61" s="5">
        <v>422.33</v>
      </c>
      <c r="M61" s="6">
        <v>0.18</v>
      </c>
      <c r="N61" t="s">
        <v>10</v>
      </c>
      <c r="O61" s="5">
        <f t="shared" si="0"/>
        <v>346.31060000000002</v>
      </c>
      <c r="P61" s="5">
        <f t="shared" si="1"/>
        <v>2077.8636000000001</v>
      </c>
      <c r="Q61" s="5">
        <f>Table1[[#This Row],[Quantity]]*(Table1[[#This Row],[Saleprice]]-Table1[[#This Row],[Costprice]])</f>
        <v>68.163600000000201</v>
      </c>
      <c r="R61">
        <f t="shared" si="2"/>
        <v>2021</v>
      </c>
      <c r="S61">
        <f t="shared" si="3"/>
        <v>10</v>
      </c>
      <c r="T61" t="str">
        <f t="shared" si="4"/>
        <v>October</v>
      </c>
    </row>
    <row r="62" spans="1:20" x14ac:dyDescent="0.3">
      <c r="A62" s="3">
        <v>44476</v>
      </c>
      <c r="B62">
        <v>108</v>
      </c>
      <c r="C62" s="3">
        <f>_xlfn.XLOOKUP(B62,Stores!A:A,Stores!E:E)</f>
        <v>43961</v>
      </c>
      <c r="D62">
        <v>205</v>
      </c>
      <c r="E62" s="3">
        <f>_xlfn.XLOOKUP(D62,SalesReps!A:A,SalesReps!D:D)</f>
        <v>44473</v>
      </c>
      <c r="F62" s="3" t="str">
        <f>_xlfn.XLOOKUP(Table1[[#This Row],[RepID]],SalesReps!A:A,SalesReps!E:E)</f>
        <v>Active</v>
      </c>
      <c r="G62">
        <v>302</v>
      </c>
      <c r="H62" t="str">
        <f>_xlfn.XLOOKUP(Table1[[#This Row],[ProductID]],Products!A:A,Products!B:B)</f>
        <v>Toys</v>
      </c>
      <c r="I62" t="str">
        <f>_xlfn.XLOOKUP(Table1[[#This Row],[ProductID]],Products!A:A,Products!C:C)</f>
        <v>Outdoor</v>
      </c>
      <c r="J62">
        <v>7</v>
      </c>
      <c r="K62" s="5">
        <f>_xlfn.XLOOKUP(Table1[[#This Row],[ProductID]],Products!A:A,Products!E:E)</f>
        <v>393.46</v>
      </c>
      <c r="L62" s="5">
        <v>479.21</v>
      </c>
      <c r="M62" s="6">
        <v>0.14000000000000001</v>
      </c>
      <c r="N62" t="s">
        <v>8</v>
      </c>
      <c r="O62" s="5">
        <f t="shared" si="0"/>
        <v>412.12059999999997</v>
      </c>
      <c r="P62" s="5">
        <f t="shared" si="1"/>
        <v>2884.8441999999995</v>
      </c>
      <c r="Q62" s="5">
        <f>Table1[[#This Row],[Quantity]]*(Table1[[#This Row],[Saleprice]]-Table1[[#This Row],[Costprice]])</f>
        <v>130.62419999999992</v>
      </c>
      <c r="R62">
        <f t="shared" si="2"/>
        <v>2021</v>
      </c>
      <c r="S62">
        <f t="shared" si="3"/>
        <v>10</v>
      </c>
      <c r="T62" t="str">
        <f t="shared" si="4"/>
        <v>October</v>
      </c>
    </row>
    <row r="63" spans="1:20" x14ac:dyDescent="0.3">
      <c r="A63" s="3">
        <v>44476</v>
      </c>
      <c r="B63">
        <v>106</v>
      </c>
      <c r="C63" s="3">
        <f>_xlfn.XLOOKUP(B63,Stores!A:A,Stores!E:E)</f>
        <v>43918</v>
      </c>
      <c r="D63">
        <v>210</v>
      </c>
      <c r="E63" s="3">
        <f>_xlfn.XLOOKUP(D63,SalesReps!A:A,SalesReps!D:D)</f>
        <v>44449</v>
      </c>
      <c r="F63" s="3" t="str">
        <f>_xlfn.XLOOKUP(Table1[[#This Row],[RepID]],SalesReps!A:A,SalesReps!E:E)</f>
        <v>Active</v>
      </c>
      <c r="G63">
        <v>308</v>
      </c>
      <c r="H63" t="str">
        <f>_xlfn.XLOOKUP(Table1[[#This Row],[ProductID]],Products!A:A,Products!B:B)</f>
        <v>Home &amp; Kitchen</v>
      </c>
      <c r="I63" t="str">
        <f>_xlfn.XLOOKUP(Table1[[#This Row],[ProductID]],Products!A:A,Products!C:C)</f>
        <v>Furniture</v>
      </c>
      <c r="J63">
        <v>9</v>
      </c>
      <c r="K63" s="5">
        <f>_xlfn.XLOOKUP(Table1[[#This Row],[ProductID]],Products!A:A,Products!E:E)</f>
        <v>377.46</v>
      </c>
      <c r="L63" s="5">
        <v>462.89</v>
      </c>
      <c r="M63" s="6">
        <v>0.22</v>
      </c>
      <c r="N63" t="s">
        <v>10</v>
      </c>
      <c r="O63" s="5">
        <f t="shared" si="0"/>
        <v>361.05419999999998</v>
      </c>
      <c r="P63" s="5">
        <f t="shared" si="1"/>
        <v>3249.4877999999999</v>
      </c>
      <c r="Q63" s="5">
        <f>Table1[[#This Row],[Quantity]]*(Table1[[#This Row],[Saleprice]]-Table1[[#This Row],[Costprice]])</f>
        <v>-147.65219999999999</v>
      </c>
      <c r="R63">
        <f t="shared" si="2"/>
        <v>2021</v>
      </c>
      <c r="S63">
        <f t="shared" si="3"/>
        <v>10</v>
      </c>
      <c r="T63" t="str">
        <f t="shared" si="4"/>
        <v>October</v>
      </c>
    </row>
    <row r="64" spans="1:20" x14ac:dyDescent="0.3">
      <c r="A64" s="3">
        <v>44477</v>
      </c>
      <c r="B64">
        <v>108</v>
      </c>
      <c r="C64" s="3">
        <f>_xlfn.XLOOKUP(B64,Stores!A:A,Stores!E:E)</f>
        <v>43961</v>
      </c>
      <c r="D64">
        <v>205</v>
      </c>
      <c r="E64" s="3">
        <f>_xlfn.XLOOKUP(D64,SalesReps!A:A,SalesReps!D:D)</f>
        <v>44473</v>
      </c>
      <c r="F64" s="3" t="str">
        <f>_xlfn.XLOOKUP(Table1[[#This Row],[RepID]],SalesReps!A:A,SalesReps!E:E)</f>
        <v>Active</v>
      </c>
      <c r="G64">
        <v>310</v>
      </c>
      <c r="H64" t="str">
        <f>_xlfn.XLOOKUP(Table1[[#This Row],[ProductID]],Products!A:A,Products!B:B)</f>
        <v>Home &amp; Kitchen</v>
      </c>
      <c r="I64" t="str">
        <f>_xlfn.XLOOKUP(Table1[[#This Row],[ProductID]],Products!A:A,Products!C:C)</f>
        <v>Furniture</v>
      </c>
      <c r="J64">
        <v>6</v>
      </c>
      <c r="K64" s="5">
        <f>_xlfn.XLOOKUP(Table1[[#This Row],[ProductID]],Products!A:A,Products!E:E)</f>
        <v>160.31</v>
      </c>
      <c r="L64" s="5">
        <v>209.95</v>
      </c>
      <c r="M64" s="6">
        <v>0.11</v>
      </c>
      <c r="N64" t="s">
        <v>8</v>
      </c>
      <c r="O64" s="5">
        <f t="shared" si="0"/>
        <v>186.85550000000001</v>
      </c>
      <c r="P64" s="5">
        <f t="shared" si="1"/>
        <v>1121.133</v>
      </c>
      <c r="Q64" s="5">
        <f>Table1[[#This Row],[Quantity]]*(Table1[[#This Row],[Saleprice]]-Table1[[#This Row],[Costprice]])</f>
        <v>159.27300000000002</v>
      </c>
      <c r="R64">
        <f t="shared" si="2"/>
        <v>2021</v>
      </c>
      <c r="S64">
        <f t="shared" si="3"/>
        <v>10</v>
      </c>
      <c r="T64" t="str">
        <f t="shared" si="4"/>
        <v>October</v>
      </c>
    </row>
    <row r="65" spans="1:20" x14ac:dyDescent="0.3">
      <c r="A65" s="3">
        <v>44479</v>
      </c>
      <c r="B65">
        <v>108</v>
      </c>
      <c r="C65" s="3">
        <f>_xlfn.XLOOKUP(B65,Stores!A:A,Stores!E:E)</f>
        <v>43961</v>
      </c>
      <c r="D65">
        <v>205</v>
      </c>
      <c r="E65" s="3">
        <f>_xlfn.XLOOKUP(D65,SalesReps!A:A,SalesReps!D:D)</f>
        <v>44473</v>
      </c>
      <c r="F65" s="3" t="str">
        <f>_xlfn.XLOOKUP(Table1[[#This Row],[RepID]],SalesReps!A:A,SalesReps!E:E)</f>
        <v>Active</v>
      </c>
      <c r="G65">
        <v>306</v>
      </c>
      <c r="H65" t="str">
        <f>_xlfn.XLOOKUP(Table1[[#This Row],[ProductID]],Products!A:A,Products!B:B)</f>
        <v>Clothing</v>
      </c>
      <c r="I65" t="str">
        <f>_xlfn.XLOOKUP(Table1[[#This Row],[ProductID]],Products!A:A,Products!C:C)</f>
        <v>Men</v>
      </c>
      <c r="J65">
        <v>6</v>
      </c>
      <c r="K65" s="5">
        <f>_xlfn.XLOOKUP(Table1[[#This Row],[ProductID]],Products!A:A,Products!E:E)</f>
        <v>185.69</v>
      </c>
      <c r="L65" s="5">
        <v>235.37</v>
      </c>
      <c r="M65" s="6">
        <v>0.25</v>
      </c>
      <c r="N65" t="s">
        <v>8</v>
      </c>
      <c r="O65" s="5">
        <f t="shared" si="0"/>
        <v>176.5275</v>
      </c>
      <c r="P65" s="5">
        <f t="shared" si="1"/>
        <v>1059.165</v>
      </c>
      <c r="Q65" s="5">
        <f>Table1[[#This Row],[Quantity]]*(Table1[[#This Row],[Saleprice]]-Table1[[#This Row],[Costprice]])</f>
        <v>-54.974999999999966</v>
      </c>
      <c r="R65">
        <f t="shared" si="2"/>
        <v>2021</v>
      </c>
      <c r="S65">
        <f t="shared" si="3"/>
        <v>10</v>
      </c>
      <c r="T65" t="str">
        <f t="shared" si="4"/>
        <v>October</v>
      </c>
    </row>
    <row r="66" spans="1:20" x14ac:dyDescent="0.3">
      <c r="A66" s="3">
        <v>44479</v>
      </c>
      <c r="B66">
        <v>108</v>
      </c>
      <c r="C66" s="3">
        <f>_xlfn.XLOOKUP(B66,Stores!A:A,Stores!E:E)</f>
        <v>43961</v>
      </c>
      <c r="D66">
        <v>205</v>
      </c>
      <c r="E66" s="3">
        <f>_xlfn.XLOOKUP(D66,SalesReps!A:A,SalesReps!D:D)</f>
        <v>44473</v>
      </c>
      <c r="F66" s="3" t="str">
        <f>_xlfn.XLOOKUP(Table1[[#This Row],[RepID]],SalesReps!A:A,SalesReps!E:E)</f>
        <v>Active</v>
      </c>
      <c r="G66">
        <v>319</v>
      </c>
      <c r="H66" t="str">
        <f>_xlfn.XLOOKUP(Table1[[#This Row],[ProductID]],Products!A:A,Products!B:B)</f>
        <v>Toys</v>
      </c>
      <c r="I66" t="str">
        <f>_xlfn.XLOOKUP(Table1[[#This Row],[ProductID]],Products!A:A,Products!C:C)</f>
        <v>Board Games</v>
      </c>
      <c r="J66">
        <v>4</v>
      </c>
      <c r="K66" s="5">
        <f>_xlfn.XLOOKUP(Table1[[#This Row],[ProductID]],Products!A:A,Products!E:E)</f>
        <v>81.069999999999993</v>
      </c>
      <c r="L66" s="5">
        <v>160.29</v>
      </c>
      <c r="M66" s="6">
        <v>7.0000000000000007E-2</v>
      </c>
      <c r="N66" t="s">
        <v>8</v>
      </c>
      <c r="O66" s="5">
        <f t="shared" ref="O66:O129" si="5">L66*(1-M66)</f>
        <v>149.06969999999998</v>
      </c>
      <c r="P66" s="5">
        <f t="shared" ref="P66:P129" si="6">O66*J66</f>
        <v>596.27879999999993</v>
      </c>
      <c r="Q66" s="5">
        <f>Table1[[#This Row],[Quantity]]*(Table1[[#This Row],[Saleprice]]-Table1[[#This Row],[Costprice]])</f>
        <v>271.99879999999996</v>
      </c>
      <c r="R66">
        <f t="shared" ref="R66:R129" si="7">YEAR(A66)</f>
        <v>2021</v>
      </c>
      <c r="S66">
        <f t="shared" ref="S66:S129" si="8">MONTH(A66)</f>
        <v>10</v>
      </c>
      <c r="T66" t="str">
        <f t="shared" ref="T66:T129" si="9">TEXT(A66,"MMMM")</f>
        <v>October</v>
      </c>
    </row>
    <row r="67" spans="1:20" x14ac:dyDescent="0.3">
      <c r="A67" s="3">
        <v>44480</v>
      </c>
      <c r="B67">
        <v>108</v>
      </c>
      <c r="C67" s="3">
        <f>_xlfn.XLOOKUP(B67,Stores!A:A,Stores!E:E)</f>
        <v>43961</v>
      </c>
      <c r="D67">
        <v>205</v>
      </c>
      <c r="E67" s="3">
        <f>_xlfn.XLOOKUP(D67,SalesReps!A:A,SalesReps!D:D)</f>
        <v>44473</v>
      </c>
      <c r="F67" s="3" t="str">
        <f>_xlfn.XLOOKUP(Table1[[#This Row],[RepID]],SalesReps!A:A,SalesReps!E:E)</f>
        <v>Active</v>
      </c>
      <c r="G67">
        <v>301</v>
      </c>
      <c r="H67" t="str">
        <f>_xlfn.XLOOKUP(Table1[[#This Row],[ProductID]],Products!A:A,Products!B:B)</f>
        <v>Electronics</v>
      </c>
      <c r="I67" t="str">
        <f>_xlfn.XLOOKUP(Table1[[#This Row],[ProductID]],Products!A:A,Products!C:C)</f>
        <v>Mobiles</v>
      </c>
      <c r="J67">
        <v>3</v>
      </c>
      <c r="K67" s="5">
        <f>_xlfn.XLOOKUP(Table1[[#This Row],[ProductID]],Products!A:A,Products!E:E)</f>
        <v>159.16</v>
      </c>
      <c r="L67" s="5">
        <v>235.16</v>
      </c>
      <c r="M67" s="6">
        <v>0.16</v>
      </c>
      <c r="N67" t="s">
        <v>8</v>
      </c>
      <c r="O67" s="5">
        <f t="shared" si="5"/>
        <v>197.53439999999998</v>
      </c>
      <c r="P67" s="5">
        <f t="shared" si="6"/>
        <v>592.6031999999999</v>
      </c>
      <c r="Q67" s="5">
        <f>Table1[[#This Row],[Quantity]]*(Table1[[#This Row],[Saleprice]]-Table1[[#This Row],[Costprice]])</f>
        <v>115.12319999999994</v>
      </c>
      <c r="R67">
        <f t="shared" si="7"/>
        <v>2021</v>
      </c>
      <c r="S67">
        <f t="shared" si="8"/>
        <v>10</v>
      </c>
      <c r="T67" t="str">
        <f t="shared" si="9"/>
        <v>October</v>
      </c>
    </row>
    <row r="68" spans="1:20" x14ac:dyDescent="0.3">
      <c r="A68" s="3">
        <v>44481</v>
      </c>
      <c r="B68">
        <v>106</v>
      </c>
      <c r="C68" s="3">
        <f>_xlfn.XLOOKUP(B68,Stores!A:A,Stores!E:E)</f>
        <v>43918</v>
      </c>
      <c r="D68">
        <v>210</v>
      </c>
      <c r="E68" s="3">
        <f>_xlfn.XLOOKUP(D68,SalesReps!A:A,SalesReps!D:D)</f>
        <v>44449</v>
      </c>
      <c r="F68" s="3" t="str">
        <f>_xlfn.XLOOKUP(Table1[[#This Row],[RepID]],SalesReps!A:A,SalesReps!E:E)</f>
        <v>Active</v>
      </c>
      <c r="G68">
        <v>304</v>
      </c>
      <c r="H68" t="str">
        <f>_xlfn.XLOOKUP(Table1[[#This Row],[ProductID]],Products!A:A,Products!B:B)</f>
        <v>Home &amp; Kitchen</v>
      </c>
      <c r="I68" t="str">
        <f>_xlfn.XLOOKUP(Table1[[#This Row],[ProductID]],Products!A:A,Products!C:C)</f>
        <v>Furniture</v>
      </c>
      <c r="J68">
        <v>1</v>
      </c>
      <c r="K68" s="5">
        <f>_xlfn.XLOOKUP(Table1[[#This Row],[ProductID]],Products!A:A,Products!E:E)</f>
        <v>345.38</v>
      </c>
      <c r="L68" s="5">
        <v>371.13</v>
      </c>
      <c r="M68" s="6">
        <v>0.13</v>
      </c>
      <c r="N68" t="s">
        <v>10</v>
      </c>
      <c r="O68" s="5">
        <f t="shared" si="5"/>
        <v>322.88310000000001</v>
      </c>
      <c r="P68" s="5">
        <f t="shared" si="6"/>
        <v>322.88310000000001</v>
      </c>
      <c r="Q68" s="5">
        <f>Table1[[#This Row],[Quantity]]*(Table1[[#This Row],[Saleprice]]-Table1[[#This Row],[Costprice]])</f>
        <v>-22.496899999999982</v>
      </c>
      <c r="R68">
        <f t="shared" si="7"/>
        <v>2021</v>
      </c>
      <c r="S68">
        <f t="shared" si="8"/>
        <v>10</v>
      </c>
      <c r="T68" t="str">
        <f t="shared" si="9"/>
        <v>October</v>
      </c>
    </row>
    <row r="69" spans="1:20" x14ac:dyDescent="0.3">
      <c r="A69" s="3">
        <v>44481</v>
      </c>
      <c r="B69">
        <v>108</v>
      </c>
      <c r="C69" s="3">
        <f>_xlfn.XLOOKUP(B69,Stores!A:A,Stores!E:E)</f>
        <v>43961</v>
      </c>
      <c r="D69">
        <v>205</v>
      </c>
      <c r="E69" s="3">
        <f>_xlfn.XLOOKUP(D69,SalesReps!A:A,SalesReps!D:D)</f>
        <v>44473</v>
      </c>
      <c r="F69" s="3" t="str">
        <f>_xlfn.XLOOKUP(Table1[[#This Row],[RepID]],SalesReps!A:A,SalesReps!E:E)</f>
        <v>Active</v>
      </c>
      <c r="G69">
        <v>303</v>
      </c>
      <c r="H69" t="str">
        <f>_xlfn.XLOOKUP(Table1[[#This Row],[ProductID]],Products!A:A,Products!B:B)</f>
        <v>Home &amp; Kitchen</v>
      </c>
      <c r="I69" t="str">
        <f>_xlfn.XLOOKUP(Table1[[#This Row],[ProductID]],Products!A:A,Products!C:C)</f>
        <v>Furniture</v>
      </c>
      <c r="J69">
        <v>5</v>
      </c>
      <c r="K69" s="5">
        <f>_xlfn.XLOOKUP(Table1[[#This Row],[ProductID]],Products!A:A,Products!E:E)</f>
        <v>192.04</v>
      </c>
      <c r="L69" s="5">
        <v>282.14</v>
      </c>
      <c r="M69" s="6">
        <v>0.15</v>
      </c>
      <c r="N69" t="s">
        <v>8</v>
      </c>
      <c r="O69" s="5">
        <f t="shared" si="5"/>
        <v>239.81899999999999</v>
      </c>
      <c r="P69" s="5">
        <f t="shared" si="6"/>
        <v>1199.095</v>
      </c>
      <c r="Q69" s="5">
        <f>Table1[[#This Row],[Quantity]]*(Table1[[#This Row],[Saleprice]]-Table1[[#This Row],[Costprice]])</f>
        <v>238.89499999999998</v>
      </c>
      <c r="R69">
        <f t="shared" si="7"/>
        <v>2021</v>
      </c>
      <c r="S69">
        <f t="shared" si="8"/>
        <v>10</v>
      </c>
      <c r="T69" t="str">
        <f t="shared" si="9"/>
        <v>October</v>
      </c>
    </row>
    <row r="70" spans="1:20" x14ac:dyDescent="0.3">
      <c r="A70" s="3">
        <v>44483</v>
      </c>
      <c r="B70">
        <v>108</v>
      </c>
      <c r="C70" s="3">
        <f>_xlfn.XLOOKUP(B70,Stores!A:A,Stores!E:E)</f>
        <v>43961</v>
      </c>
      <c r="D70">
        <v>205</v>
      </c>
      <c r="E70" s="3">
        <f>_xlfn.XLOOKUP(D70,SalesReps!A:A,SalesReps!D:D)</f>
        <v>44473</v>
      </c>
      <c r="F70" s="3" t="str">
        <f>_xlfn.XLOOKUP(Table1[[#This Row],[RepID]],SalesReps!A:A,SalesReps!E:E)</f>
        <v>Active</v>
      </c>
      <c r="G70">
        <v>310</v>
      </c>
      <c r="H70" t="str">
        <f>_xlfn.XLOOKUP(Table1[[#This Row],[ProductID]],Products!A:A,Products!B:B)</f>
        <v>Home &amp; Kitchen</v>
      </c>
      <c r="I70" t="str">
        <f>_xlfn.XLOOKUP(Table1[[#This Row],[ProductID]],Products!A:A,Products!C:C)</f>
        <v>Furniture</v>
      </c>
      <c r="J70">
        <v>4</v>
      </c>
      <c r="K70" s="5">
        <f>_xlfn.XLOOKUP(Table1[[#This Row],[ProductID]],Products!A:A,Products!E:E)</f>
        <v>160.31</v>
      </c>
      <c r="L70" s="5">
        <v>209.95</v>
      </c>
      <c r="M70" s="6">
        <v>0.11</v>
      </c>
      <c r="N70" t="s">
        <v>8</v>
      </c>
      <c r="O70" s="5">
        <f t="shared" si="5"/>
        <v>186.85550000000001</v>
      </c>
      <c r="P70" s="5">
        <f t="shared" si="6"/>
        <v>747.42200000000003</v>
      </c>
      <c r="Q70" s="5">
        <f>Table1[[#This Row],[Quantity]]*(Table1[[#This Row],[Saleprice]]-Table1[[#This Row],[Costprice]])</f>
        <v>106.18200000000002</v>
      </c>
      <c r="R70">
        <f t="shared" si="7"/>
        <v>2021</v>
      </c>
      <c r="S70">
        <f t="shared" si="8"/>
        <v>10</v>
      </c>
      <c r="T70" t="str">
        <f t="shared" si="9"/>
        <v>October</v>
      </c>
    </row>
    <row r="71" spans="1:20" x14ac:dyDescent="0.3">
      <c r="A71" s="3">
        <v>44484</v>
      </c>
      <c r="B71">
        <v>108</v>
      </c>
      <c r="C71" s="3">
        <f>_xlfn.XLOOKUP(B71,Stores!A:A,Stores!E:E)</f>
        <v>43961</v>
      </c>
      <c r="D71">
        <v>205</v>
      </c>
      <c r="E71" s="3">
        <f>_xlfn.XLOOKUP(D71,SalesReps!A:A,SalesReps!D:D)</f>
        <v>44473</v>
      </c>
      <c r="F71" s="3" t="str">
        <f>_xlfn.XLOOKUP(Table1[[#This Row],[RepID]],SalesReps!A:A,SalesReps!E:E)</f>
        <v>Active</v>
      </c>
      <c r="G71">
        <v>304</v>
      </c>
      <c r="H71" t="str">
        <f>_xlfn.XLOOKUP(Table1[[#This Row],[ProductID]],Products!A:A,Products!B:B)</f>
        <v>Home &amp; Kitchen</v>
      </c>
      <c r="I71" t="str">
        <f>_xlfn.XLOOKUP(Table1[[#This Row],[ProductID]],Products!A:A,Products!C:C)</f>
        <v>Furniture</v>
      </c>
      <c r="J71">
        <v>3</v>
      </c>
      <c r="K71" s="5">
        <f>_xlfn.XLOOKUP(Table1[[#This Row],[ProductID]],Products!A:A,Products!E:E)</f>
        <v>345.38</v>
      </c>
      <c r="L71" s="5">
        <v>361.98</v>
      </c>
      <c r="M71" s="6">
        <v>0.12</v>
      </c>
      <c r="N71" t="s">
        <v>8</v>
      </c>
      <c r="O71" s="5">
        <f t="shared" si="5"/>
        <v>318.54240000000004</v>
      </c>
      <c r="P71" s="5">
        <f t="shared" si="6"/>
        <v>955.62720000000013</v>
      </c>
      <c r="Q71" s="5">
        <f>Table1[[#This Row],[Quantity]]*(Table1[[#This Row],[Saleprice]]-Table1[[#This Row],[Costprice]])</f>
        <v>-80.512799999999856</v>
      </c>
      <c r="R71">
        <f t="shared" si="7"/>
        <v>2021</v>
      </c>
      <c r="S71">
        <f t="shared" si="8"/>
        <v>10</v>
      </c>
      <c r="T71" t="str">
        <f t="shared" si="9"/>
        <v>October</v>
      </c>
    </row>
    <row r="72" spans="1:20" x14ac:dyDescent="0.3">
      <c r="A72" s="3">
        <v>44484</v>
      </c>
      <c r="B72">
        <v>106</v>
      </c>
      <c r="C72" s="3">
        <f>_xlfn.XLOOKUP(B72,Stores!A:A,Stores!E:E)</f>
        <v>43918</v>
      </c>
      <c r="D72">
        <v>210</v>
      </c>
      <c r="E72" s="3">
        <f>_xlfn.XLOOKUP(D72,SalesReps!A:A,SalesReps!D:D)</f>
        <v>44449</v>
      </c>
      <c r="F72" s="3" t="str">
        <f>_xlfn.XLOOKUP(Table1[[#This Row],[RepID]],SalesReps!A:A,SalesReps!E:E)</f>
        <v>Active</v>
      </c>
      <c r="G72">
        <v>304</v>
      </c>
      <c r="H72" t="str">
        <f>_xlfn.XLOOKUP(Table1[[#This Row],[ProductID]],Products!A:A,Products!B:B)</f>
        <v>Home &amp; Kitchen</v>
      </c>
      <c r="I72" t="str">
        <f>_xlfn.XLOOKUP(Table1[[#This Row],[ProductID]],Products!A:A,Products!C:C)</f>
        <v>Furniture</v>
      </c>
      <c r="J72">
        <v>1</v>
      </c>
      <c r="K72" s="5">
        <f>_xlfn.XLOOKUP(Table1[[#This Row],[ProductID]],Products!A:A,Products!E:E)</f>
        <v>345.38</v>
      </c>
      <c r="L72" s="5">
        <v>371.13</v>
      </c>
      <c r="M72" s="6">
        <v>0.13</v>
      </c>
      <c r="N72" t="s">
        <v>10</v>
      </c>
      <c r="O72" s="5">
        <f t="shared" si="5"/>
        <v>322.88310000000001</v>
      </c>
      <c r="P72" s="5">
        <f t="shared" si="6"/>
        <v>322.88310000000001</v>
      </c>
      <c r="Q72" s="5">
        <f>Table1[[#This Row],[Quantity]]*(Table1[[#This Row],[Saleprice]]-Table1[[#This Row],[Costprice]])</f>
        <v>-22.496899999999982</v>
      </c>
      <c r="R72">
        <f t="shared" si="7"/>
        <v>2021</v>
      </c>
      <c r="S72">
        <f t="shared" si="8"/>
        <v>10</v>
      </c>
      <c r="T72" t="str">
        <f t="shared" si="9"/>
        <v>October</v>
      </c>
    </row>
    <row r="73" spans="1:20" x14ac:dyDescent="0.3">
      <c r="A73" s="3">
        <v>44486</v>
      </c>
      <c r="B73">
        <v>108</v>
      </c>
      <c r="C73" s="3">
        <f>_xlfn.XLOOKUP(B73,Stores!A:A,Stores!E:E)</f>
        <v>43961</v>
      </c>
      <c r="D73">
        <v>205</v>
      </c>
      <c r="E73" s="3">
        <f>_xlfn.XLOOKUP(D73,SalesReps!A:A,SalesReps!D:D)</f>
        <v>44473</v>
      </c>
      <c r="F73" s="3" t="str">
        <f>_xlfn.XLOOKUP(Table1[[#This Row],[RepID]],SalesReps!A:A,SalesReps!E:E)</f>
        <v>Active</v>
      </c>
      <c r="G73">
        <v>320</v>
      </c>
      <c r="H73" t="str">
        <f>_xlfn.XLOOKUP(Table1[[#This Row],[ProductID]],Products!A:A,Products!B:B)</f>
        <v>Toys</v>
      </c>
      <c r="I73" t="str">
        <f>_xlfn.XLOOKUP(Table1[[#This Row],[ProductID]],Products!A:A,Products!C:C)</f>
        <v>Outdoor</v>
      </c>
      <c r="J73">
        <v>8</v>
      </c>
      <c r="K73" s="5">
        <f>_xlfn.XLOOKUP(Table1[[#This Row],[ProductID]],Products!A:A,Products!E:E)</f>
        <v>304.58999999999997</v>
      </c>
      <c r="L73" s="5">
        <v>331.75</v>
      </c>
      <c r="M73" s="6">
        <v>0.17</v>
      </c>
      <c r="N73" t="s">
        <v>8</v>
      </c>
      <c r="O73" s="5">
        <f t="shared" si="5"/>
        <v>275.35249999999996</v>
      </c>
      <c r="P73" s="5">
        <f t="shared" si="6"/>
        <v>2202.8199999999997</v>
      </c>
      <c r="Q73" s="5">
        <f>Table1[[#This Row],[Quantity]]*(Table1[[#This Row],[Saleprice]]-Table1[[#This Row],[Costprice]])</f>
        <v>-233.90000000000009</v>
      </c>
      <c r="R73">
        <f t="shared" si="7"/>
        <v>2021</v>
      </c>
      <c r="S73">
        <f t="shared" si="8"/>
        <v>10</v>
      </c>
      <c r="T73" t="str">
        <f t="shared" si="9"/>
        <v>October</v>
      </c>
    </row>
    <row r="74" spans="1:20" x14ac:dyDescent="0.3">
      <c r="A74" s="3">
        <v>44487</v>
      </c>
      <c r="B74">
        <v>108</v>
      </c>
      <c r="C74" s="3">
        <f>_xlfn.XLOOKUP(B74,Stores!A:A,Stores!E:E)</f>
        <v>43961</v>
      </c>
      <c r="D74">
        <v>205</v>
      </c>
      <c r="E74" s="3">
        <f>_xlfn.XLOOKUP(D74,SalesReps!A:A,SalesReps!D:D)</f>
        <v>44473</v>
      </c>
      <c r="F74" s="3" t="str">
        <f>_xlfn.XLOOKUP(Table1[[#This Row],[RepID]],SalesReps!A:A,SalesReps!E:E)</f>
        <v>Active</v>
      </c>
      <c r="G74">
        <v>309</v>
      </c>
      <c r="H74" t="str">
        <f>_xlfn.XLOOKUP(Table1[[#This Row],[ProductID]],Products!A:A,Products!B:B)</f>
        <v>Electronics</v>
      </c>
      <c r="I74" t="str">
        <f>_xlfn.XLOOKUP(Table1[[#This Row],[ProductID]],Products!A:A,Products!C:C)</f>
        <v>Laptops</v>
      </c>
      <c r="J74">
        <v>4</v>
      </c>
      <c r="K74" s="5">
        <f>_xlfn.XLOOKUP(Table1[[#This Row],[ProductID]],Products!A:A,Products!E:E)</f>
        <v>229.68</v>
      </c>
      <c r="L74" s="5">
        <v>263.95</v>
      </c>
      <c r="M74" s="6">
        <v>0.16</v>
      </c>
      <c r="N74" t="s">
        <v>8</v>
      </c>
      <c r="O74" s="5">
        <f t="shared" si="5"/>
        <v>221.71799999999999</v>
      </c>
      <c r="P74" s="5">
        <f t="shared" si="6"/>
        <v>886.87199999999996</v>
      </c>
      <c r="Q74" s="5">
        <f>Table1[[#This Row],[Quantity]]*(Table1[[#This Row],[Saleprice]]-Table1[[#This Row],[Costprice]])</f>
        <v>-31.84800000000007</v>
      </c>
      <c r="R74">
        <f t="shared" si="7"/>
        <v>2021</v>
      </c>
      <c r="S74">
        <f t="shared" si="8"/>
        <v>10</v>
      </c>
      <c r="T74" t="str">
        <f t="shared" si="9"/>
        <v>October</v>
      </c>
    </row>
    <row r="75" spans="1:20" x14ac:dyDescent="0.3">
      <c r="A75" s="3">
        <v>44487</v>
      </c>
      <c r="B75">
        <v>108</v>
      </c>
      <c r="C75" s="3">
        <f>_xlfn.XLOOKUP(B75,Stores!A:A,Stores!E:E)</f>
        <v>43961</v>
      </c>
      <c r="D75">
        <v>205</v>
      </c>
      <c r="E75" s="3">
        <f>_xlfn.XLOOKUP(D75,SalesReps!A:A,SalesReps!D:D)</f>
        <v>44473</v>
      </c>
      <c r="F75" s="3" t="str">
        <f>_xlfn.XLOOKUP(Table1[[#This Row],[RepID]],SalesReps!A:A,SalesReps!E:E)</f>
        <v>Active</v>
      </c>
      <c r="G75">
        <v>307</v>
      </c>
      <c r="H75" t="str">
        <f>_xlfn.XLOOKUP(Table1[[#This Row],[ProductID]],Products!A:A,Products!B:B)</f>
        <v>Toys</v>
      </c>
      <c r="I75" t="str">
        <f>_xlfn.XLOOKUP(Table1[[#This Row],[ProductID]],Products!A:A,Products!C:C)</f>
        <v>Outdoor</v>
      </c>
      <c r="J75">
        <v>6</v>
      </c>
      <c r="K75" s="5">
        <f>_xlfn.XLOOKUP(Table1[[#This Row],[ProductID]],Products!A:A,Products!E:E)</f>
        <v>15.17</v>
      </c>
      <c r="L75" s="5">
        <v>90.02</v>
      </c>
      <c r="M75" s="6">
        <v>0.09</v>
      </c>
      <c r="N75" t="s">
        <v>8</v>
      </c>
      <c r="O75" s="5">
        <f t="shared" si="5"/>
        <v>81.918199999999999</v>
      </c>
      <c r="P75" s="5">
        <f t="shared" si="6"/>
        <v>491.50919999999996</v>
      </c>
      <c r="Q75" s="5">
        <f>Table1[[#This Row],[Quantity]]*(Table1[[#This Row],[Saleprice]]-Table1[[#This Row],[Costprice]])</f>
        <v>400.48919999999998</v>
      </c>
      <c r="R75">
        <f t="shared" si="7"/>
        <v>2021</v>
      </c>
      <c r="S75">
        <f t="shared" si="8"/>
        <v>10</v>
      </c>
      <c r="T75" t="str">
        <f t="shared" si="9"/>
        <v>October</v>
      </c>
    </row>
    <row r="76" spans="1:20" x14ac:dyDescent="0.3">
      <c r="A76" s="3">
        <v>44487</v>
      </c>
      <c r="B76">
        <v>106</v>
      </c>
      <c r="C76" s="3">
        <f>_xlfn.XLOOKUP(B76,Stores!A:A,Stores!E:E)</f>
        <v>43918</v>
      </c>
      <c r="D76">
        <v>210</v>
      </c>
      <c r="E76" s="3">
        <f>_xlfn.XLOOKUP(D76,SalesReps!A:A,SalesReps!D:D)</f>
        <v>44449</v>
      </c>
      <c r="F76" s="3" t="str">
        <f>_xlfn.XLOOKUP(Table1[[#This Row],[RepID]],SalesReps!A:A,SalesReps!E:E)</f>
        <v>Active</v>
      </c>
      <c r="G76">
        <v>312</v>
      </c>
      <c r="H76" t="str">
        <f>_xlfn.XLOOKUP(Table1[[#This Row],[ProductID]],Products!A:A,Products!B:B)</f>
        <v>Toys</v>
      </c>
      <c r="I76" t="str">
        <f>_xlfn.XLOOKUP(Table1[[#This Row],[ProductID]],Products!A:A,Products!C:C)</f>
        <v>Board Games</v>
      </c>
      <c r="J76">
        <v>9</v>
      </c>
      <c r="K76" s="5">
        <f>_xlfn.XLOOKUP(Table1[[#This Row],[ProductID]],Products!A:A,Products!E:E)</f>
        <v>100.05</v>
      </c>
      <c r="L76" s="5">
        <v>123.51</v>
      </c>
      <c r="M76" s="6">
        <v>0.06</v>
      </c>
      <c r="N76" t="s">
        <v>10</v>
      </c>
      <c r="O76" s="5">
        <f t="shared" si="5"/>
        <v>116.0994</v>
      </c>
      <c r="P76" s="5">
        <f t="shared" si="6"/>
        <v>1044.8946000000001</v>
      </c>
      <c r="Q76" s="5">
        <f>Table1[[#This Row],[Quantity]]*(Table1[[#This Row],[Saleprice]]-Table1[[#This Row],[Costprice]])</f>
        <v>144.44460000000004</v>
      </c>
      <c r="R76">
        <f t="shared" si="7"/>
        <v>2021</v>
      </c>
      <c r="S76">
        <f t="shared" si="8"/>
        <v>10</v>
      </c>
      <c r="T76" t="str">
        <f t="shared" si="9"/>
        <v>October</v>
      </c>
    </row>
    <row r="77" spans="1:20" x14ac:dyDescent="0.3">
      <c r="A77" s="3">
        <v>44487</v>
      </c>
      <c r="B77">
        <v>108</v>
      </c>
      <c r="C77" s="3">
        <f>_xlfn.XLOOKUP(B77,Stores!A:A,Stores!E:E)</f>
        <v>43961</v>
      </c>
      <c r="D77">
        <v>205</v>
      </c>
      <c r="E77" s="3">
        <f>_xlfn.XLOOKUP(D77,SalesReps!A:A,SalesReps!D:D)</f>
        <v>44473</v>
      </c>
      <c r="F77" s="3" t="str">
        <f>_xlfn.XLOOKUP(Table1[[#This Row],[RepID]],SalesReps!A:A,SalesReps!E:E)</f>
        <v>Active</v>
      </c>
      <c r="G77">
        <v>314</v>
      </c>
      <c r="H77" t="str">
        <f>_xlfn.XLOOKUP(Table1[[#This Row],[ProductID]],Products!A:A,Products!B:B)</f>
        <v>Clothing</v>
      </c>
      <c r="I77" t="str">
        <f>_xlfn.XLOOKUP(Table1[[#This Row],[ProductID]],Products!A:A,Products!C:C)</f>
        <v>Kids</v>
      </c>
      <c r="J77">
        <v>4</v>
      </c>
      <c r="K77" s="5">
        <f>_xlfn.XLOOKUP(Table1[[#This Row],[ProductID]],Products!A:A,Products!E:E)</f>
        <v>276.47000000000003</v>
      </c>
      <c r="L77" s="5">
        <v>290.39</v>
      </c>
      <c r="M77" s="6">
        <v>0.09</v>
      </c>
      <c r="N77" t="s">
        <v>8</v>
      </c>
      <c r="O77" s="5">
        <f t="shared" si="5"/>
        <v>264.25490000000002</v>
      </c>
      <c r="P77" s="5">
        <f t="shared" si="6"/>
        <v>1057.0196000000001</v>
      </c>
      <c r="Q77" s="5">
        <f>Table1[[#This Row],[Quantity]]*(Table1[[#This Row],[Saleprice]]-Table1[[#This Row],[Costprice]])</f>
        <v>-48.860400000000027</v>
      </c>
      <c r="R77">
        <f t="shared" si="7"/>
        <v>2021</v>
      </c>
      <c r="S77">
        <f t="shared" si="8"/>
        <v>10</v>
      </c>
      <c r="T77" t="str">
        <f t="shared" si="9"/>
        <v>October</v>
      </c>
    </row>
    <row r="78" spans="1:20" x14ac:dyDescent="0.3">
      <c r="A78" s="3">
        <v>44487</v>
      </c>
      <c r="B78">
        <v>108</v>
      </c>
      <c r="C78" s="3">
        <f>_xlfn.XLOOKUP(B78,Stores!A:A,Stores!E:E)</f>
        <v>43961</v>
      </c>
      <c r="D78">
        <v>205</v>
      </c>
      <c r="E78" s="3">
        <f>_xlfn.XLOOKUP(D78,SalesReps!A:A,SalesReps!D:D)</f>
        <v>44473</v>
      </c>
      <c r="F78" s="3" t="str">
        <f>_xlfn.XLOOKUP(Table1[[#This Row],[RepID]],SalesReps!A:A,SalesReps!E:E)</f>
        <v>Active</v>
      </c>
      <c r="G78">
        <v>320</v>
      </c>
      <c r="H78" t="str">
        <f>_xlfn.XLOOKUP(Table1[[#This Row],[ProductID]],Products!A:A,Products!B:B)</f>
        <v>Toys</v>
      </c>
      <c r="I78" t="str">
        <f>_xlfn.XLOOKUP(Table1[[#This Row],[ProductID]],Products!A:A,Products!C:C)</f>
        <v>Outdoor</v>
      </c>
      <c r="J78">
        <v>4</v>
      </c>
      <c r="K78" s="5">
        <f>_xlfn.XLOOKUP(Table1[[#This Row],[ProductID]],Products!A:A,Products!E:E)</f>
        <v>304.58999999999997</v>
      </c>
      <c r="L78" s="5">
        <v>331.75</v>
      </c>
      <c r="M78" s="6">
        <v>0.17</v>
      </c>
      <c r="N78" t="s">
        <v>8</v>
      </c>
      <c r="O78" s="5">
        <f t="shared" si="5"/>
        <v>275.35249999999996</v>
      </c>
      <c r="P78" s="5">
        <f t="shared" si="6"/>
        <v>1101.4099999999999</v>
      </c>
      <c r="Q78" s="5">
        <f>Table1[[#This Row],[Quantity]]*(Table1[[#This Row],[Saleprice]]-Table1[[#This Row],[Costprice]])</f>
        <v>-116.95000000000005</v>
      </c>
      <c r="R78">
        <f t="shared" si="7"/>
        <v>2021</v>
      </c>
      <c r="S78">
        <f t="shared" si="8"/>
        <v>10</v>
      </c>
      <c r="T78" t="str">
        <f t="shared" si="9"/>
        <v>October</v>
      </c>
    </row>
    <row r="79" spans="1:20" x14ac:dyDescent="0.3">
      <c r="A79" s="3">
        <v>44488</v>
      </c>
      <c r="B79">
        <v>108</v>
      </c>
      <c r="C79" s="3">
        <f>_xlfn.XLOOKUP(B79,Stores!A:A,Stores!E:E)</f>
        <v>43961</v>
      </c>
      <c r="D79">
        <v>205</v>
      </c>
      <c r="E79" s="3">
        <f>_xlfn.XLOOKUP(D79,SalesReps!A:A,SalesReps!D:D)</f>
        <v>44473</v>
      </c>
      <c r="F79" s="3" t="str">
        <f>_xlfn.XLOOKUP(Table1[[#This Row],[RepID]],SalesReps!A:A,SalesReps!E:E)</f>
        <v>Active</v>
      </c>
      <c r="G79">
        <v>318</v>
      </c>
      <c r="H79" t="str">
        <f>_xlfn.XLOOKUP(Table1[[#This Row],[ProductID]],Products!A:A,Products!B:B)</f>
        <v>Electronics</v>
      </c>
      <c r="I79" t="str">
        <f>_xlfn.XLOOKUP(Table1[[#This Row],[ProductID]],Products!A:A,Products!C:C)</f>
        <v>Mobiles</v>
      </c>
      <c r="J79">
        <v>4</v>
      </c>
      <c r="K79" s="5">
        <f>_xlfn.XLOOKUP(Table1[[#This Row],[ProductID]],Products!A:A,Products!E:E)</f>
        <v>162.51</v>
      </c>
      <c r="L79" s="5">
        <v>203.39</v>
      </c>
      <c r="M79" s="6">
        <v>0.16</v>
      </c>
      <c r="N79" t="s">
        <v>8</v>
      </c>
      <c r="O79" s="5">
        <f t="shared" si="5"/>
        <v>170.84759999999997</v>
      </c>
      <c r="P79" s="5">
        <f t="shared" si="6"/>
        <v>683.39039999999989</v>
      </c>
      <c r="Q79" s="5">
        <f>Table1[[#This Row],[Quantity]]*(Table1[[#This Row],[Saleprice]]-Table1[[#This Row],[Costprice]])</f>
        <v>33.350399999999922</v>
      </c>
      <c r="R79">
        <f t="shared" si="7"/>
        <v>2021</v>
      </c>
      <c r="S79">
        <f t="shared" si="8"/>
        <v>10</v>
      </c>
      <c r="T79" t="str">
        <f t="shared" si="9"/>
        <v>October</v>
      </c>
    </row>
    <row r="80" spans="1:20" x14ac:dyDescent="0.3">
      <c r="A80" s="3">
        <v>44488</v>
      </c>
      <c r="B80">
        <v>108</v>
      </c>
      <c r="C80" s="3">
        <f>_xlfn.XLOOKUP(B80,Stores!A:A,Stores!E:E)</f>
        <v>43961</v>
      </c>
      <c r="D80">
        <v>205</v>
      </c>
      <c r="E80" s="3">
        <f>_xlfn.XLOOKUP(D80,SalesReps!A:A,SalesReps!D:D)</f>
        <v>44473</v>
      </c>
      <c r="F80" s="3" t="str">
        <f>_xlfn.XLOOKUP(Table1[[#This Row],[RepID]],SalesReps!A:A,SalesReps!E:E)</f>
        <v>Active</v>
      </c>
      <c r="G80">
        <v>312</v>
      </c>
      <c r="H80" t="str">
        <f>_xlfn.XLOOKUP(Table1[[#This Row],[ProductID]],Products!A:A,Products!B:B)</f>
        <v>Toys</v>
      </c>
      <c r="I80" t="str">
        <f>_xlfn.XLOOKUP(Table1[[#This Row],[ProductID]],Products!A:A,Products!C:C)</f>
        <v>Board Games</v>
      </c>
      <c r="J80">
        <v>6</v>
      </c>
      <c r="K80" s="5">
        <f>_xlfn.XLOOKUP(Table1[[#This Row],[ProductID]],Products!A:A,Products!E:E)</f>
        <v>100.05</v>
      </c>
      <c r="L80" s="5">
        <v>189.28</v>
      </c>
      <c r="M80" s="6">
        <v>0.06</v>
      </c>
      <c r="N80" t="s">
        <v>8</v>
      </c>
      <c r="O80" s="5">
        <f t="shared" si="5"/>
        <v>177.92319999999998</v>
      </c>
      <c r="P80" s="5">
        <f t="shared" si="6"/>
        <v>1067.5391999999999</v>
      </c>
      <c r="Q80" s="5">
        <f>Table1[[#This Row],[Quantity]]*(Table1[[#This Row],[Saleprice]]-Table1[[#This Row],[Costprice]])</f>
        <v>467.23919999999987</v>
      </c>
      <c r="R80">
        <f t="shared" si="7"/>
        <v>2021</v>
      </c>
      <c r="S80">
        <f t="shared" si="8"/>
        <v>10</v>
      </c>
      <c r="T80" t="str">
        <f t="shared" si="9"/>
        <v>October</v>
      </c>
    </row>
    <row r="81" spans="1:20" x14ac:dyDescent="0.3">
      <c r="A81" s="3">
        <v>44488</v>
      </c>
      <c r="B81">
        <v>108</v>
      </c>
      <c r="C81" s="3">
        <f>_xlfn.XLOOKUP(B81,Stores!A:A,Stores!E:E)</f>
        <v>43961</v>
      </c>
      <c r="D81">
        <v>205</v>
      </c>
      <c r="E81" s="3">
        <f>_xlfn.XLOOKUP(D81,SalesReps!A:A,SalesReps!D:D)</f>
        <v>44473</v>
      </c>
      <c r="F81" s="3" t="str">
        <f>_xlfn.XLOOKUP(Table1[[#This Row],[RepID]],SalesReps!A:A,SalesReps!E:E)</f>
        <v>Active</v>
      </c>
      <c r="G81">
        <v>301</v>
      </c>
      <c r="H81" t="str">
        <f>_xlfn.XLOOKUP(Table1[[#This Row],[ProductID]],Products!A:A,Products!B:B)</f>
        <v>Electronics</v>
      </c>
      <c r="I81" t="str">
        <f>_xlfn.XLOOKUP(Table1[[#This Row],[ProductID]],Products!A:A,Products!C:C)</f>
        <v>Mobiles</v>
      </c>
      <c r="J81">
        <v>7</v>
      </c>
      <c r="K81" s="5">
        <f>_xlfn.XLOOKUP(Table1[[#This Row],[ProductID]],Products!A:A,Products!E:E)</f>
        <v>159.16</v>
      </c>
      <c r="L81" s="5">
        <v>235.16</v>
      </c>
      <c r="M81" s="6">
        <v>0.16</v>
      </c>
      <c r="N81" t="s">
        <v>8</v>
      </c>
      <c r="O81" s="5">
        <f t="shared" si="5"/>
        <v>197.53439999999998</v>
      </c>
      <c r="P81" s="5">
        <f t="shared" si="6"/>
        <v>1382.7407999999998</v>
      </c>
      <c r="Q81" s="5">
        <f>Table1[[#This Row],[Quantity]]*(Table1[[#This Row],[Saleprice]]-Table1[[#This Row],[Costprice]])</f>
        <v>268.62079999999986</v>
      </c>
      <c r="R81">
        <f t="shared" si="7"/>
        <v>2021</v>
      </c>
      <c r="S81">
        <f t="shared" si="8"/>
        <v>10</v>
      </c>
      <c r="T81" t="str">
        <f t="shared" si="9"/>
        <v>October</v>
      </c>
    </row>
    <row r="82" spans="1:20" x14ac:dyDescent="0.3">
      <c r="A82" s="3">
        <v>44489</v>
      </c>
      <c r="B82">
        <v>108</v>
      </c>
      <c r="C82" s="3">
        <f>_xlfn.XLOOKUP(B82,Stores!A:A,Stores!E:E)</f>
        <v>43961</v>
      </c>
      <c r="D82">
        <v>205</v>
      </c>
      <c r="E82" s="3">
        <f>_xlfn.XLOOKUP(D82,SalesReps!A:A,SalesReps!D:D)</f>
        <v>44473</v>
      </c>
      <c r="F82" s="3" t="str">
        <f>_xlfn.XLOOKUP(Table1[[#This Row],[RepID]],SalesReps!A:A,SalesReps!E:E)</f>
        <v>Active</v>
      </c>
      <c r="G82">
        <v>307</v>
      </c>
      <c r="H82" t="str">
        <f>_xlfn.XLOOKUP(Table1[[#This Row],[ProductID]],Products!A:A,Products!B:B)</f>
        <v>Toys</v>
      </c>
      <c r="I82" t="str">
        <f>_xlfn.XLOOKUP(Table1[[#This Row],[ProductID]],Products!A:A,Products!C:C)</f>
        <v>Outdoor</v>
      </c>
      <c r="J82">
        <v>1</v>
      </c>
      <c r="K82" s="5">
        <f>_xlfn.XLOOKUP(Table1[[#This Row],[ProductID]],Products!A:A,Products!E:E)</f>
        <v>15.17</v>
      </c>
      <c r="L82" s="5">
        <v>90.02</v>
      </c>
      <c r="M82" s="6">
        <v>0.09</v>
      </c>
      <c r="N82" t="s">
        <v>8</v>
      </c>
      <c r="O82" s="5">
        <f t="shared" si="5"/>
        <v>81.918199999999999</v>
      </c>
      <c r="P82" s="5">
        <f t="shared" si="6"/>
        <v>81.918199999999999</v>
      </c>
      <c r="Q82" s="5">
        <f>Table1[[#This Row],[Quantity]]*(Table1[[#This Row],[Saleprice]]-Table1[[#This Row],[Costprice]])</f>
        <v>66.748199999999997</v>
      </c>
      <c r="R82">
        <f t="shared" si="7"/>
        <v>2021</v>
      </c>
      <c r="S82">
        <f t="shared" si="8"/>
        <v>10</v>
      </c>
      <c r="T82" t="str">
        <f t="shared" si="9"/>
        <v>October</v>
      </c>
    </row>
    <row r="83" spans="1:20" x14ac:dyDescent="0.3">
      <c r="A83" s="3">
        <v>44490</v>
      </c>
      <c r="B83">
        <v>108</v>
      </c>
      <c r="C83" s="3">
        <f>_xlfn.XLOOKUP(B83,Stores!A:A,Stores!E:E)</f>
        <v>43961</v>
      </c>
      <c r="D83">
        <v>205</v>
      </c>
      <c r="E83" s="3">
        <f>_xlfn.XLOOKUP(D83,SalesReps!A:A,SalesReps!D:D)</f>
        <v>44473</v>
      </c>
      <c r="F83" s="3" t="str">
        <f>_xlfn.XLOOKUP(Table1[[#This Row],[RepID]],SalesReps!A:A,SalesReps!E:E)</f>
        <v>Active</v>
      </c>
      <c r="G83">
        <v>304</v>
      </c>
      <c r="H83" t="str">
        <f>_xlfn.XLOOKUP(Table1[[#This Row],[ProductID]],Products!A:A,Products!B:B)</f>
        <v>Home &amp; Kitchen</v>
      </c>
      <c r="I83" t="str">
        <f>_xlfn.XLOOKUP(Table1[[#This Row],[ProductID]],Products!A:A,Products!C:C)</f>
        <v>Furniture</v>
      </c>
      <c r="J83">
        <v>8</v>
      </c>
      <c r="K83" s="5">
        <f>_xlfn.XLOOKUP(Table1[[#This Row],[ProductID]],Products!A:A,Products!E:E)</f>
        <v>345.38</v>
      </c>
      <c r="L83" s="5">
        <v>361.98</v>
      </c>
      <c r="M83" s="6">
        <v>0.12</v>
      </c>
      <c r="N83" t="s">
        <v>8</v>
      </c>
      <c r="O83" s="5">
        <f t="shared" si="5"/>
        <v>318.54240000000004</v>
      </c>
      <c r="P83" s="5">
        <f t="shared" si="6"/>
        <v>2548.3392000000003</v>
      </c>
      <c r="Q83" s="5">
        <f>Table1[[#This Row],[Quantity]]*(Table1[[#This Row],[Saleprice]]-Table1[[#This Row],[Costprice]])</f>
        <v>-214.70079999999962</v>
      </c>
      <c r="R83">
        <f t="shared" si="7"/>
        <v>2021</v>
      </c>
      <c r="S83">
        <f t="shared" si="8"/>
        <v>10</v>
      </c>
      <c r="T83" t="str">
        <f t="shared" si="9"/>
        <v>October</v>
      </c>
    </row>
    <row r="84" spans="1:20" x14ac:dyDescent="0.3">
      <c r="A84" s="3">
        <v>44490</v>
      </c>
      <c r="B84">
        <v>108</v>
      </c>
      <c r="C84" s="3">
        <f>_xlfn.XLOOKUP(B84,Stores!A:A,Stores!E:E)</f>
        <v>43961</v>
      </c>
      <c r="D84">
        <v>205</v>
      </c>
      <c r="E84" s="3">
        <f>_xlfn.XLOOKUP(D84,SalesReps!A:A,SalesReps!D:D)</f>
        <v>44473</v>
      </c>
      <c r="F84" s="3" t="str">
        <f>_xlfn.XLOOKUP(Table1[[#This Row],[RepID]],SalesReps!A:A,SalesReps!E:E)</f>
        <v>Active</v>
      </c>
      <c r="G84">
        <v>309</v>
      </c>
      <c r="H84" t="str">
        <f>_xlfn.XLOOKUP(Table1[[#This Row],[ProductID]],Products!A:A,Products!B:B)</f>
        <v>Electronics</v>
      </c>
      <c r="I84" t="str">
        <f>_xlfn.XLOOKUP(Table1[[#This Row],[ProductID]],Products!A:A,Products!C:C)</f>
        <v>Laptops</v>
      </c>
      <c r="J84">
        <v>4</v>
      </c>
      <c r="K84" s="5">
        <f>_xlfn.XLOOKUP(Table1[[#This Row],[ProductID]],Products!A:A,Products!E:E)</f>
        <v>229.68</v>
      </c>
      <c r="L84" s="5">
        <v>263.95</v>
      </c>
      <c r="M84" s="6">
        <v>0.16</v>
      </c>
      <c r="N84" t="s">
        <v>8</v>
      </c>
      <c r="O84" s="5">
        <f t="shared" si="5"/>
        <v>221.71799999999999</v>
      </c>
      <c r="P84" s="5">
        <f t="shared" si="6"/>
        <v>886.87199999999996</v>
      </c>
      <c r="Q84" s="5">
        <f>Table1[[#This Row],[Quantity]]*(Table1[[#This Row],[Saleprice]]-Table1[[#This Row],[Costprice]])</f>
        <v>-31.84800000000007</v>
      </c>
      <c r="R84">
        <f t="shared" si="7"/>
        <v>2021</v>
      </c>
      <c r="S84">
        <f t="shared" si="8"/>
        <v>10</v>
      </c>
      <c r="T84" t="str">
        <f t="shared" si="9"/>
        <v>October</v>
      </c>
    </row>
    <row r="85" spans="1:20" x14ac:dyDescent="0.3">
      <c r="A85" s="3">
        <v>44491</v>
      </c>
      <c r="B85">
        <v>108</v>
      </c>
      <c r="C85" s="3">
        <f>_xlfn.XLOOKUP(B85,Stores!A:A,Stores!E:E)</f>
        <v>43961</v>
      </c>
      <c r="D85">
        <v>205</v>
      </c>
      <c r="E85" s="3">
        <f>_xlfn.XLOOKUP(D85,SalesReps!A:A,SalesReps!D:D)</f>
        <v>44473</v>
      </c>
      <c r="F85" s="3" t="str">
        <f>_xlfn.XLOOKUP(Table1[[#This Row],[RepID]],SalesReps!A:A,SalesReps!E:E)</f>
        <v>Active</v>
      </c>
      <c r="G85">
        <v>308</v>
      </c>
      <c r="H85" t="str">
        <f>_xlfn.XLOOKUP(Table1[[#This Row],[ProductID]],Products!A:A,Products!B:B)</f>
        <v>Home &amp; Kitchen</v>
      </c>
      <c r="I85" t="str">
        <f>_xlfn.XLOOKUP(Table1[[#This Row],[ProductID]],Products!A:A,Products!C:C)</f>
        <v>Furniture</v>
      </c>
      <c r="J85">
        <v>7</v>
      </c>
      <c r="K85" s="5">
        <f>_xlfn.XLOOKUP(Table1[[#This Row],[ProductID]],Products!A:A,Products!E:E)</f>
        <v>377.46</v>
      </c>
      <c r="L85" s="5">
        <v>463.3</v>
      </c>
      <c r="M85" s="6">
        <v>0.24</v>
      </c>
      <c r="N85" t="s">
        <v>8</v>
      </c>
      <c r="O85" s="5">
        <f t="shared" si="5"/>
        <v>352.108</v>
      </c>
      <c r="P85" s="5">
        <f t="shared" si="6"/>
        <v>2464.7559999999999</v>
      </c>
      <c r="Q85" s="5">
        <f>Table1[[#This Row],[Quantity]]*(Table1[[#This Row],[Saleprice]]-Table1[[#This Row],[Costprice]])</f>
        <v>-177.46399999999983</v>
      </c>
      <c r="R85">
        <f t="shared" si="7"/>
        <v>2021</v>
      </c>
      <c r="S85">
        <f t="shared" si="8"/>
        <v>10</v>
      </c>
      <c r="T85" t="str">
        <f t="shared" si="9"/>
        <v>October</v>
      </c>
    </row>
    <row r="86" spans="1:20" x14ac:dyDescent="0.3">
      <c r="A86" s="3">
        <v>44491</v>
      </c>
      <c r="B86">
        <v>108</v>
      </c>
      <c r="C86" s="3">
        <f>_xlfn.XLOOKUP(B86,Stores!A:A,Stores!E:E)</f>
        <v>43961</v>
      </c>
      <c r="D86">
        <v>205</v>
      </c>
      <c r="E86" s="3">
        <f>_xlfn.XLOOKUP(D86,SalesReps!A:A,SalesReps!D:D)</f>
        <v>44473</v>
      </c>
      <c r="F86" s="3" t="str">
        <f>_xlfn.XLOOKUP(Table1[[#This Row],[RepID]],SalesReps!A:A,SalesReps!E:E)</f>
        <v>Active</v>
      </c>
      <c r="G86">
        <v>310</v>
      </c>
      <c r="H86" t="str">
        <f>_xlfn.XLOOKUP(Table1[[#This Row],[ProductID]],Products!A:A,Products!B:B)</f>
        <v>Home &amp; Kitchen</v>
      </c>
      <c r="I86" t="str">
        <f>_xlfn.XLOOKUP(Table1[[#This Row],[ProductID]],Products!A:A,Products!C:C)</f>
        <v>Furniture</v>
      </c>
      <c r="J86">
        <v>7</v>
      </c>
      <c r="K86" s="5">
        <f>_xlfn.XLOOKUP(Table1[[#This Row],[ProductID]],Products!A:A,Products!E:E)</f>
        <v>160.31</v>
      </c>
      <c r="L86" s="5">
        <v>209.95</v>
      </c>
      <c r="M86" s="6">
        <v>0.11</v>
      </c>
      <c r="N86" t="s">
        <v>8</v>
      </c>
      <c r="O86" s="5">
        <f t="shared" si="5"/>
        <v>186.85550000000001</v>
      </c>
      <c r="P86" s="5">
        <f t="shared" si="6"/>
        <v>1307.9884999999999</v>
      </c>
      <c r="Q86" s="5">
        <f>Table1[[#This Row],[Quantity]]*(Table1[[#This Row],[Saleprice]]-Table1[[#This Row],[Costprice]])</f>
        <v>185.81850000000003</v>
      </c>
      <c r="R86">
        <f t="shared" si="7"/>
        <v>2021</v>
      </c>
      <c r="S86">
        <f t="shared" si="8"/>
        <v>10</v>
      </c>
      <c r="T86" t="str">
        <f t="shared" si="9"/>
        <v>October</v>
      </c>
    </row>
    <row r="87" spans="1:20" x14ac:dyDescent="0.3">
      <c r="A87" s="3">
        <v>44492</v>
      </c>
      <c r="B87">
        <v>106</v>
      </c>
      <c r="C87" s="3">
        <f>_xlfn.XLOOKUP(B87,Stores!A:A,Stores!E:E)</f>
        <v>43918</v>
      </c>
      <c r="D87">
        <v>210</v>
      </c>
      <c r="E87" s="3">
        <f>_xlfn.XLOOKUP(D87,SalesReps!A:A,SalesReps!D:D)</f>
        <v>44449</v>
      </c>
      <c r="F87" s="3" t="str">
        <f>_xlfn.XLOOKUP(Table1[[#This Row],[RepID]],SalesReps!A:A,SalesReps!E:E)</f>
        <v>Active</v>
      </c>
      <c r="G87">
        <v>304</v>
      </c>
      <c r="H87" t="str">
        <f>_xlfn.XLOOKUP(Table1[[#This Row],[ProductID]],Products!A:A,Products!B:B)</f>
        <v>Home &amp; Kitchen</v>
      </c>
      <c r="I87" t="str">
        <f>_xlfn.XLOOKUP(Table1[[#This Row],[ProductID]],Products!A:A,Products!C:C)</f>
        <v>Furniture</v>
      </c>
      <c r="J87">
        <v>4</v>
      </c>
      <c r="K87" s="5">
        <f>_xlfn.XLOOKUP(Table1[[#This Row],[ProductID]],Products!A:A,Products!E:E)</f>
        <v>345.38</v>
      </c>
      <c r="L87" s="5">
        <v>371.13</v>
      </c>
      <c r="M87" s="6">
        <v>0.13</v>
      </c>
      <c r="N87" t="s">
        <v>10</v>
      </c>
      <c r="O87" s="5">
        <f t="shared" si="5"/>
        <v>322.88310000000001</v>
      </c>
      <c r="P87" s="5">
        <f t="shared" si="6"/>
        <v>1291.5324000000001</v>
      </c>
      <c r="Q87" s="5">
        <f>Table1[[#This Row],[Quantity]]*(Table1[[#This Row],[Saleprice]]-Table1[[#This Row],[Costprice]])</f>
        <v>-89.987599999999929</v>
      </c>
      <c r="R87">
        <f t="shared" si="7"/>
        <v>2021</v>
      </c>
      <c r="S87">
        <f t="shared" si="8"/>
        <v>10</v>
      </c>
      <c r="T87" t="str">
        <f t="shared" si="9"/>
        <v>October</v>
      </c>
    </row>
    <row r="88" spans="1:20" x14ac:dyDescent="0.3">
      <c r="A88" s="3">
        <v>44497</v>
      </c>
      <c r="B88">
        <v>108</v>
      </c>
      <c r="C88" s="3">
        <f>_xlfn.XLOOKUP(B88,Stores!A:A,Stores!E:E)</f>
        <v>43961</v>
      </c>
      <c r="D88">
        <v>205</v>
      </c>
      <c r="E88" s="3">
        <f>_xlfn.XLOOKUP(D88,SalesReps!A:A,SalesReps!D:D)</f>
        <v>44473</v>
      </c>
      <c r="F88" s="3" t="str">
        <f>_xlfn.XLOOKUP(Table1[[#This Row],[RepID]],SalesReps!A:A,SalesReps!E:E)</f>
        <v>Active</v>
      </c>
      <c r="G88">
        <v>301</v>
      </c>
      <c r="H88" t="str">
        <f>_xlfn.XLOOKUP(Table1[[#This Row],[ProductID]],Products!A:A,Products!B:B)</f>
        <v>Electronics</v>
      </c>
      <c r="I88" t="str">
        <f>_xlfn.XLOOKUP(Table1[[#This Row],[ProductID]],Products!A:A,Products!C:C)</f>
        <v>Mobiles</v>
      </c>
      <c r="J88">
        <v>6</v>
      </c>
      <c r="K88" s="5">
        <f>_xlfn.XLOOKUP(Table1[[#This Row],[ProductID]],Products!A:A,Products!E:E)</f>
        <v>159.16</v>
      </c>
      <c r="L88" s="5">
        <v>235.16</v>
      </c>
      <c r="M88" s="6">
        <v>0.16</v>
      </c>
      <c r="N88" t="s">
        <v>8</v>
      </c>
      <c r="O88" s="5">
        <f t="shared" si="5"/>
        <v>197.53439999999998</v>
      </c>
      <c r="P88" s="5">
        <f t="shared" si="6"/>
        <v>1185.2063999999998</v>
      </c>
      <c r="Q88" s="5">
        <f>Table1[[#This Row],[Quantity]]*(Table1[[#This Row],[Saleprice]]-Table1[[#This Row],[Costprice]])</f>
        <v>230.24639999999988</v>
      </c>
      <c r="R88">
        <f t="shared" si="7"/>
        <v>2021</v>
      </c>
      <c r="S88">
        <f t="shared" si="8"/>
        <v>10</v>
      </c>
      <c r="T88" t="str">
        <f t="shared" si="9"/>
        <v>October</v>
      </c>
    </row>
    <row r="89" spans="1:20" x14ac:dyDescent="0.3">
      <c r="A89" s="3">
        <v>44497</v>
      </c>
      <c r="B89">
        <v>108</v>
      </c>
      <c r="C89" s="3">
        <f>_xlfn.XLOOKUP(B89,Stores!A:A,Stores!E:E)</f>
        <v>43961</v>
      </c>
      <c r="D89">
        <v>205</v>
      </c>
      <c r="E89" s="3">
        <f>_xlfn.XLOOKUP(D89,SalesReps!A:A,SalesReps!D:D)</f>
        <v>44473</v>
      </c>
      <c r="F89" s="3" t="str">
        <f>_xlfn.XLOOKUP(Table1[[#This Row],[RepID]],SalesReps!A:A,SalesReps!E:E)</f>
        <v>Active</v>
      </c>
      <c r="G89">
        <v>317</v>
      </c>
      <c r="H89" t="str">
        <f>_xlfn.XLOOKUP(Table1[[#This Row],[ProductID]],Products!A:A,Products!B:B)</f>
        <v>Toys</v>
      </c>
      <c r="I89" t="str">
        <f>_xlfn.XLOOKUP(Table1[[#This Row],[ProductID]],Products!A:A,Products!C:C)</f>
        <v>Educational</v>
      </c>
      <c r="J89">
        <v>5</v>
      </c>
      <c r="K89" s="5">
        <f>_xlfn.XLOOKUP(Table1[[#This Row],[ProductID]],Products!A:A,Products!E:E)</f>
        <v>77.61</v>
      </c>
      <c r="L89" s="5">
        <v>148.43</v>
      </c>
      <c r="M89" s="6">
        <v>0.12</v>
      </c>
      <c r="N89" t="s">
        <v>8</v>
      </c>
      <c r="O89" s="5">
        <f t="shared" si="5"/>
        <v>130.61840000000001</v>
      </c>
      <c r="P89" s="5">
        <f t="shared" si="6"/>
        <v>653.0920000000001</v>
      </c>
      <c r="Q89" s="5">
        <f>Table1[[#This Row],[Quantity]]*(Table1[[#This Row],[Saleprice]]-Table1[[#This Row],[Costprice]])</f>
        <v>265.04200000000003</v>
      </c>
      <c r="R89">
        <f t="shared" si="7"/>
        <v>2021</v>
      </c>
      <c r="S89">
        <f t="shared" si="8"/>
        <v>10</v>
      </c>
      <c r="T89" t="str">
        <f t="shared" si="9"/>
        <v>October</v>
      </c>
    </row>
    <row r="90" spans="1:20" x14ac:dyDescent="0.3">
      <c r="A90" s="3">
        <v>44498</v>
      </c>
      <c r="B90">
        <v>106</v>
      </c>
      <c r="C90" s="3">
        <f>_xlfn.XLOOKUP(B90,Stores!A:A,Stores!E:E)</f>
        <v>43918</v>
      </c>
      <c r="D90">
        <v>210</v>
      </c>
      <c r="E90" s="3">
        <f>_xlfn.XLOOKUP(D90,SalesReps!A:A,SalesReps!D:D)</f>
        <v>44449</v>
      </c>
      <c r="F90" s="3" t="str">
        <f>_xlfn.XLOOKUP(Table1[[#This Row],[RepID]],SalesReps!A:A,SalesReps!E:E)</f>
        <v>Active</v>
      </c>
      <c r="G90">
        <v>316</v>
      </c>
      <c r="H90" t="str">
        <f>_xlfn.XLOOKUP(Table1[[#This Row],[ProductID]],Products!A:A,Products!B:B)</f>
        <v>Home &amp; Kitchen</v>
      </c>
      <c r="I90" t="str">
        <f>_xlfn.XLOOKUP(Table1[[#This Row],[ProductID]],Products!A:A,Products!C:C)</f>
        <v>Furniture</v>
      </c>
      <c r="J90">
        <v>2</v>
      </c>
      <c r="K90" s="5">
        <f>_xlfn.XLOOKUP(Table1[[#This Row],[ProductID]],Products!A:A,Products!E:E)</f>
        <v>334.95</v>
      </c>
      <c r="L90" s="5">
        <v>422.33</v>
      </c>
      <c r="M90" s="6">
        <v>0.18</v>
      </c>
      <c r="N90" t="s">
        <v>10</v>
      </c>
      <c r="O90" s="5">
        <f t="shared" si="5"/>
        <v>346.31060000000002</v>
      </c>
      <c r="P90" s="5">
        <f t="shared" si="6"/>
        <v>692.62120000000004</v>
      </c>
      <c r="Q90" s="5">
        <f>Table1[[#This Row],[Quantity]]*(Table1[[#This Row],[Saleprice]]-Table1[[#This Row],[Costprice]])</f>
        <v>22.721200000000067</v>
      </c>
      <c r="R90">
        <f t="shared" si="7"/>
        <v>2021</v>
      </c>
      <c r="S90">
        <f t="shared" si="8"/>
        <v>10</v>
      </c>
      <c r="T90" t="str">
        <f t="shared" si="9"/>
        <v>October</v>
      </c>
    </row>
    <row r="91" spans="1:20" x14ac:dyDescent="0.3">
      <c r="A91" s="3">
        <v>44499</v>
      </c>
      <c r="B91">
        <v>108</v>
      </c>
      <c r="C91" s="3">
        <f>_xlfn.XLOOKUP(B91,Stores!A:A,Stores!E:E)</f>
        <v>43961</v>
      </c>
      <c r="D91">
        <v>205</v>
      </c>
      <c r="E91" s="3">
        <f>_xlfn.XLOOKUP(D91,SalesReps!A:A,SalesReps!D:D)</f>
        <v>44473</v>
      </c>
      <c r="F91" s="3" t="str">
        <f>_xlfn.XLOOKUP(Table1[[#This Row],[RepID]],SalesReps!A:A,SalesReps!E:E)</f>
        <v>Active</v>
      </c>
      <c r="G91">
        <v>309</v>
      </c>
      <c r="H91" t="str">
        <f>_xlfn.XLOOKUP(Table1[[#This Row],[ProductID]],Products!A:A,Products!B:B)</f>
        <v>Electronics</v>
      </c>
      <c r="I91" t="str">
        <f>_xlfn.XLOOKUP(Table1[[#This Row],[ProductID]],Products!A:A,Products!C:C)</f>
        <v>Laptops</v>
      </c>
      <c r="J91">
        <v>2</v>
      </c>
      <c r="K91" s="5">
        <f>_xlfn.XLOOKUP(Table1[[#This Row],[ProductID]],Products!A:A,Products!E:E)</f>
        <v>229.68</v>
      </c>
      <c r="L91" s="5">
        <v>263.95</v>
      </c>
      <c r="M91" s="6">
        <v>0.16</v>
      </c>
      <c r="N91" t="s">
        <v>8</v>
      </c>
      <c r="O91" s="5">
        <f t="shared" si="5"/>
        <v>221.71799999999999</v>
      </c>
      <c r="P91" s="5">
        <f t="shared" si="6"/>
        <v>443.43599999999998</v>
      </c>
      <c r="Q91" s="5">
        <f>Table1[[#This Row],[Quantity]]*(Table1[[#This Row],[Saleprice]]-Table1[[#This Row],[Costprice]])</f>
        <v>-15.924000000000035</v>
      </c>
      <c r="R91">
        <f t="shared" si="7"/>
        <v>2021</v>
      </c>
      <c r="S91">
        <f t="shared" si="8"/>
        <v>10</v>
      </c>
      <c r="T91" t="str">
        <f t="shared" si="9"/>
        <v>October</v>
      </c>
    </row>
    <row r="92" spans="1:20" x14ac:dyDescent="0.3">
      <c r="A92" s="3">
        <v>44499</v>
      </c>
      <c r="B92">
        <v>106</v>
      </c>
      <c r="C92" s="3">
        <f>_xlfn.XLOOKUP(B92,Stores!A:A,Stores!E:E)</f>
        <v>43918</v>
      </c>
      <c r="D92">
        <v>210</v>
      </c>
      <c r="E92" s="3">
        <f>_xlfn.XLOOKUP(D92,SalesReps!A:A,SalesReps!D:D)</f>
        <v>44449</v>
      </c>
      <c r="F92" s="3" t="str">
        <f>_xlfn.XLOOKUP(Table1[[#This Row],[RepID]],SalesReps!A:A,SalesReps!E:E)</f>
        <v>Active</v>
      </c>
      <c r="G92">
        <v>310</v>
      </c>
      <c r="H92" t="str">
        <f>_xlfn.XLOOKUP(Table1[[#This Row],[ProductID]],Products!A:A,Products!B:B)</f>
        <v>Home &amp; Kitchen</v>
      </c>
      <c r="I92" t="str">
        <f>_xlfn.XLOOKUP(Table1[[#This Row],[ProductID]],Products!A:A,Products!C:C)</f>
        <v>Furniture</v>
      </c>
      <c r="J92">
        <v>1</v>
      </c>
      <c r="K92" s="5">
        <f>_xlfn.XLOOKUP(Table1[[#This Row],[ProductID]],Products!A:A,Products!E:E)</f>
        <v>160.31</v>
      </c>
      <c r="L92" s="5">
        <v>219.65</v>
      </c>
      <c r="M92" s="6">
        <v>0.2</v>
      </c>
      <c r="N92" t="s">
        <v>10</v>
      </c>
      <c r="O92" s="5">
        <f t="shared" si="5"/>
        <v>175.72000000000003</v>
      </c>
      <c r="P92" s="5">
        <f t="shared" si="6"/>
        <v>175.72000000000003</v>
      </c>
      <c r="Q92" s="5">
        <f>Table1[[#This Row],[Quantity]]*(Table1[[#This Row],[Saleprice]]-Table1[[#This Row],[Costprice]])</f>
        <v>15.410000000000025</v>
      </c>
      <c r="R92">
        <f t="shared" si="7"/>
        <v>2021</v>
      </c>
      <c r="S92">
        <f t="shared" si="8"/>
        <v>10</v>
      </c>
      <c r="T92" t="str">
        <f t="shared" si="9"/>
        <v>October</v>
      </c>
    </row>
    <row r="93" spans="1:20" x14ac:dyDescent="0.3">
      <c r="A93" s="3">
        <v>44500</v>
      </c>
      <c r="B93">
        <v>108</v>
      </c>
      <c r="C93" s="3">
        <f>_xlfn.XLOOKUP(B93,Stores!A:A,Stores!E:E)</f>
        <v>43961</v>
      </c>
      <c r="D93">
        <v>205</v>
      </c>
      <c r="E93" s="3">
        <f>_xlfn.XLOOKUP(D93,SalesReps!A:A,SalesReps!D:D)</f>
        <v>44473</v>
      </c>
      <c r="F93" s="3" t="str">
        <f>_xlfn.XLOOKUP(Table1[[#This Row],[RepID]],SalesReps!A:A,SalesReps!E:E)</f>
        <v>Active</v>
      </c>
      <c r="G93">
        <v>311</v>
      </c>
      <c r="H93" t="str">
        <f>_xlfn.XLOOKUP(Table1[[#This Row],[ProductID]],Products!A:A,Products!B:B)</f>
        <v>Home &amp; Kitchen</v>
      </c>
      <c r="I93" t="str">
        <f>_xlfn.XLOOKUP(Table1[[#This Row],[ProductID]],Products!A:A,Products!C:C)</f>
        <v>Furniture</v>
      </c>
      <c r="J93">
        <v>1</v>
      </c>
      <c r="K93" s="5">
        <f>_xlfn.XLOOKUP(Table1[[#This Row],[ProductID]],Products!A:A,Products!E:E)</f>
        <v>16.23</v>
      </c>
      <c r="L93" s="5">
        <v>84.99</v>
      </c>
      <c r="M93" s="6">
        <v>0.12</v>
      </c>
      <c r="N93" t="s">
        <v>8</v>
      </c>
      <c r="O93" s="5">
        <f t="shared" si="5"/>
        <v>74.791199999999989</v>
      </c>
      <c r="P93" s="5">
        <f t="shared" si="6"/>
        <v>74.791199999999989</v>
      </c>
      <c r="Q93" s="5">
        <f>Table1[[#This Row],[Quantity]]*(Table1[[#This Row],[Saleprice]]-Table1[[#This Row],[Costprice]])</f>
        <v>58.561199999999985</v>
      </c>
      <c r="R93">
        <f t="shared" si="7"/>
        <v>2021</v>
      </c>
      <c r="S93">
        <f t="shared" si="8"/>
        <v>10</v>
      </c>
      <c r="T93" t="str">
        <f t="shared" si="9"/>
        <v>October</v>
      </c>
    </row>
    <row r="94" spans="1:20" x14ac:dyDescent="0.3">
      <c r="A94" s="3">
        <v>44500</v>
      </c>
      <c r="B94">
        <v>106</v>
      </c>
      <c r="C94" s="3">
        <f>_xlfn.XLOOKUP(B94,Stores!A:A,Stores!E:E)</f>
        <v>43918</v>
      </c>
      <c r="D94">
        <v>210</v>
      </c>
      <c r="E94" s="3">
        <f>_xlfn.XLOOKUP(D94,SalesReps!A:A,SalesReps!D:D)</f>
        <v>44449</v>
      </c>
      <c r="F94" s="3" t="str">
        <f>_xlfn.XLOOKUP(Table1[[#This Row],[RepID]],SalesReps!A:A,SalesReps!E:E)</f>
        <v>Active</v>
      </c>
      <c r="G94">
        <v>306</v>
      </c>
      <c r="H94" t="str">
        <f>_xlfn.XLOOKUP(Table1[[#This Row],[ProductID]],Products!A:A,Products!B:B)</f>
        <v>Clothing</v>
      </c>
      <c r="I94" t="str">
        <f>_xlfn.XLOOKUP(Table1[[#This Row],[ProductID]],Products!A:A,Products!C:C)</f>
        <v>Men</v>
      </c>
      <c r="J94">
        <v>1</v>
      </c>
      <c r="K94" s="5">
        <f>_xlfn.XLOOKUP(Table1[[#This Row],[ProductID]],Products!A:A,Products!E:E)</f>
        <v>185.69</v>
      </c>
      <c r="L94" s="5">
        <v>198.37</v>
      </c>
      <c r="M94" s="6">
        <v>0.12</v>
      </c>
      <c r="N94" t="s">
        <v>10</v>
      </c>
      <c r="O94" s="5">
        <f t="shared" si="5"/>
        <v>174.56560000000002</v>
      </c>
      <c r="P94" s="5">
        <f t="shared" si="6"/>
        <v>174.56560000000002</v>
      </c>
      <c r="Q94" s="5">
        <f>Table1[[#This Row],[Quantity]]*(Table1[[#This Row],[Saleprice]]-Table1[[#This Row],[Costprice]])</f>
        <v>-11.12439999999998</v>
      </c>
      <c r="R94">
        <f t="shared" si="7"/>
        <v>2021</v>
      </c>
      <c r="S94">
        <f t="shared" si="8"/>
        <v>10</v>
      </c>
      <c r="T94" t="str">
        <f t="shared" si="9"/>
        <v>October</v>
      </c>
    </row>
    <row r="95" spans="1:20" x14ac:dyDescent="0.3">
      <c r="A95" s="3">
        <v>44500</v>
      </c>
      <c r="B95">
        <v>108</v>
      </c>
      <c r="C95" s="3">
        <f>_xlfn.XLOOKUP(B95,Stores!A:A,Stores!E:E)</f>
        <v>43961</v>
      </c>
      <c r="D95">
        <v>205</v>
      </c>
      <c r="E95" s="3">
        <f>_xlfn.XLOOKUP(D95,SalesReps!A:A,SalesReps!D:D)</f>
        <v>44473</v>
      </c>
      <c r="F95" s="3" t="str">
        <f>_xlfn.XLOOKUP(Table1[[#This Row],[RepID]],SalesReps!A:A,SalesReps!E:E)</f>
        <v>Active</v>
      </c>
      <c r="G95">
        <v>315</v>
      </c>
      <c r="H95" t="str">
        <f>_xlfn.XLOOKUP(Table1[[#This Row],[ProductID]],Products!A:A,Products!B:B)</f>
        <v>Toys</v>
      </c>
      <c r="I95" t="str">
        <f>_xlfn.XLOOKUP(Table1[[#This Row],[ProductID]],Products!A:A,Products!C:C)</f>
        <v>Board Games</v>
      </c>
      <c r="J95">
        <v>5</v>
      </c>
      <c r="K95" s="5">
        <f>_xlfn.XLOOKUP(Table1[[#This Row],[ProductID]],Products!A:A,Products!E:E)</f>
        <v>247.9</v>
      </c>
      <c r="L95" s="5">
        <v>329.56</v>
      </c>
      <c r="M95" s="6">
        <v>0.12</v>
      </c>
      <c r="N95" t="s">
        <v>8</v>
      </c>
      <c r="O95" s="5">
        <f t="shared" si="5"/>
        <v>290.01280000000003</v>
      </c>
      <c r="P95" s="5">
        <f t="shared" si="6"/>
        <v>1450.0640000000001</v>
      </c>
      <c r="Q95" s="5">
        <f>Table1[[#This Row],[Quantity]]*(Table1[[#This Row],[Saleprice]]-Table1[[#This Row],[Costprice]])</f>
        <v>210.56400000000011</v>
      </c>
      <c r="R95">
        <f t="shared" si="7"/>
        <v>2021</v>
      </c>
      <c r="S95">
        <f t="shared" si="8"/>
        <v>10</v>
      </c>
      <c r="T95" t="str">
        <f t="shared" si="9"/>
        <v>October</v>
      </c>
    </row>
    <row r="96" spans="1:20" x14ac:dyDescent="0.3">
      <c r="A96" s="3">
        <v>44501</v>
      </c>
      <c r="B96">
        <v>108</v>
      </c>
      <c r="C96" s="3">
        <f>_xlfn.XLOOKUP(B96,Stores!A:A,Stores!E:E)</f>
        <v>43961</v>
      </c>
      <c r="D96">
        <v>205</v>
      </c>
      <c r="E96" s="3">
        <f>_xlfn.XLOOKUP(D96,SalesReps!A:A,SalesReps!D:D)</f>
        <v>44473</v>
      </c>
      <c r="F96" s="3" t="str">
        <f>_xlfn.XLOOKUP(Table1[[#This Row],[RepID]],SalesReps!A:A,SalesReps!E:E)</f>
        <v>Active</v>
      </c>
      <c r="G96">
        <v>301</v>
      </c>
      <c r="H96" t="str">
        <f>_xlfn.XLOOKUP(Table1[[#This Row],[ProductID]],Products!A:A,Products!B:B)</f>
        <v>Electronics</v>
      </c>
      <c r="I96" t="str">
        <f>_xlfn.XLOOKUP(Table1[[#This Row],[ProductID]],Products!A:A,Products!C:C)</f>
        <v>Mobiles</v>
      </c>
      <c r="J96">
        <v>7</v>
      </c>
      <c r="K96" s="5">
        <f>_xlfn.XLOOKUP(Table1[[#This Row],[ProductID]],Products!A:A,Products!E:E)</f>
        <v>159.16</v>
      </c>
      <c r="L96" s="5">
        <v>235.16</v>
      </c>
      <c r="M96" s="6">
        <v>0.16</v>
      </c>
      <c r="N96" t="s">
        <v>8</v>
      </c>
      <c r="O96" s="5">
        <f t="shared" si="5"/>
        <v>197.53439999999998</v>
      </c>
      <c r="P96" s="5">
        <f t="shared" si="6"/>
        <v>1382.7407999999998</v>
      </c>
      <c r="Q96" s="5">
        <f>Table1[[#This Row],[Quantity]]*(Table1[[#This Row],[Saleprice]]-Table1[[#This Row],[Costprice]])</f>
        <v>268.62079999999986</v>
      </c>
      <c r="R96">
        <f t="shared" si="7"/>
        <v>2021</v>
      </c>
      <c r="S96">
        <f t="shared" si="8"/>
        <v>11</v>
      </c>
      <c r="T96" t="str">
        <f t="shared" si="9"/>
        <v>November</v>
      </c>
    </row>
    <row r="97" spans="1:20" x14ac:dyDescent="0.3">
      <c r="A97" s="3">
        <v>44502</v>
      </c>
      <c r="B97">
        <v>108</v>
      </c>
      <c r="C97" s="3">
        <f>_xlfn.XLOOKUP(B97,Stores!A:A,Stores!E:E)</f>
        <v>43961</v>
      </c>
      <c r="D97">
        <v>205</v>
      </c>
      <c r="E97" s="3">
        <f>_xlfn.XLOOKUP(D97,SalesReps!A:A,SalesReps!D:D)</f>
        <v>44473</v>
      </c>
      <c r="F97" s="3" t="str">
        <f>_xlfn.XLOOKUP(Table1[[#This Row],[RepID]],SalesReps!A:A,SalesReps!E:E)</f>
        <v>Active</v>
      </c>
      <c r="G97">
        <v>306</v>
      </c>
      <c r="H97" t="str">
        <f>_xlfn.XLOOKUP(Table1[[#This Row],[ProductID]],Products!A:A,Products!B:B)</f>
        <v>Clothing</v>
      </c>
      <c r="I97" t="str">
        <f>_xlfn.XLOOKUP(Table1[[#This Row],[ProductID]],Products!A:A,Products!C:C)</f>
        <v>Men</v>
      </c>
      <c r="J97">
        <v>7</v>
      </c>
      <c r="K97" s="5">
        <f>_xlfn.XLOOKUP(Table1[[#This Row],[ProductID]],Products!A:A,Products!E:E)</f>
        <v>185.69</v>
      </c>
      <c r="L97" s="5">
        <v>235.37</v>
      </c>
      <c r="M97" s="6">
        <v>0.25</v>
      </c>
      <c r="N97" t="s">
        <v>8</v>
      </c>
      <c r="O97" s="5">
        <f t="shared" si="5"/>
        <v>176.5275</v>
      </c>
      <c r="P97" s="5">
        <f t="shared" si="6"/>
        <v>1235.6925000000001</v>
      </c>
      <c r="Q97" s="5">
        <f>Table1[[#This Row],[Quantity]]*(Table1[[#This Row],[Saleprice]]-Table1[[#This Row],[Costprice]])</f>
        <v>-64.13749999999996</v>
      </c>
      <c r="R97">
        <f t="shared" si="7"/>
        <v>2021</v>
      </c>
      <c r="S97">
        <f t="shared" si="8"/>
        <v>11</v>
      </c>
      <c r="T97" t="str">
        <f t="shared" si="9"/>
        <v>November</v>
      </c>
    </row>
    <row r="98" spans="1:20" x14ac:dyDescent="0.3">
      <c r="A98" s="3">
        <v>44502</v>
      </c>
      <c r="B98">
        <v>108</v>
      </c>
      <c r="C98" s="3">
        <f>_xlfn.XLOOKUP(B98,Stores!A:A,Stores!E:E)</f>
        <v>43961</v>
      </c>
      <c r="D98">
        <v>205</v>
      </c>
      <c r="E98" s="3">
        <f>_xlfn.XLOOKUP(D98,SalesReps!A:A,SalesReps!D:D)</f>
        <v>44473</v>
      </c>
      <c r="F98" s="3" t="str">
        <f>_xlfn.XLOOKUP(Table1[[#This Row],[RepID]],SalesReps!A:A,SalesReps!E:E)</f>
        <v>Active</v>
      </c>
      <c r="G98">
        <v>307</v>
      </c>
      <c r="H98" t="str">
        <f>_xlfn.XLOOKUP(Table1[[#This Row],[ProductID]],Products!A:A,Products!B:B)</f>
        <v>Toys</v>
      </c>
      <c r="I98" t="str">
        <f>_xlfn.XLOOKUP(Table1[[#This Row],[ProductID]],Products!A:A,Products!C:C)</f>
        <v>Outdoor</v>
      </c>
      <c r="J98">
        <v>3</v>
      </c>
      <c r="K98" s="5">
        <f>_xlfn.XLOOKUP(Table1[[#This Row],[ProductID]],Products!A:A,Products!E:E)</f>
        <v>15.17</v>
      </c>
      <c r="L98" s="5">
        <v>90.02</v>
      </c>
      <c r="M98" s="6">
        <v>0.09</v>
      </c>
      <c r="N98" t="s">
        <v>8</v>
      </c>
      <c r="O98" s="5">
        <f t="shared" si="5"/>
        <v>81.918199999999999</v>
      </c>
      <c r="P98" s="5">
        <f t="shared" si="6"/>
        <v>245.75459999999998</v>
      </c>
      <c r="Q98" s="5">
        <f>Table1[[#This Row],[Quantity]]*(Table1[[#This Row],[Saleprice]]-Table1[[#This Row],[Costprice]])</f>
        <v>200.24459999999999</v>
      </c>
      <c r="R98">
        <f t="shared" si="7"/>
        <v>2021</v>
      </c>
      <c r="S98">
        <f t="shared" si="8"/>
        <v>11</v>
      </c>
      <c r="T98" t="str">
        <f t="shared" si="9"/>
        <v>November</v>
      </c>
    </row>
    <row r="99" spans="1:20" x14ac:dyDescent="0.3">
      <c r="A99" s="3">
        <v>44502</v>
      </c>
      <c r="B99">
        <v>108</v>
      </c>
      <c r="C99" s="3">
        <f>_xlfn.XLOOKUP(B99,Stores!A:A,Stores!E:E)</f>
        <v>43961</v>
      </c>
      <c r="D99">
        <v>205</v>
      </c>
      <c r="E99" s="3">
        <f>_xlfn.XLOOKUP(D99,SalesReps!A:A,SalesReps!D:D)</f>
        <v>44473</v>
      </c>
      <c r="F99" s="3" t="str">
        <f>_xlfn.XLOOKUP(Table1[[#This Row],[RepID]],SalesReps!A:A,SalesReps!E:E)</f>
        <v>Active</v>
      </c>
      <c r="G99">
        <v>310</v>
      </c>
      <c r="H99" t="str">
        <f>_xlfn.XLOOKUP(Table1[[#This Row],[ProductID]],Products!A:A,Products!B:B)</f>
        <v>Home &amp; Kitchen</v>
      </c>
      <c r="I99" t="str">
        <f>_xlfn.XLOOKUP(Table1[[#This Row],[ProductID]],Products!A:A,Products!C:C)</f>
        <v>Furniture</v>
      </c>
      <c r="J99">
        <v>7</v>
      </c>
      <c r="K99" s="5">
        <f>_xlfn.XLOOKUP(Table1[[#This Row],[ProductID]],Products!A:A,Products!E:E)</f>
        <v>160.31</v>
      </c>
      <c r="L99" s="5">
        <v>209.95</v>
      </c>
      <c r="M99" s="6">
        <v>0.11</v>
      </c>
      <c r="N99" t="s">
        <v>8</v>
      </c>
      <c r="O99" s="5">
        <f t="shared" si="5"/>
        <v>186.85550000000001</v>
      </c>
      <c r="P99" s="5">
        <f t="shared" si="6"/>
        <v>1307.9884999999999</v>
      </c>
      <c r="Q99" s="5">
        <f>Table1[[#This Row],[Quantity]]*(Table1[[#This Row],[Saleprice]]-Table1[[#This Row],[Costprice]])</f>
        <v>185.81850000000003</v>
      </c>
      <c r="R99">
        <f t="shared" si="7"/>
        <v>2021</v>
      </c>
      <c r="S99">
        <f t="shared" si="8"/>
        <v>11</v>
      </c>
      <c r="T99" t="str">
        <f t="shared" si="9"/>
        <v>November</v>
      </c>
    </row>
    <row r="100" spans="1:20" x14ac:dyDescent="0.3">
      <c r="A100" s="3">
        <v>44502</v>
      </c>
      <c r="B100">
        <v>108</v>
      </c>
      <c r="C100" s="3">
        <f>_xlfn.XLOOKUP(B100,Stores!A:A,Stores!E:E)</f>
        <v>43961</v>
      </c>
      <c r="D100">
        <v>205</v>
      </c>
      <c r="E100" s="3">
        <f>_xlfn.XLOOKUP(D100,SalesReps!A:A,SalesReps!D:D)</f>
        <v>44473</v>
      </c>
      <c r="F100" s="3" t="str">
        <f>_xlfn.XLOOKUP(Table1[[#This Row],[RepID]],SalesReps!A:A,SalesReps!E:E)</f>
        <v>Active</v>
      </c>
      <c r="G100">
        <v>301</v>
      </c>
      <c r="H100" t="str">
        <f>_xlfn.XLOOKUP(Table1[[#This Row],[ProductID]],Products!A:A,Products!B:B)</f>
        <v>Electronics</v>
      </c>
      <c r="I100" t="str">
        <f>_xlfn.XLOOKUP(Table1[[#This Row],[ProductID]],Products!A:A,Products!C:C)</f>
        <v>Mobiles</v>
      </c>
      <c r="J100">
        <v>2</v>
      </c>
      <c r="K100" s="5">
        <f>_xlfn.XLOOKUP(Table1[[#This Row],[ProductID]],Products!A:A,Products!E:E)</f>
        <v>159.16</v>
      </c>
      <c r="L100" s="5">
        <v>235.16</v>
      </c>
      <c r="M100" s="6">
        <v>0.16</v>
      </c>
      <c r="N100" t="s">
        <v>8</v>
      </c>
      <c r="O100" s="5">
        <f t="shared" si="5"/>
        <v>197.53439999999998</v>
      </c>
      <c r="P100" s="5">
        <f t="shared" si="6"/>
        <v>395.06879999999995</v>
      </c>
      <c r="Q100" s="5">
        <f>Table1[[#This Row],[Quantity]]*(Table1[[#This Row],[Saleprice]]-Table1[[#This Row],[Costprice]])</f>
        <v>76.74879999999996</v>
      </c>
      <c r="R100">
        <f t="shared" si="7"/>
        <v>2021</v>
      </c>
      <c r="S100">
        <f t="shared" si="8"/>
        <v>11</v>
      </c>
      <c r="T100" t="str">
        <f t="shared" si="9"/>
        <v>November</v>
      </c>
    </row>
    <row r="101" spans="1:20" x14ac:dyDescent="0.3">
      <c r="A101" s="3">
        <v>44503</v>
      </c>
      <c r="B101">
        <v>108</v>
      </c>
      <c r="C101" s="3">
        <f>_xlfn.XLOOKUP(B101,Stores!A:A,Stores!E:E)</f>
        <v>43961</v>
      </c>
      <c r="D101">
        <v>205</v>
      </c>
      <c r="E101" s="3">
        <f>_xlfn.XLOOKUP(D101,SalesReps!A:A,SalesReps!D:D)</f>
        <v>44473</v>
      </c>
      <c r="F101" s="3" t="str">
        <f>_xlfn.XLOOKUP(Table1[[#This Row],[RepID]],SalesReps!A:A,SalesReps!E:E)</f>
        <v>Active</v>
      </c>
      <c r="G101">
        <v>314</v>
      </c>
      <c r="H101" t="str">
        <f>_xlfn.XLOOKUP(Table1[[#This Row],[ProductID]],Products!A:A,Products!B:B)</f>
        <v>Clothing</v>
      </c>
      <c r="I101" t="str">
        <f>_xlfn.XLOOKUP(Table1[[#This Row],[ProductID]],Products!A:A,Products!C:C)</f>
        <v>Kids</v>
      </c>
      <c r="J101">
        <v>8</v>
      </c>
      <c r="K101" s="5">
        <f>_xlfn.XLOOKUP(Table1[[#This Row],[ProductID]],Products!A:A,Products!E:E)</f>
        <v>276.47000000000003</v>
      </c>
      <c r="L101" s="5">
        <v>290.39</v>
      </c>
      <c r="M101" s="6">
        <v>0.09</v>
      </c>
      <c r="N101" t="s">
        <v>8</v>
      </c>
      <c r="O101" s="5">
        <f t="shared" si="5"/>
        <v>264.25490000000002</v>
      </c>
      <c r="P101" s="5">
        <f t="shared" si="6"/>
        <v>2114.0392000000002</v>
      </c>
      <c r="Q101" s="5">
        <f>Table1[[#This Row],[Quantity]]*(Table1[[#This Row],[Saleprice]]-Table1[[#This Row],[Costprice]])</f>
        <v>-97.720800000000054</v>
      </c>
      <c r="R101">
        <f t="shared" si="7"/>
        <v>2021</v>
      </c>
      <c r="S101">
        <f t="shared" si="8"/>
        <v>11</v>
      </c>
      <c r="T101" t="str">
        <f t="shared" si="9"/>
        <v>November</v>
      </c>
    </row>
    <row r="102" spans="1:20" x14ac:dyDescent="0.3">
      <c r="A102" s="3">
        <v>44503</v>
      </c>
      <c r="B102">
        <v>108</v>
      </c>
      <c r="C102" s="3">
        <f>_xlfn.XLOOKUP(B102,Stores!A:A,Stores!E:E)</f>
        <v>43961</v>
      </c>
      <c r="D102">
        <v>205</v>
      </c>
      <c r="E102" s="3">
        <f>_xlfn.XLOOKUP(D102,SalesReps!A:A,SalesReps!D:D)</f>
        <v>44473</v>
      </c>
      <c r="F102" s="3" t="str">
        <f>_xlfn.XLOOKUP(Table1[[#This Row],[RepID]],SalesReps!A:A,SalesReps!E:E)</f>
        <v>Active</v>
      </c>
      <c r="G102">
        <v>304</v>
      </c>
      <c r="H102" t="str">
        <f>_xlfn.XLOOKUP(Table1[[#This Row],[ProductID]],Products!A:A,Products!B:B)</f>
        <v>Home &amp; Kitchen</v>
      </c>
      <c r="I102" t="str">
        <f>_xlfn.XLOOKUP(Table1[[#This Row],[ProductID]],Products!A:A,Products!C:C)</f>
        <v>Furniture</v>
      </c>
      <c r="J102">
        <v>2</v>
      </c>
      <c r="K102" s="5">
        <f>_xlfn.XLOOKUP(Table1[[#This Row],[ProductID]],Products!A:A,Products!E:E)</f>
        <v>345.38</v>
      </c>
      <c r="L102" s="5">
        <v>361.98</v>
      </c>
      <c r="M102" s="6">
        <v>0.12</v>
      </c>
      <c r="N102" t="s">
        <v>8</v>
      </c>
      <c r="O102" s="5">
        <f t="shared" si="5"/>
        <v>318.54240000000004</v>
      </c>
      <c r="P102" s="5">
        <f t="shared" si="6"/>
        <v>637.08480000000009</v>
      </c>
      <c r="Q102" s="5">
        <f>Table1[[#This Row],[Quantity]]*(Table1[[#This Row],[Saleprice]]-Table1[[#This Row],[Costprice]])</f>
        <v>-53.675199999999904</v>
      </c>
      <c r="R102">
        <f t="shared" si="7"/>
        <v>2021</v>
      </c>
      <c r="S102">
        <f t="shared" si="8"/>
        <v>11</v>
      </c>
      <c r="T102" t="str">
        <f t="shared" si="9"/>
        <v>November</v>
      </c>
    </row>
    <row r="103" spans="1:20" x14ac:dyDescent="0.3">
      <c r="A103" s="3">
        <v>44504</v>
      </c>
      <c r="B103">
        <v>108</v>
      </c>
      <c r="C103" s="3">
        <f>_xlfn.XLOOKUP(B103,Stores!A:A,Stores!E:E)</f>
        <v>43961</v>
      </c>
      <c r="D103">
        <v>205</v>
      </c>
      <c r="E103" s="3">
        <f>_xlfn.XLOOKUP(D103,SalesReps!A:A,SalesReps!D:D)</f>
        <v>44473</v>
      </c>
      <c r="F103" s="3" t="str">
        <f>_xlfn.XLOOKUP(Table1[[#This Row],[RepID]],SalesReps!A:A,SalesReps!E:E)</f>
        <v>Active</v>
      </c>
      <c r="G103">
        <v>307</v>
      </c>
      <c r="H103" t="str">
        <f>_xlfn.XLOOKUP(Table1[[#This Row],[ProductID]],Products!A:A,Products!B:B)</f>
        <v>Toys</v>
      </c>
      <c r="I103" t="str">
        <f>_xlfn.XLOOKUP(Table1[[#This Row],[ProductID]],Products!A:A,Products!C:C)</f>
        <v>Outdoor</v>
      </c>
      <c r="J103">
        <v>5</v>
      </c>
      <c r="K103" s="5">
        <f>_xlfn.XLOOKUP(Table1[[#This Row],[ProductID]],Products!A:A,Products!E:E)</f>
        <v>15.17</v>
      </c>
      <c r="L103" s="5">
        <v>90.02</v>
      </c>
      <c r="M103" s="6">
        <v>0.09</v>
      </c>
      <c r="N103" t="s">
        <v>8</v>
      </c>
      <c r="O103" s="5">
        <f t="shared" si="5"/>
        <v>81.918199999999999</v>
      </c>
      <c r="P103" s="5">
        <f t="shared" si="6"/>
        <v>409.59100000000001</v>
      </c>
      <c r="Q103" s="5">
        <f>Table1[[#This Row],[Quantity]]*(Table1[[#This Row],[Saleprice]]-Table1[[#This Row],[Costprice]])</f>
        <v>333.74099999999999</v>
      </c>
      <c r="R103">
        <f t="shared" si="7"/>
        <v>2021</v>
      </c>
      <c r="S103">
        <f t="shared" si="8"/>
        <v>11</v>
      </c>
      <c r="T103" t="str">
        <f t="shared" si="9"/>
        <v>November</v>
      </c>
    </row>
    <row r="104" spans="1:20" x14ac:dyDescent="0.3">
      <c r="A104" s="3">
        <v>44504</v>
      </c>
      <c r="B104">
        <v>108</v>
      </c>
      <c r="C104" s="3">
        <f>_xlfn.XLOOKUP(B104,Stores!A:A,Stores!E:E)</f>
        <v>43961</v>
      </c>
      <c r="D104">
        <v>205</v>
      </c>
      <c r="E104" s="3">
        <f>_xlfn.XLOOKUP(D104,SalesReps!A:A,SalesReps!D:D)</f>
        <v>44473</v>
      </c>
      <c r="F104" s="3" t="str">
        <f>_xlfn.XLOOKUP(Table1[[#This Row],[RepID]],SalesReps!A:A,SalesReps!E:E)</f>
        <v>Active</v>
      </c>
      <c r="G104">
        <v>304</v>
      </c>
      <c r="H104" t="str">
        <f>_xlfn.XLOOKUP(Table1[[#This Row],[ProductID]],Products!A:A,Products!B:B)</f>
        <v>Home &amp; Kitchen</v>
      </c>
      <c r="I104" t="str">
        <f>_xlfn.XLOOKUP(Table1[[#This Row],[ProductID]],Products!A:A,Products!C:C)</f>
        <v>Furniture</v>
      </c>
      <c r="J104">
        <v>7</v>
      </c>
      <c r="K104" s="5">
        <f>_xlfn.XLOOKUP(Table1[[#This Row],[ProductID]],Products!A:A,Products!E:E)</f>
        <v>345.38</v>
      </c>
      <c r="L104" s="5">
        <v>361.98</v>
      </c>
      <c r="M104" s="6">
        <v>0.12</v>
      </c>
      <c r="N104" t="s">
        <v>8</v>
      </c>
      <c r="O104" s="5">
        <f t="shared" si="5"/>
        <v>318.54240000000004</v>
      </c>
      <c r="P104" s="5">
        <f t="shared" si="6"/>
        <v>2229.7968000000001</v>
      </c>
      <c r="Q104" s="5">
        <f>Table1[[#This Row],[Quantity]]*(Table1[[#This Row],[Saleprice]]-Table1[[#This Row],[Costprice]])</f>
        <v>-187.86319999999967</v>
      </c>
      <c r="R104">
        <f t="shared" si="7"/>
        <v>2021</v>
      </c>
      <c r="S104">
        <f t="shared" si="8"/>
        <v>11</v>
      </c>
      <c r="T104" t="str">
        <f t="shared" si="9"/>
        <v>November</v>
      </c>
    </row>
    <row r="105" spans="1:20" x14ac:dyDescent="0.3">
      <c r="A105" s="3">
        <v>44506</v>
      </c>
      <c r="B105">
        <v>108</v>
      </c>
      <c r="C105" s="3">
        <f>_xlfn.XLOOKUP(B105,Stores!A:A,Stores!E:E)</f>
        <v>43961</v>
      </c>
      <c r="D105">
        <v>205</v>
      </c>
      <c r="E105" s="3">
        <f>_xlfn.XLOOKUP(D105,SalesReps!A:A,SalesReps!D:D)</f>
        <v>44473</v>
      </c>
      <c r="F105" s="3" t="str">
        <f>_xlfn.XLOOKUP(Table1[[#This Row],[RepID]],SalesReps!A:A,SalesReps!E:E)</f>
        <v>Active</v>
      </c>
      <c r="G105">
        <v>304</v>
      </c>
      <c r="H105" t="str">
        <f>_xlfn.XLOOKUP(Table1[[#This Row],[ProductID]],Products!A:A,Products!B:B)</f>
        <v>Home &amp; Kitchen</v>
      </c>
      <c r="I105" t="str">
        <f>_xlfn.XLOOKUP(Table1[[#This Row],[ProductID]],Products!A:A,Products!C:C)</f>
        <v>Furniture</v>
      </c>
      <c r="J105">
        <v>8</v>
      </c>
      <c r="K105" s="5">
        <f>_xlfn.XLOOKUP(Table1[[#This Row],[ProductID]],Products!A:A,Products!E:E)</f>
        <v>345.38</v>
      </c>
      <c r="L105" s="5">
        <v>361.98</v>
      </c>
      <c r="M105" s="6">
        <v>0.12</v>
      </c>
      <c r="N105" t="s">
        <v>8</v>
      </c>
      <c r="O105" s="5">
        <f t="shared" si="5"/>
        <v>318.54240000000004</v>
      </c>
      <c r="P105" s="5">
        <f t="shared" si="6"/>
        <v>2548.3392000000003</v>
      </c>
      <c r="Q105" s="5">
        <f>Table1[[#This Row],[Quantity]]*(Table1[[#This Row],[Saleprice]]-Table1[[#This Row],[Costprice]])</f>
        <v>-214.70079999999962</v>
      </c>
      <c r="R105">
        <f t="shared" si="7"/>
        <v>2021</v>
      </c>
      <c r="S105">
        <f t="shared" si="8"/>
        <v>11</v>
      </c>
      <c r="T105" t="str">
        <f t="shared" si="9"/>
        <v>November</v>
      </c>
    </row>
    <row r="106" spans="1:20" x14ac:dyDescent="0.3">
      <c r="A106" s="3">
        <v>44506</v>
      </c>
      <c r="B106">
        <v>108</v>
      </c>
      <c r="C106" s="3">
        <f>_xlfn.XLOOKUP(B106,Stores!A:A,Stores!E:E)</f>
        <v>43961</v>
      </c>
      <c r="D106">
        <v>205</v>
      </c>
      <c r="E106" s="3">
        <f>_xlfn.XLOOKUP(D106,SalesReps!A:A,SalesReps!D:D)</f>
        <v>44473</v>
      </c>
      <c r="F106" s="3" t="str">
        <f>_xlfn.XLOOKUP(Table1[[#This Row],[RepID]],SalesReps!A:A,SalesReps!E:E)</f>
        <v>Active</v>
      </c>
      <c r="G106">
        <v>313</v>
      </c>
      <c r="H106" t="str">
        <f>_xlfn.XLOOKUP(Table1[[#This Row],[ProductID]],Products!A:A,Products!B:B)</f>
        <v>Clothing</v>
      </c>
      <c r="I106" t="str">
        <f>_xlfn.XLOOKUP(Table1[[#This Row],[ProductID]],Products!A:A,Products!C:C)</f>
        <v>Women</v>
      </c>
      <c r="J106">
        <v>2</v>
      </c>
      <c r="K106" s="5">
        <f>_xlfn.XLOOKUP(Table1[[#This Row],[ProductID]],Products!A:A,Products!E:E)</f>
        <v>104</v>
      </c>
      <c r="L106" s="5">
        <v>127.47</v>
      </c>
      <c r="M106" s="6">
        <v>0.13</v>
      </c>
      <c r="N106" t="s">
        <v>8</v>
      </c>
      <c r="O106" s="5">
        <f t="shared" si="5"/>
        <v>110.8989</v>
      </c>
      <c r="P106" s="5">
        <f t="shared" si="6"/>
        <v>221.7978</v>
      </c>
      <c r="Q106" s="5">
        <f>Table1[[#This Row],[Quantity]]*(Table1[[#This Row],[Saleprice]]-Table1[[#This Row],[Costprice]])</f>
        <v>13.797799999999995</v>
      </c>
      <c r="R106">
        <f t="shared" si="7"/>
        <v>2021</v>
      </c>
      <c r="S106">
        <f t="shared" si="8"/>
        <v>11</v>
      </c>
      <c r="T106" t="str">
        <f t="shared" si="9"/>
        <v>November</v>
      </c>
    </row>
    <row r="107" spans="1:20" x14ac:dyDescent="0.3">
      <c r="A107" s="3">
        <v>44507</v>
      </c>
      <c r="B107">
        <v>108</v>
      </c>
      <c r="C107" s="3">
        <f>_xlfn.XLOOKUP(B107,Stores!A:A,Stores!E:E)</f>
        <v>43961</v>
      </c>
      <c r="D107">
        <v>205</v>
      </c>
      <c r="E107" s="3">
        <f>_xlfn.XLOOKUP(D107,SalesReps!A:A,SalesReps!D:D)</f>
        <v>44473</v>
      </c>
      <c r="F107" s="3" t="str">
        <f>_xlfn.XLOOKUP(Table1[[#This Row],[RepID]],SalesReps!A:A,SalesReps!E:E)</f>
        <v>Active</v>
      </c>
      <c r="G107">
        <v>311</v>
      </c>
      <c r="H107" t="str">
        <f>_xlfn.XLOOKUP(Table1[[#This Row],[ProductID]],Products!A:A,Products!B:B)</f>
        <v>Home &amp; Kitchen</v>
      </c>
      <c r="I107" t="str">
        <f>_xlfn.XLOOKUP(Table1[[#This Row],[ProductID]],Products!A:A,Products!C:C)</f>
        <v>Furniture</v>
      </c>
      <c r="J107">
        <v>4</v>
      </c>
      <c r="K107" s="5">
        <f>_xlfn.XLOOKUP(Table1[[#This Row],[ProductID]],Products!A:A,Products!E:E)</f>
        <v>16.23</v>
      </c>
      <c r="L107" s="5">
        <v>84.99</v>
      </c>
      <c r="M107" s="6">
        <v>0.12</v>
      </c>
      <c r="N107" t="s">
        <v>8</v>
      </c>
      <c r="O107" s="5">
        <f t="shared" si="5"/>
        <v>74.791199999999989</v>
      </c>
      <c r="P107" s="5">
        <f t="shared" si="6"/>
        <v>299.16479999999996</v>
      </c>
      <c r="Q107" s="5">
        <f>Table1[[#This Row],[Quantity]]*(Table1[[#This Row],[Saleprice]]-Table1[[#This Row],[Costprice]])</f>
        <v>234.24479999999994</v>
      </c>
      <c r="R107">
        <f t="shared" si="7"/>
        <v>2021</v>
      </c>
      <c r="S107">
        <f t="shared" si="8"/>
        <v>11</v>
      </c>
      <c r="T107" t="str">
        <f t="shared" si="9"/>
        <v>November</v>
      </c>
    </row>
    <row r="108" spans="1:20" x14ac:dyDescent="0.3">
      <c r="A108" s="3">
        <v>44509</v>
      </c>
      <c r="B108">
        <v>106</v>
      </c>
      <c r="C108" s="3">
        <f>_xlfn.XLOOKUP(B108,Stores!A:A,Stores!E:E)</f>
        <v>43918</v>
      </c>
      <c r="D108">
        <v>210</v>
      </c>
      <c r="E108" s="3">
        <f>_xlfn.XLOOKUP(D108,SalesReps!A:A,SalesReps!D:D)</f>
        <v>44449</v>
      </c>
      <c r="F108" s="3" t="str">
        <f>_xlfn.XLOOKUP(Table1[[#This Row],[RepID]],SalesReps!A:A,SalesReps!E:E)</f>
        <v>Active</v>
      </c>
      <c r="G108">
        <v>310</v>
      </c>
      <c r="H108" t="str">
        <f>_xlfn.XLOOKUP(Table1[[#This Row],[ProductID]],Products!A:A,Products!B:B)</f>
        <v>Home &amp; Kitchen</v>
      </c>
      <c r="I108" t="str">
        <f>_xlfn.XLOOKUP(Table1[[#This Row],[ProductID]],Products!A:A,Products!C:C)</f>
        <v>Furniture</v>
      </c>
      <c r="J108">
        <v>6</v>
      </c>
      <c r="K108" s="5">
        <f>_xlfn.XLOOKUP(Table1[[#This Row],[ProductID]],Products!A:A,Products!E:E)</f>
        <v>160.31</v>
      </c>
      <c r="L108" s="5">
        <v>219.65</v>
      </c>
      <c r="M108" s="6">
        <v>0.2</v>
      </c>
      <c r="N108" t="s">
        <v>10</v>
      </c>
      <c r="O108" s="5">
        <f t="shared" si="5"/>
        <v>175.72000000000003</v>
      </c>
      <c r="P108" s="5">
        <f t="shared" si="6"/>
        <v>1054.3200000000002</v>
      </c>
      <c r="Q108" s="5">
        <f>Table1[[#This Row],[Quantity]]*(Table1[[#This Row],[Saleprice]]-Table1[[#This Row],[Costprice]])</f>
        <v>92.46000000000015</v>
      </c>
      <c r="R108">
        <f t="shared" si="7"/>
        <v>2021</v>
      </c>
      <c r="S108">
        <f t="shared" si="8"/>
        <v>11</v>
      </c>
      <c r="T108" t="str">
        <f t="shared" si="9"/>
        <v>November</v>
      </c>
    </row>
    <row r="109" spans="1:20" x14ac:dyDescent="0.3">
      <c r="A109" s="3">
        <v>44510</v>
      </c>
      <c r="B109">
        <v>108</v>
      </c>
      <c r="C109" s="3">
        <f>_xlfn.XLOOKUP(B109,Stores!A:A,Stores!E:E)</f>
        <v>43961</v>
      </c>
      <c r="D109">
        <v>205</v>
      </c>
      <c r="E109" s="3">
        <f>_xlfn.XLOOKUP(D109,SalesReps!A:A,SalesReps!D:D)</f>
        <v>44473</v>
      </c>
      <c r="F109" s="3" t="str">
        <f>_xlfn.XLOOKUP(Table1[[#This Row],[RepID]],SalesReps!A:A,SalesReps!E:E)</f>
        <v>Active</v>
      </c>
      <c r="G109">
        <v>306</v>
      </c>
      <c r="H109" t="str">
        <f>_xlfn.XLOOKUP(Table1[[#This Row],[ProductID]],Products!A:A,Products!B:B)</f>
        <v>Clothing</v>
      </c>
      <c r="I109" t="str">
        <f>_xlfn.XLOOKUP(Table1[[#This Row],[ProductID]],Products!A:A,Products!C:C)</f>
        <v>Men</v>
      </c>
      <c r="J109">
        <v>1</v>
      </c>
      <c r="K109" s="5">
        <f>_xlfn.XLOOKUP(Table1[[#This Row],[ProductID]],Products!A:A,Products!E:E)</f>
        <v>185.69</v>
      </c>
      <c r="L109" s="5">
        <v>235.37</v>
      </c>
      <c r="M109" s="6">
        <v>0.25</v>
      </c>
      <c r="N109" t="s">
        <v>8</v>
      </c>
      <c r="O109" s="5">
        <f t="shared" si="5"/>
        <v>176.5275</v>
      </c>
      <c r="P109" s="5">
        <f t="shared" si="6"/>
        <v>176.5275</v>
      </c>
      <c r="Q109" s="5">
        <f>Table1[[#This Row],[Quantity]]*(Table1[[#This Row],[Saleprice]]-Table1[[#This Row],[Costprice]])</f>
        <v>-9.1624999999999943</v>
      </c>
      <c r="R109">
        <f t="shared" si="7"/>
        <v>2021</v>
      </c>
      <c r="S109">
        <f t="shared" si="8"/>
        <v>11</v>
      </c>
      <c r="T109" t="str">
        <f t="shared" si="9"/>
        <v>November</v>
      </c>
    </row>
    <row r="110" spans="1:20" x14ac:dyDescent="0.3">
      <c r="A110" s="3">
        <v>44510</v>
      </c>
      <c r="B110">
        <v>108</v>
      </c>
      <c r="C110" s="3">
        <f>_xlfn.XLOOKUP(B110,Stores!A:A,Stores!E:E)</f>
        <v>43961</v>
      </c>
      <c r="D110">
        <v>205</v>
      </c>
      <c r="E110" s="3">
        <f>_xlfn.XLOOKUP(D110,SalesReps!A:A,SalesReps!D:D)</f>
        <v>44473</v>
      </c>
      <c r="F110" s="3" t="str">
        <f>_xlfn.XLOOKUP(Table1[[#This Row],[RepID]],SalesReps!A:A,SalesReps!E:E)</f>
        <v>Active</v>
      </c>
      <c r="G110">
        <v>306</v>
      </c>
      <c r="H110" t="str">
        <f>_xlfn.XLOOKUP(Table1[[#This Row],[ProductID]],Products!A:A,Products!B:B)</f>
        <v>Clothing</v>
      </c>
      <c r="I110" t="str">
        <f>_xlfn.XLOOKUP(Table1[[#This Row],[ProductID]],Products!A:A,Products!C:C)</f>
        <v>Men</v>
      </c>
      <c r="J110">
        <v>7</v>
      </c>
      <c r="K110" s="5">
        <f>_xlfn.XLOOKUP(Table1[[#This Row],[ProductID]],Products!A:A,Products!E:E)</f>
        <v>185.69</v>
      </c>
      <c r="L110" s="5">
        <v>235.37</v>
      </c>
      <c r="M110" s="6">
        <v>0.25</v>
      </c>
      <c r="N110" t="s">
        <v>8</v>
      </c>
      <c r="O110" s="5">
        <f t="shared" si="5"/>
        <v>176.5275</v>
      </c>
      <c r="P110" s="5">
        <f t="shared" si="6"/>
        <v>1235.6925000000001</v>
      </c>
      <c r="Q110" s="5">
        <f>Table1[[#This Row],[Quantity]]*(Table1[[#This Row],[Saleprice]]-Table1[[#This Row],[Costprice]])</f>
        <v>-64.13749999999996</v>
      </c>
      <c r="R110">
        <f t="shared" si="7"/>
        <v>2021</v>
      </c>
      <c r="S110">
        <f t="shared" si="8"/>
        <v>11</v>
      </c>
      <c r="T110" t="str">
        <f t="shared" si="9"/>
        <v>November</v>
      </c>
    </row>
    <row r="111" spans="1:20" x14ac:dyDescent="0.3">
      <c r="A111" s="3">
        <v>44510</v>
      </c>
      <c r="B111">
        <v>106</v>
      </c>
      <c r="C111" s="3">
        <f>_xlfn.XLOOKUP(B111,Stores!A:A,Stores!E:E)</f>
        <v>43918</v>
      </c>
      <c r="D111">
        <v>210</v>
      </c>
      <c r="E111" s="3">
        <f>_xlfn.XLOOKUP(D111,SalesReps!A:A,SalesReps!D:D)</f>
        <v>44449</v>
      </c>
      <c r="F111" s="3" t="str">
        <f>_xlfn.XLOOKUP(Table1[[#This Row],[RepID]],SalesReps!A:A,SalesReps!E:E)</f>
        <v>Active</v>
      </c>
      <c r="G111">
        <v>319</v>
      </c>
      <c r="H111" t="str">
        <f>_xlfn.XLOOKUP(Table1[[#This Row],[ProductID]],Products!A:A,Products!B:B)</f>
        <v>Toys</v>
      </c>
      <c r="I111" t="str">
        <f>_xlfn.XLOOKUP(Table1[[#This Row],[ProductID]],Products!A:A,Products!C:C)</f>
        <v>Board Games</v>
      </c>
      <c r="J111">
        <v>8</v>
      </c>
      <c r="K111" s="5">
        <f>_xlfn.XLOOKUP(Table1[[#This Row],[ProductID]],Products!A:A,Products!E:E)</f>
        <v>81.069999999999993</v>
      </c>
      <c r="L111" s="5">
        <v>143.30000000000001</v>
      </c>
      <c r="M111" s="6">
        <v>0.16</v>
      </c>
      <c r="N111" t="s">
        <v>10</v>
      </c>
      <c r="O111" s="5">
        <f t="shared" si="5"/>
        <v>120.372</v>
      </c>
      <c r="P111" s="5">
        <f t="shared" si="6"/>
        <v>962.976</v>
      </c>
      <c r="Q111" s="5">
        <f>Table1[[#This Row],[Quantity]]*(Table1[[#This Row],[Saleprice]]-Table1[[#This Row],[Costprice]])</f>
        <v>314.41600000000005</v>
      </c>
      <c r="R111">
        <f t="shared" si="7"/>
        <v>2021</v>
      </c>
      <c r="S111">
        <f t="shared" si="8"/>
        <v>11</v>
      </c>
      <c r="T111" t="str">
        <f t="shared" si="9"/>
        <v>November</v>
      </c>
    </row>
    <row r="112" spans="1:20" x14ac:dyDescent="0.3">
      <c r="A112" s="3">
        <v>44511</v>
      </c>
      <c r="B112">
        <v>108</v>
      </c>
      <c r="C112" s="3">
        <f>_xlfn.XLOOKUP(B112,Stores!A:A,Stores!E:E)</f>
        <v>43961</v>
      </c>
      <c r="D112">
        <v>205</v>
      </c>
      <c r="E112" s="3">
        <f>_xlfn.XLOOKUP(D112,SalesReps!A:A,SalesReps!D:D)</f>
        <v>44473</v>
      </c>
      <c r="F112" s="3" t="str">
        <f>_xlfn.XLOOKUP(Table1[[#This Row],[RepID]],SalesReps!A:A,SalesReps!E:E)</f>
        <v>Active</v>
      </c>
      <c r="G112">
        <v>316</v>
      </c>
      <c r="H112" t="str">
        <f>_xlfn.XLOOKUP(Table1[[#This Row],[ProductID]],Products!A:A,Products!B:B)</f>
        <v>Home &amp; Kitchen</v>
      </c>
      <c r="I112" t="str">
        <f>_xlfn.XLOOKUP(Table1[[#This Row],[ProductID]],Products!A:A,Products!C:C)</f>
        <v>Furniture</v>
      </c>
      <c r="J112">
        <v>3</v>
      </c>
      <c r="K112" s="5">
        <f>_xlfn.XLOOKUP(Table1[[#This Row],[ProductID]],Products!A:A,Products!E:E)</f>
        <v>334.95</v>
      </c>
      <c r="L112" s="5">
        <v>394.42</v>
      </c>
      <c r="M112" s="6">
        <v>0.08</v>
      </c>
      <c r="N112" t="s">
        <v>8</v>
      </c>
      <c r="O112" s="5">
        <f t="shared" si="5"/>
        <v>362.86640000000006</v>
      </c>
      <c r="P112" s="5">
        <f t="shared" si="6"/>
        <v>1088.5992000000001</v>
      </c>
      <c r="Q112" s="5">
        <f>Table1[[#This Row],[Quantity]]*(Table1[[#This Row],[Saleprice]]-Table1[[#This Row],[Costprice]])</f>
        <v>83.749200000000201</v>
      </c>
      <c r="R112">
        <f t="shared" si="7"/>
        <v>2021</v>
      </c>
      <c r="S112">
        <f t="shared" si="8"/>
        <v>11</v>
      </c>
      <c r="T112" t="str">
        <f t="shared" si="9"/>
        <v>November</v>
      </c>
    </row>
    <row r="113" spans="1:20" x14ac:dyDescent="0.3">
      <c r="A113" s="3">
        <v>44512</v>
      </c>
      <c r="B113">
        <v>108</v>
      </c>
      <c r="C113" s="3">
        <f>_xlfn.XLOOKUP(B113,Stores!A:A,Stores!E:E)</f>
        <v>43961</v>
      </c>
      <c r="D113">
        <v>205</v>
      </c>
      <c r="E113" s="3">
        <f>_xlfn.XLOOKUP(D113,SalesReps!A:A,SalesReps!D:D)</f>
        <v>44473</v>
      </c>
      <c r="F113" s="3" t="str">
        <f>_xlfn.XLOOKUP(Table1[[#This Row],[RepID]],SalesReps!A:A,SalesReps!E:E)</f>
        <v>Active</v>
      </c>
      <c r="G113">
        <v>315</v>
      </c>
      <c r="H113" t="str">
        <f>_xlfn.XLOOKUP(Table1[[#This Row],[ProductID]],Products!A:A,Products!B:B)</f>
        <v>Toys</v>
      </c>
      <c r="I113" t="str">
        <f>_xlfn.XLOOKUP(Table1[[#This Row],[ProductID]],Products!A:A,Products!C:C)</f>
        <v>Board Games</v>
      </c>
      <c r="J113">
        <v>7</v>
      </c>
      <c r="K113" s="5">
        <f>_xlfn.XLOOKUP(Table1[[#This Row],[ProductID]],Products!A:A,Products!E:E)</f>
        <v>247.9</v>
      </c>
      <c r="L113" s="5">
        <v>329.56</v>
      </c>
      <c r="M113" s="6">
        <v>0.12</v>
      </c>
      <c r="N113" t="s">
        <v>8</v>
      </c>
      <c r="O113" s="5">
        <f t="shared" si="5"/>
        <v>290.01280000000003</v>
      </c>
      <c r="P113" s="5">
        <f t="shared" si="6"/>
        <v>2030.0896000000002</v>
      </c>
      <c r="Q113" s="5">
        <f>Table1[[#This Row],[Quantity]]*(Table1[[#This Row],[Saleprice]]-Table1[[#This Row],[Costprice]])</f>
        <v>294.78960000000018</v>
      </c>
      <c r="R113">
        <f t="shared" si="7"/>
        <v>2021</v>
      </c>
      <c r="S113">
        <f t="shared" si="8"/>
        <v>11</v>
      </c>
      <c r="T113" t="str">
        <f t="shared" si="9"/>
        <v>November</v>
      </c>
    </row>
    <row r="114" spans="1:20" x14ac:dyDescent="0.3">
      <c r="A114" s="3">
        <v>44513</v>
      </c>
      <c r="B114">
        <v>108</v>
      </c>
      <c r="C114" s="3">
        <f>_xlfn.XLOOKUP(B114,Stores!A:A,Stores!E:E)</f>
        <v>43961</v>
      </c>
      <c r="D114">
        <v>205</v>
      </c>
      <c r="E114" s="3">
        <f>_xlfn.XLOOKUP(D114,SalesReps!A:A,SalesReps!D:D)</f>
        <v>44473</v>
      </c>
      <c r="F114" s="3" t="str">
        <f>_xlfn.XLOOKUP(Table1[[#This Row],[RepID]],SalesReps!A:A,SalesReps!E:E)</f>
        <v>Active</v>
      </c>
      <c r="G114">
        <v>307</v>
      </c>
      <c r="H114" t="str">
        <f>_xlfn.XLOOKUP(Table1[[#This Row],[ProductID]],Products!A:A,Products!B:B)</f>
        <v>Toys</v>
      </c>
      <c r="I114" t="str">
        <f>_xlfn.XLOOKUP(Table1[[#This Row],[ProductID]],Products!A:A,Products!C:C)</f>
        <v>Outdoor</v>
      </c>
      <c r="J114">
        <v>7</v>
      </c>
      <c r="K114" s="5">
        <f>_xlfn.XLOOKUP(Table1[[#This Row],[ProductID]],Products!A:A,Products!E:E)</f>
        <v>15.17</v>
      </c>
      <c r="L114" s="5">
        <v>90.02</v>
      </c>
      <c r="M114" s="6">
        <v>0.09</v>
      </c>
      <c r="N114" t="s">
        <v>8</v>
      </c>
      <c r="O114" s="5">
        <f t="shared" si="5"/>
        <v>81.918199999999999</v>
      </c>
      <c r="P114" s="5">
        <f t="shared" si="6"/>
        <v>573.42740000000003</v>
      </c>
      <c r="Q114" s="5">
        <f>Table1[[#This Row],[Quantity]]*(Table1[[#This Row],[Saleprice]]-Table1[[#This Row],[Costprice]])</f>
        <v>467.23739999999998</v>
      </c>
      <c r="R114">
        <f t="shared" si="7"/>
        <v>2021</v>
      </c>
      <c r="S114">
        <f t="shared" si="8"/>
        <v>11</v>
      </c>
      <c r="T114" t="str">
        <f t="shared" si="9"/>
        <v>November</v>
      </c>
    </row>
    <row r="115" spans="1:20" x14ac:dyDescent="0.3">
      <c r="A115" s="3">
        <v>44514</v>
      </c>
      <c r="B115">
        <v>108</v>
      </c>
      <c r="C115" s="3">
        <f>_xlfn.XLOOKUP(B115,Stores!A:A,Stores!E:E)</f>
        <v>43961</v>
      </c>
      <c r="D115">
        <v>205</v>
      </c>
      <c r="E115" s="3">
        <f>_xlfn.XLOOKUP(D115,SalesReps!A:A,SalesReps!D:D)</f>
        <v>44473</v>
      </c>
      <c r="F115" s="3" t="str">
        <f>_xlfn.XLOOKUP(Table1[[#This Row],[RepID]],SalesReps!A:A,SalesReps!E:E)</f>
        <v>Active</v>
      </c>
      <c r="G115">
        <v>318</v>
      </c>
      <c r="H115" t="str">
        <f>_xlfn.XLOOKUP(Table1[[#This Row],[ProductID]],Products!A:A,Products!B:B)</f>
        <v>Electronics</v>
      </c>
      <c r="I115" t="str">
        <f>_xlfn.XLOOKUP(Table1[[#This Row],[ProductID]],Products!A:A,Products!C:C)</f>
        <v>Mobiles</v>
      </c>
      <c r="J115">
        <v>9</v>
      </c>
      <c r="K115" s="5">
        <f>_xlfn.XLOOKUP(Table1[[#This Row],[ProductID]],Products!A:A,Products!E:E)</f>
        <v>162.51</v>
      </c>
      <c r="L115" s="5">
        <v>203.39</v>
      </c>
      <c r="M115" s="6">
        <v>0.16</v>
      </c>
      <c r="N115" t="s">
        <v>8</v>
      </c>
      <c r="O115" s="5">
        <f t="shared" si="5"/>
        <v>170.84759999999997</v>
      </c>
      <c r="P115" s="5">
        <f t="shared" si="6"/>
        <v>1537.6283999999998</v>
      </c>
      <c r="Q115" s="5">
        <f>Table1[[#This Row],[Quantity]]*(Table1[[#This Row],[Saleprice]]-Table1[[#This Row],[Costprice]])</f>
        <v>75.038399999999825</v>
      </c>
      <c r="R115">
        <f t="shared" si="7"/>
        <v>2021</v>
      </c>
      <c r="S115">
        <f t="shared" si="8"/>
        <v>11</v>
      </c>
      <c r="T115" t="str">
        <f t="shared" si="9"/>
        <v>November</v>
      </c>
    </row>
    <row r="116" spans="1:20" x14ac:dyDescent="0.3">
      <c r="A116" s="3">
        <v>44516</v>
      </c>
      <c r="B116">
        <v>106</v>
      </c>
      <c r="C116" s="3">
        <f>_xlfn.XLOOKUP(B116,Stores!A:A,Stores!E:E)</f>
        <v>43918</v>
      </c>
      <c r="D116">
        <v>210</v>
      </c>
      <c r="E116" s="3">
        <f>_xlfn.XLOOKUP(D116,SalesReps!A:A,SalesReps!D:D)</f>
        <v>44449</v>
      </c>
      <c r="F116" s="3" t="str">
        <f>_xlfn.XLOOKUP(Table1[[#This Row],[RepID]],SalesReps!A:A,SalesReps!E:E)</f>
        <v>Active</v>
      </c>
      <c r="G116">
        <v>311</v>
      </c>
      <c r="H116" t="str">
        <f>_xlfn.XLOOKUP(Table1[[#This Row],[ProductID]],Products!A:A,Products!B:B)</f>
        <v>Home &amp; Kitchen</v>
      </c>
      <c r="I116" t="str">
        <f>_xlfn.XLOOKUP(Table1[[#This Row],[ProductID]],Products!A:A,Products!C:C)</f>
        <v>Furniture</v>
      </c>
      <c r="J116">
        <v>2</v>
      </c>
      <c r="K116" s="5">
        <f>_xlfn.XLOOKUP(Table1[[#This Row],[ProductID]],Products!A:A,Products!E:E)</f>
        <v>16.23</v>
      </c>
      <c r="L116" s="5">
        <v>101.43</v>
      </c>
      <c r="M116" s="6">
        <v>0.24</v>
      </c>
      <c r="N116" t="s">
        <v>10</v>
      </c>
      <c r="O116" s="5">
        <f t="shared" si="5"/>
        <v>77.086800000000011</v>
      </c>
      <c r="P116" s="5">
        <f t="shared" si="6"/>
        <v>154.17360000000002</v>
      </c>
      <c r="Q116" s="5">
        <f>Table1[[#This Row],[Quantity]]*(Table1[[#This Row],[Saleprice]]-Table1[[#This Row],[Costprice]])</f>
        <v>121.71360000000001</v>
      </c>
      <c r="R116">
        <f t="shared" si="7"/>
        <v>2021</v>
      </c>
      <c r="S116">
        <f t="shared" si="8"/>
        <v>11</v>
      </c>
      <c r="T116" t="str">
        <f t="shared" si="9"/>
        <v>November</v>
      </c>
    </row>
    <row r="117" spans="1:20" x14ac:dyDescent="0.3">
      <c r="A117" s="3">
        <v>44516</v>
      </c>
      <c r="B117">
        <v>108</v>
      </c>
      <c r="C117" s="3">
        <f>_xlfn.XLOOKUP(B117,Stores!A:A,Stores!E:E)</f>
        <v>43961</v>
      </c>
      <c r="D117">
        <v>205</v>
      </c>
      <c r="E117" s="3">
        <f>_xlfn.XLOOKUP(D117,SalesReps!A:A,SalesReps!D:D)</f>
        <v>44473</v>
      </c>
      <c r="F117" s="3" t="str">
        <f>_xlfn.XLOOKUP(Table1[[#This Row],[RepID]],SalesReps!A:A,SalesReps!E:E)</f>
        <v>Active</v>
      </c>
      <c r="G117">
        <v>314</v>
      </c>
      <c r="H117" t="str">
        <f>_xlfn.XLOOKUP(Table1[[#This Row],[ProductID]],Products!A:A,Products!B:B)</f>
        <v>Clothing</v>
      </c>
      <c r="I117" t="str">
        <f>_xlfn.XLOOKUP(Table1[[#This Row],[ProductID]],Products!A:A,Products!C:C)</f>
        <v>Kids</v>
      </c>
      <c r="J117">
        <v>1</v>
      </c>
      <c r="K117" s="5">
        <f>_xlfn.XLOOKUP(Table1[[#This Row],[ProductID]],Products!A:A,Products!E:E)</f>
        <v>276.47000000000003</v>
      </c>
      <c r="L117" s="5">
        <v>290.39</v>
      </c>
      <c r="M117" s="6">
        <v>0.09</v>
      </c>
      <c r="N117" t="s">
        <v>8</v>
      </c>
      <c r="O117" s="5">
        <f t="shared" si="5"/>
        <v>264.25490000000002</v>
      </c>
      <c r="P117" s="5">
        <f t="shared" si="6"/>
        <v>264.25490000000002</v>
      </c>
      <c r="Q117" s="5">
        <f>Table1[[#This Row],[Quantity]]*(Table1[[#This Row],[Saleprice]]-Table1[[#This Row],[Costprice]])</f>
        <v>-12.215100000000007</v>
      </c>
      <c r="R117">
        <f t="shared" si="7"/>
        <v>2021</v>
      </c>
      <c r="S117">
        <f t="shared" si="8"/>
        <v>11</v>
      </c>
      <c r="T117" t="str">
        <f t="shared" si="9"/>
        <v>November</v>
      </c>
    </row>
    <row r="118" spans="1:20" x14ac:dyDescent="0.3">
      <c r="A118" s="3">
        <v>44517</v>
      </c>
      <c r="B118">
        <v>106</v>
      </c>
      <c r="C118" s="3">
        <f>_xlfn.XLOOKUP(B118,Stores!A:A,Stores!E:E)</f>
        <v>43918</v>
      </c>
      <c r="D118">
        <v>210</v>
      </c>
      <c r="E118" s="3">
        <f>_xlfn.XLOOKUP(D118,SalesReps!A:A,SalesReps!D:D)</f>
        <v>44449</v>
      </c>
      <c r="F118" s="3" t="str">
        <f>_xlfn.XLOOKUP(Table1[[#This Row],[RepID]],SalesReps!A:A,SalesReps!E:E)</f>
        <v>Active</v>
      </c>
      <c r="G118">
        <v>320</v>
      </c>
      <c r="H118" t="str">
        <f>_xlfn.XLOOKUP(Table1[[#This Row],[ProductID]],Products!A:A,Products!B:B)</f>
        <v>Toys</v>
      </c>
      <c r="I118" t="str">
        <f>_xlfn.XLOOKUP(Table1[[#This Row],[ProductID]],Products!A:A,Products!C:C)</f>
        <v>Outdoor</v>
      </c>
      <c r="J118">
        <v>8</v>
      </c>
      <c r="K118" s="5">
        <f>_xlfn.XLOOKUP(Table1[[#This Row],[ProductID]],Products!A:A,Products!E:E)</f>
        <v>304.58999999999997</v>
      </c>
      <c r="L118" s="5">
        <v>347.27</v>
      </c>
      <c r="M118" s="6">
        <v>0.23</v>
      </c>
      <c r="N118" t="s">
        <v>10</v>
      </c>
      <c r="O118" s="5">
        <f t="shared" si="5"/>
        <v>267.39789999999999</v>
      </c>
      <c r="P118" s="5">
        <f t="shared" si="6"/>
        <v>2139.1831999999999</v>
      </c>
      <c r="Q118" s="5">
        <f>Table1[[#This Row],[Quantity]]*(Table1[[#This Row],[Saleprice]]-Table1[[#This Row],[Costprice]])</f>
        <v>-297.53679999999986</v>
      </c>
      <c r="R118">
        <f t="shared" si="7"/>
        <v>2021</v>
      </c>
      <c r="S118">
        <f t="shared" si="8"/>
        <v>11</v>
      </c>
      <c r="T118" t="str">
        <f t="shared" si="9"/>
        <v>November</v>
      </c>
    </row>
    <row r="119" spans="1:20" x14ac:dyDescent="0.3">
      <c r="A119" s="3">
        <v>44518</v>
      </c>
      <c r="B119">
        <v>106</v>
      </c>
      <c r="C119" s="3">
        <f>_xlfn.XLOOKUP(B119,Stores!A:A,Stores!E:E)</f>
        <v>43918</v>
      </c>
      <c r="D119">
        <v>208</v>
      </c>
      <c r="E119" s="3">
        <f>_xlfn.XLOOKUP(D119,SalesReps!A:A,SalesReps!D:D)</f>
        <v>44510</v>
      </c>
      <c r="F119" s="3" t="str">
        <f>_xlfn.XLOOKUP(Table1[[#This Row],[RepID]],SalesReps!A:A,SalesReps!E:E)</f>
        <v>Active</v>
      </c>
      <c r="G119">
        <v>319</v>
      </c>
      <c r="H119" t="str">
        <f>_xlfn.XLOOKUP(Table1[[#This Row],[ProductID]],Products!A:A,Products!B:B)</f>
        <v>Toys</v>
      </c>
      <c r="I119" t="str">
        <f>_xlfn.XLOOKUP(Table1[[#This Row],[ProductID]],Products!A:A,Products!C:C)</f>
        <v>Board Games</v>
      </c>
      <c r="J119">
        <v>6</v>
      </c>
      <c r="K119" s="5">
        <f>_xlfn.XLOOKUP(Table1[[#This Row],[ProductID]],Products!A:A,Products!E:E)</f>
        <v>81.069999999999993</v>
      </c>
      <c r="L119" s="5">
        <v>143.30000000000001</v>
      </c>
      <c r="M119" s="6">
        <v>0.16</v>
      </c>
      <c r="N119" t="s">
        <v>10</v>
      </c>
      <c r="O119" s="5">
        <f t="shared" si="5"/>
        <v>120.372</v>
      </c>
      <c r="P119" s="5">
        <f t="shared" si="6"/>
        <v>722.23199999999997</v>
      </c>
      <c r="Q119" s="5">
        <f>Table1[[#This Row],[Quantity]]*(Table1[[#This Row],[Saleprice]]-Table1[[#This Row],[Costprice]])</f>
        <v>235.81200000000004</v>
      </c>
      <c r="R119">
        <f t="shared" si="7"/>
        <v>2021</v>
      </c>
      <c r="S119">
        <f t="shared" si="8"/>
        <v>11</v>
      </c>
      <c r="T119" t="str">
        <f t="shared" si="9"/>
        <v>November</v>
      </c>
    </row>
    <row r="120" spans="1:20" x14ac:dyDescent="0.3">
      <c r="A120" s="3">
        <v>44519</v>
      </c>
      <c r="B120">
        <v>108</v>
      </c>
      <c r="C120" s="3">
        <f>_xlfn.XLOOKUP(B120,Stores!A:A,Stores!E:E)</f>
        <v>43961</v>
      </c>
      <c r="D120">
        <v>205</v>
      </c>
      <c r="E120" s="3">
        <f>_xlfn.XLOOKUP(D120,SalesReps!A:A,SalesReps!D:D)</f>
        <v>44473</v>
      </c>
      <c r="F120" s="3" t="str">
        <f>_xlfn.XLOOKUP(Table1[[#This Row],[RepID]],SalesReps!A:A,SalesReps!E:E)</f>
        <v>Active</v>
      </c>
      <c r="G120">
        <v>302</v>
      </c>
      <c r="H120" t="str">
        <f>_xlfn.XLOOKUP(Table1[[#This Row],[ProductID]],Products!A:A,Products!B:B)</f>
        <v>Toys</v>
      </c>
      <c r="I120" t="str">
        <f>_xlfn.XLOOKUP(Table1[[#This Row],[ProductID]],Products!A:A,Products!C:C)</f>
        <v>Outdoor</v>
      </c>
      <c r="J120">
        <v>6</v>
      </c>
      <c r="K120" s="5">
        <f>_xlfn.XLOOKUP(Table1[[#This Row],[ProductID]],Products!A:A,Products!E:E)</f>
        <v>393.46</v>
      </c>
      <c r="L120" s="5">
        <v>479.21</v>
      </c>
      <c r="M120" s="6">
        <v>0.14000000000000001</v>
      </c>
      <c r="N120" t="s">
        <v>8</v>
      </c>
      <c r="O120" s="5">
        <f t="shared" si="5"/>
        <v>412.12059999999997</v>
      </c>
      <c r="P120" s="5">
        <f t="shared" si="6"/>
        <v>2472.7235999999998</v>
      </c>
      <c r="Q120" s="5">
        <f>Table1[[#This Row],[Quantity]]*(Table1[[#This Row],[Saleprice]]-Table1[[#This Row],[Costprice]])</f>
        <v>111.96359999999993</v>
      </c>
      <c r="R120">
        <f t="shared" si="7"/>
        <v>2021</v>
      </c>
      <c r="S120">
        <f t="shared" si="8"/>
        <v>11</v>
      </c>
      <c r="T120" t="str">
        <f t="shared" si="9"/>
        <v>November</v>
      </c>
    </row>
    <row r="121" spans="1:20" x14ac:dyDescent="0.3">
      <c r="A121" s="3">
        <v>44519</v>
      </c>
      <c r="B121">
        <v>108</v>
      </c>
      <c r="C121" s="3">
        <f>_xlfn.XLOOKUP(B121,Stores!A:A,Stores!E:E)</f>
        <v>43961</v>
      </c>
      <c r="D121">
        <v>205</v>
      </c>
      <c r="E121" s="3">
        <f>_xlfn.XLOOKUP(D121,SalesReps!A:A,SalesReps!D:D)</f>
        <v>44473</v>
      </c>
      <c r="F121" s="3" t="str">
        <f>_xlfn.XLOOKUP(Table1[[#This Row],[RepID]],SalesReps!A:A,SalesReps!E:E)</f>
        <v>Active</v>
      </c>
      <c r="G121">
        <v>314</v>
      </c>
      <c r="H121" t="str">
        <f>_xlfn.XLOOKUP(Table1[[#This Row],[ProductID]],Products!A:A,Products!B:B)</f>
        <v>Clothing</v>
      </c>
      <c r="I121" t="str">
        <f>_xlfn.XLOOKUP(Table1[[#This Row],[ProductID]],Products!A:A,Products!C:C)</f>
        <v>Kids</v>
      </c>
      <c r="J121">
        <v>4</v>
      </c>
      <c r="K121" s="5">
        <f>_xlfn.XLOOKUP(Table1[[#This Row],[ProductID]],Products!A:A,Products!E:E)</f>
        <v>276.47000000000003</v>
      </c>
      <c r="L121" s="5">
        <v>290.39</v>
      </c>
      <c r="M121" s="6">
        <v>0.09</v>
      </c>
      <c r="N121" t="s">
        <v>8</v>
      </c>
      <c r="O121" s="5">
        <f t="shared" si="5"/>
        <v>264.25490000000002</v>
      </c>
      <c r="P121" s="5">
        <f t="shared" si="6"/>
        <v>1057.0196000000001</v>
      </c>
      <c r="Q121" s="5">
        <f>Table1[[#This Row],[Quantity]]*(Table1[[#This Row],[Saleprice]]-Table1[[#This Row],[Costprice]])</f>
        <v>-48.860400000000027</v>
      </c>
      <c r="R121">
        <f t="shared" si="7"/>
        <v>2021</v>
      </c>
      <c r="S121">
        <f t="shared" si="8"/>
        <v>11</v>
      </c>
      <c r="T121" t="str">
        <f t="shared" si="9"/>
        <v>November</v>
      </c>
    </row>
    <row r="122" spans="1:20" x14ac:dyDescent="0.3">
      <c r="A122" s="3">
        <v>44521</v>
      </c>
      <c r="B122">
        <v>108</v>
      </c>
      <c r="C122" s="3">
        <f>_xlfn.XLOOKUP(B122,Stores!A:A,Stores!E:E)</f>
        <v>43961</v>
      </c>
      <c r="D122">
        <v>205</v>
      </c>
      <c r="E122" s="3">
        <f>_xlfn.XLOOKUP(D122,SalesReps!A:A,SalesReps!D:D)</f>
        <v>44473</v>
      </c>
      <c r="F122" s="3" t="str">
        <f>_xlfn.XLOOKUP(Table1[[#This Row],[RepID]],SalesReps!A:A,SalesReps!E:E)</f>
        <v>Active</v>
      </c>
      <c r="G122">
        <v>320</v>
      </c>
      <c r="H122" t="str">
        <f>_xlfn.XLOOKUP(Table1[[#This Row],[ProductID]],Products!A:A,Products!B:B)</f>
        <v>Toys</v>
      </c>
      <c r="I122" t="str">
        <f>_xlfn.XLOOKUP(Table1[[#This Row],[ProductID]],Products!A:A,Products!C:C)</f>
        <v>Outdoor</v>
      </c>
      <c r="J122">
        <v>1</v>
      </c>
      <c r="K122" s="5">
        <f>_xlfn.XLOOKUP(Table1[[#This Row],[ProductID]],Products!A:A,Products!E:E)</f>
        <v>304.58999999999997</v>
      </c>
      <c r="L122" s="5">
        <v>331.75</v>
      </c>
      <c r="M122" s="6">
        <v>0.17</v>
      </c>
      <c r="N122" t="s">
        <v>8</v>
      </c>
      <c r="O122" s="5">
        <f t="shared" si="5"/>
        <v>275.35249999999996</v>
      </c>
      <c r="P122" s="5">
        <f t="shared" si="6"/>
        <v>275.35249999999996</v>
      </c>
      <c r="Q122" s="5">
        <f>Table1[[#This Row],[Quantity]]*(Table1[[#This Row],[Saleprice]]-Table1[[#This Row],[Costprice]])</f>
        <v>-29.237500000000011</v>
      </c>
      <c r="R122">
        <f t="shared" si="7"/>
        <v>2021</v>
      </c>
      <c r="S122">
        <f t="shared" si="8"/>
        <v>11</v>
      </c>
      <c r="T122" t="str">
        <f t="shared" si="9"/>
        <v>November</v>
      </c>
    </row>
    <row r="123" spans="1:20" x14ac:dyDescent="0.3">
      <c r="A123" s="3">
        <v>44522</v>
      </c>
      <c r="B123">
        <v>108</v>
      </c>
      <c r="C123" s="3">
        <f>_xlfn.XLOOKUP(B123,Stores!A:A,Stores!E:E)</f>
        <v>43961</v>
      </c>
      <c r="D123">
        <v>205</v>
      </c>
      <c r="E123" s="3">
        <f>_xlfn.XLOOKUP(D123,SalesReps!A:A,SalesReps!D:D)</f>
        <v>44473</v>
      </c>
      <c r="F123" s="3" t="str">
        <f>_xlfn.XLOOKUP(Table1[[#This Row],[RepID]],SalesReps!A:A,SalesReps!E:E)</f>
        <v>Active</v>
      </c>
      <c r="G123">
        <v>314</v>
      </c>
      <c r="H123" t="str">
        <f>_xlfn.XLOOKUP(Table1[[#This Row],[ProductID]],Products!A:A,Products!B:B)</f>
        <v>Clothing</v>
      </c>
      <c r="I123" t="str">
        <f>_xlfn.XLOOKUP(Table1[[#This Row],[ProductID]],Products!A:A,Products!C:C)</f>
        <v>Kids</v>
      </c>
      <c r="J123">
        <v>3</v>
      </c>
      <c r="K123" s="5">
        <f>_xlfn.XLOOKUP(Table1[[#This Row],[ProductID]],Products!A:A,Products!E:E)</f>
        <v>276.47000000000003</v>
      </c>
      <c r="L123" s="5">
        <v>290.39</v>
      </c>
      <c r="M123" s="6">
        <v>0.09</v>
      </c>
      <c r="N123" t="s">
        <v>8</v>
      </c>
      <c r="O123" s="5">
        <f t="shared" si="5"/>
        <v>264.25490000000002</v>
      </c>
      <c r="P123" s="5">
        <f t="shared" si="6"/>
        <v>792.76470000000006</v>
      </c>
      <c r="Q123" s="5">
        <f>Table1[[#This Row],[Quantity]]*(Table1[[#This Row],[Saleprice]]-Table1[[#This Row],[Costprice]])</f>
        <v>-36.64530000000002</v>
      </c>
      <c r="R123">
        <f t="shared" si="7"/>
        <v>2021</v>
      </c>
      <c r="S123">
        <f t="shared" si="8"/>
        <v>11</v>
      </c>
      <c r="T123" t="str">
        <f t="shared" si="9"/>
        <v>November</v>
      </c>
    </row>
    <row r="124" spans="1:20" x14ac:dyDescent="0.3">
      <c r="A124" s="3">
        <v>44522</v>
      </c>
      <c r="B124">
        <v>108</v>
      </c>
      <c r="C124" s="3">
        <f>_xlfn.XLOOKUP(B124,Stores!A:A,Stores!E:E)</f>
        <v>43961</v>
      </c>
      <c r="D124">
        <v>205</v>
      </c>
      <c r="E124" s="3">
        <f>_xlfn.XLOOKUP(D124,SalesReps!A:A,SalesReps!D:D)</f>
        <v>44473</v>
      </c>
      <c r="F124" s="3" t="str">
        <f>_xlfn.XLOOKUP(Table1[[#This Row],[RepID]],SalesReps!A:A,SalesReps!E:E)</f>
        <v>Active</v>
      </c>
      <c r="G124">
        <v>309</v>
      </c>
      <c r="H124" t="str">
        <f>_xlfn.XLOOKUP(Table1[[#This Row],[ProductID]],Products!A:A,Products!B:B)</f>
        <v>Electronics</v>
      </c>
      <c r="I124" t="str">
        <f>_xlfn.XLOOKUP(Table1[[#This Row],[ProductID]],Products!A:A,Products!C:C)</f>
        <v>Laptops</v>
      </c>
      <c r="J124">
        <v>1</v>
      </c>
      <c r="K124" s="5">
        <f>_xlfn.XLOOKUP(Table1[[#This Row],[ProductID]],Products!A:A,Products!E:E)</f>
        <v>229.68</v>
      </c>
      <c r="L124" s="5">
        <v>263.95</v>
      </c>
      <c r="M124" s="6">
        <v>0.16</v>
      </c>
      <c r="N124" t="s">
        <v>8</v>
      </c>
      <c r="O124" s="5">
        <f t="shared" si="5"/>
        <v>221.71799999999999</v>
      </c>
      <c r="P124" s="5">
        <f t="shared" si="6"/>
        <v>221.71799999999999</v>
      </c>
      <c r="Q124" s="5">
        <f>Table1[[#This Row],[Quantity]]*(Table1[[#This Row],[Saleprice]]-Table1[[#This Row],[Costprice]])</f>
        <v>-7.9620000000000175</v>
      </c>
      <c r="R124">
        <f t="shared" si="7"/>
        <v>2021</v>
      </c>
      <c r="S124">
        <f t="shared" si="8"/>
        <v>11</v>
      </c>
      <c r="T124" t="str">
        <f t="shared" si="9"/>
        <v>November</v>
      </c>
    </row>
    <row r="125" spans="1:20" x14ac:dyDescent="0.3">
      <c r="A125" s="3">
        <v>44524</v>
      </c>
      <c r="B125">
        <v>108</v>
      </c>
      <c r="C125" s="3">
        <f>_xlfn.XLOOKUP(B125,Stores!A:A,Stores!E:E)</f>
        <v>43961</v>
      </c>
      <c r="D125">
        <v>205</v>
      </c>
      <c r="E125" s="3">
        <f>_xlfn.XLOOKUP(D125,SalesReps!A:A,SalesReps!D:D)</f>
        <v>44473</v>
      </c>
      <c r="F125" s="3" t="str">
        <f>_xlfn.XLOOKUP(Table1[[#This Row],[RepID]],SalesReps!A:A,SalesReps!E:E)</f>
        <v>Active</v>
      </c>
      <c r="G125">
        <v>314</v>
      </c>
      <c r="H125" t="str">
        <f>_xlfn.XLOOKUP(Table1[[#This Row],[ProductID]],Products!A:A,Products!B:B)</f>
        <v>Clothing</v>
      </c>
      <c r="I125" t="str">
        <f>_xlfn.XLOOKUP(Table1[[#This Row],[ProductID]],Products!A:A,Products!C:C)</f>
        <v>Kids</v>
      </c>
      <c r="J125">
        <v>2</v>
      </c>
      <c r="K125" s="5">
        <f>_xlfn.XLOOKUP(Table1[[#This Row],[ProductID]],Products!A:A,Products!E:E)</f>
        <v>276.47000000000003</v>
      </c>
      <c r="L125" s="5">
        <v>290.39</v>
      </c>
      <c r="M125" s="6">
        <v>0.09</v>
      </c>
      <c r="N125" t="s">
        <v>8</v>
      </c>
      <c r="O125" s="5">
        <f t="shared" si="5"/>
        <v>264.25490000000002</v>
      </c>
      <c r="P125" s="5">
        <f t="shared" si="6"/>
        <v>528.50980000000004</v>
      </c>
      <c r="Q125" s="5">
        <f>Table1[[#This Row],[Quantity]]*(Table1[[#This Row],[Saleprice]]-Table1[[#This Row],[Costprice]])</f>
        <v>-24.430200000000013</v>
      </c>
      <c r="R125">
        <f t="shared" si="7"/>
        <v>2021</v>
      </c>
      <c r="S125">
        <f t="shared" si="8"/>
        <v>11</v>
      </c>
      <c r="T125" t="str">
        <f t="shared" si="9"/>
        <v>November</v>
      </c>
    </row>
    <row r="126" spans="1:20" x14ac:dyDescent="0.3">
      <c r="A126" s="3">
        <v>44525</v>
      </c>
      <c r="B126">
        <v>106</v>
      </c>
      <c r="C126" s="3">
        <f>_xlfn.XLOOKUP(B126,Stores!A:A,Stores!E:E)</f>
        <v>43918</v>
      </c>
      <c r="D126">
        <v>210</v>
      </c>
      <c r="E126" s="3">
        <f>_xlfn.XLOOKUP(D126,SalesReps!A:A,SalesReps!D:D)</f>
        <v>44449</v>
      </c>
      <c r="F126" s="3" t="str">
        <f>_xlfn.XLOOKUP(Table1[[#This Row],[RepID]],SalesReps!A:A,SalesReps!E:E)</f>
        <v>Active</v>
      </c>
      <c r="G126">
        <v>306</v>
      </c>
      <c r="H126" t="str">
        <f>_xlfn.XLOOKUP(Table1[[#This Row],[ProductID]],Products!A:A,Products!B:B)</f>
        <v>Clothing</v>
      </c>
      <c r="I126" t="str">
        <f>_xlfn.XLOOKUP(Table1[[#This Row],[ProductID]],Products!A:A,Products!C:C)</f>
        <v>Men</v>
      </c>
      <c r="J126">
        <v>6</v>
      </c>
      <c r="K126" s="5">
        <f>_xlfn.XLOOKUP(Table1[[#This Row],[ProductID]],Products!A:A,Products!E:E)</f>
        <v>185.69</v>
      </c>
      <c r="L126" s="5">
        <v>198.37</v>
      </c>
      <c r="M126" s="6">
        <v>0.12</v>
      </c>
      <c r="N126" t="s">
        <v>10</v>
      </c>
      <c r="O126" s="5">
        <f t="shared" si="5"/>
        <v>174.56560000000002</v>
      </c>
      <c r="P126" s="5">
        <f t="shared" si="6"/>
        <v>1047.3936000000001</v>
      </c>
      <c r="Q126" s="5">
        <f>Table1[[#This Row],[Quantity]]*(Table1[[#This Row],[Saleprice]]-Table1[[#This Row],[Costprice]])</f>
        <v>-66.74639999999988</v>
      </c>
      <c r="R126">
        <f t="shared" si="7"/>
        <v>2021</v>
      </c>
      <c r="S126">
        <f t="shared" si="8"/>
        <v>11</v>
      </c>
      <c r="T126" t="str">
        <f t="shared" si="9"/>
        <v>November</v>
      </c>
    </row>
    <row r="127" spans="1:20" x14ac:dyDescent="0.3">
      <c r="A127" s="3">
        <v>44525</v>
      </c>
      <c r="B127">
        <v>108</v>
      </c>
      <c r="C127" s="3">
        <f>_xlfn.XLOOKUP(B127,Stores!A:A,Stores!E:E)</f>
        <v>43961</v>
      </c>
      <c r="D127">
        <v>205</v>
      </c>
      <c r="E127" s="3">
        <f>_xlfn.XLOOKUP(D127,SalesReps!A:A,SalesReps!D:D)</f>
        <v>44473</v>
      </c>
      <c r="F127" s="3" t="str">
        <f>_xlfn.XLOOKUP(Table1[[#This Row],[RepID]],SalesReps!A:A,SalesReps!E:E)</f>
        <v>Active</v>
      </c>
      <c r="G127">
        <v>307</v>
      </c>
      <c r="H127" t="str">
        <f>_xlfn.XLOOKUP(Table1[[#This Row],[ProductID]],Products!A:A,Products!B:B)</f>
        <v>Toys</v>
      </c>
      <c r="I127" t="str">
        <f>_xlfn.XLOOKUP(Table1[[#This Row],[ProductID]],Products!A:A,Products!C:C)</f>
        <v>Outdoor</v>
      </c>
      <c r="J127">
        <v>4</v>
      </c>
      <c r="K127" s="5">
        <f>_xlfn.XLOOKUP(Table1[[#This Row],[ProductID]],Products!A:A,Products!E:E)</f>
        <v>15.17</v>
      </c>
      <c r="L127" s="5">
        <v>90.02</v>
      </c>
      <c r="M127" s="6">
        <v>0.09</v>
      </c>
      <c r="N127" t="s">
        <v>8</v>
      </c>
      <c r="O127" s="5">
        <f t="shared" si="5"/>
        <v>81.918199999999999</v>
      </c>
      <c r="P127" s="5">
        <f t="shared" si="6"/>
        <v>327.6728</v>
      </c>
      <c r="Q127" s="5">
        <f>Table1[[#This Row],[Quantity]]*(Table1[[#This Row],[Saleprice]]-Table1[[#This Row],[Costprice]])</f>
        <v>266.99279999999999</v>
      </c>
      <c r="R127">
        <f t="shared" si="7"/>
        <v>2021</v>
      </c>
      <c r="S127">
        <f t="shared" si="8"/>
        <v>11</v>
      </c>
      <c r="T127" t="str">
        <f t="shared" si="9"/>
        <v>November</v>
      </c>
    </row>
    <row r="128" spans="1:20" x14ac:dyDescent="0.3">
      <c r="A128" s="3">
        <v>44525</v>
      </c>
      <c r="B128">
        <v>106</v>
      </c>
      <c r="C128" s="3">
        <f>_xlfn.XLOOKUP(B128,Stores!A:A,Stores!E:E)</f>
        <v>43918</v>
      </c>
      <c r="D128">
        <v>208</v>
      </c>
      <c r="E128" s="3">
        <f>_xlfn.XLOOKUP(D128,SalesReps!A:A,SalesReps!D:D)</f>
        <v>44510</v>
      </c>
      <c r="F128" s="3" t="str">
        <f>_xlfn.XLOOKUP(Table1[[#This Row],[RepID]],SalesReps!A:A,SalesReps!E:E)</f>
        <v>Active</v>
      </c>
      <c r="G128">
        <v>309</v>
      </c>
      <c r="H128" t="str">
        <f>_xlfn.XLOOKUP(Table1[[#This Row],[ProductID]],Products!A:A,Products!B:B)</f>
        <v>Electronics</v>
      </c>
      <c r="I128" t="str">
        <f>_xlfn.XLOOKUP(Table1[[#This Row],[ProductID]],Products!A:A,Products!C:C)</f>
        <v>Laptops</v>
      </c>
      <c r="J128">
        <v>6</v>
      </c>
      <c r="K128" s="5">
        <f>_xlfn.XLOOKUP(Table1[[#This Row],[ProductID]],Products!A:A,Products!E:E)</f>
        <v>229.68</v>
      </c>
      <c r="L128" s="5">
        <v>251.67</v>
      </c>
      <c r="M128" s="6">
        <v>0.12</v>
      </c>
      <c r="N128" t="s">
        <v>10</v>
      </c>
      <c r="O128" s="5">
        <f t="shared" si="5"/>
        <v>221.46959999999999</v>
      </c>
      <c r="P128" s="5">
        <f t="shared" si="6"/>
        <v>1328.8175999999999</v>
      </c>
      <c r="Q128" s="5">
        <f>Table1[[#This Row],[Quantity]]*(Table1[[#This Row],[Saleprice]]-Table1[[#This Row],[Costprice]])</f>
        <v>-49.262400000000127</v>
      </c>
      <c r="R128">
        <f t="shared" si="7"/>
        <v>2021</v>
      </c>
      <c r="S128">
        <f t="shared" si="8"/>
        <v>11</v>
      </c>
      <c r="T128" t="str">
        <f t="shared" si="9"/>
        <v>November</v>
      </c>
    </row>
    <row r="129" spans="1:20" x14ac:dyDescent="0.3">
      <c r="A129" s="3">
        <v>44526</v>
      </c>
      <c r="B129">
        <v>108</v>
      </c>
      <c r="C129" s="3">
        <f>_xlfn.XLOOKUP(B129,Stores!A:A,Stores!E:E)</f>
        <v>43961</v>
      </c>
      <c r="D129">
        <v>205</v>
      </c>
      <c r="E129" s="3">
        <f>_xlfn.XLOOKUP(D129,SalesReps!A:A,SalesReps!D:D)</f>
        <v>44473</v>
      </c>
      <c r="F129" s="3" t="str">
        <f>_xlfn.XLOOKUP(Table1[[#This Row],[RepID]],SalesReps!A:A,SalesReps!E:E)</f>
        <v>Active</v>
      </c>
      <c r="G129">
        <v>320</v>
      </c>
      <c r="H129" t="str">
        <f>_xlfn.XLOOKUP(Table1[[#This Row],[ProductID]],Products!A:A,Products!B:B)</f>
        <v>Toys</v>
      </c>
      <c r="I129" t="str">
        <f>_xlfn.XLOOKUP(Table1[[#This Row],[ProductID]],Products!A:A,Products!C:C)</f>
        <v>Outdoor</v>
      </c>
      <c r="J129">
        <v>5</v>
      </c>
      <c r="K129" s="5">
        <f>_xlfn.XLOOKUP(Table1[[#This Row],[ProductID]],Products!A:A,Products!E:E)</f>
        <v>304.58999999999997</v>
      </c>
      <c r="L129" s="5">
        <v>331.75</v>
      </c>
      <c r="M129" s="6">
        <v>0.17</v>
      </c>
      <c r="N129" t="s">
        <v>8</v>
      </c>
      <c r="O129" s="5">
        <f t="shared" si="5"/>
        <v>275.35249999999996</v>
      </c>
      <c r="P129" s="5">
        <f t="shared" si="6"/>
        <v>1376.7624999999998</v>
      </c>
      <c r="Q129" s="5">
        <f>Table1[[#This Row],[Quantity]]*(Table1[[#This Row],[Saleprice]]-Table1[[#This Row],[Costprice]])</f>
        <v>-146.18750000000006</v>
      </c>
      <c r="R129">
        <f t="shared" si="7"/>
        <v>2021</v>
      </c>
      <c r="S129">
        <f t="shared" si="8"/>
        <v>11</v>
      </c>
      <c r="T129" t="str">
        <f t="shared" si="9"/>
        <v>November</v>
      </c>
    </row>
    <row r="130" spans="1:20" x14ac:dyDescent="0.3">
      <c r="A130" s="3">
        <v>44526</v>
      </c>
      <c r="B130">
        <v>108</v>
      </c>
      <c r="C130" s="3">
        <f>_xlfn.XLOOKUP(B130,Stores!A:A,Stores!E:E)</f>
        <v>43961</v>
      </c>
      <c r="D130">
        <v>205</v>
      </c>
      <c r="E130" s="3">
        <f>_xlfn.XLOOKUP(D130,SalesReps!A:A,SalesReps!D:D)</f>
        <v>44473</v>
      </c>
      <c r="F130" s="3" t="str">
        <f>_xlfn.XLOOKUP(Table1[[#This Row],[RepID]],SalesReps!A:A,SalesReps!E:E)</f>
        <v>Active</v>
      </c>
      <c r="G130">
        <v>303</v>
      </c>
      <c r="H130" t="str">
        <f>_xlfn.XLOOKUP(Table1[[#This Row],[ProductID]],Products!A:A,Products!B:B)</f>
        <v>Home &amp; Kitchen</v>
      </c>
      <c r="I130" t="str">
        <f>_xlfn.XLOOKUP(Table1[[#This Row],[ProductID]],Products!A:A,Products!C:C)</f>
        <v>Furniture</v>
      </c>
      <c r="J130">
        <v>2</v>
      </c>
      <c r="K130" s="5">
        <f>_xlfn.XLOOKUP(Table1[[#This Row],[ProductID]],Products!A:A,Products!E:E)</f>
        <v>192.04</v>
      </c>
      <c r="L130" s="5">
        <v>282.14</v>
      </c>
      <c r="M130" s="6">
        <v>0.15</v>
      </c>
      <c r="N130" t="s">
        <v>8</v>
      </c>
      <c r="O130" s="5">
        <f t="shared" ref="O130:O193" si="10">L130*(1-M130)</f>
        <v>239.81899999999999</v>
      </c>
      <c r="P130" s="5">
        <f t="shared" ref="P130:P193" si="11">O130*J130</f>
        <v>479.63799999999998</v>
      </c>
      <c r="Q130" s="5">
        <f>Table1[[#This Row],[Quantity]]*(Table1[[#This Row],[Saleprice]]-Table1[[#This Row],[Costprice]])</f>
        <v>95.557999999999993</v>
      </c>
      <c r="R130">
        <f t="shared" ref="R130:R193" si="12">YEAR(A130)</f>
        <v>2021</v>
      </c>
      <c r="S130">
        <f t="shared" ref="S130:S193" si="13">MONTH(A130)</f>
        <v>11</v>
      </c>
      <c r="T130" t="str">
        <f t="shared" ref="T130:T193" si="14">TEXT(A130,"MMMM")</f>
        <v>November</v>
      </c>
    </row>
    <row r="131" spans="1:20" x14ac:dyDescent="0.3">
      <c r="A131" s="3">
        <v>44526</v>
      </c>
      <c r="B131">
        <v>108</v>
      </c>
      <c r="C131" s="3">
        <f>_xlfn.XLOOKUP(B131,Stores!A:A,Stores!E:E)</f>
        <v>43961</v>
      </c>
      <c r="D131">
        <v>205</v>
      </c>
      <c r="E131" s="3">
        <f>_xlfn.XLOOKUP(D131,SalesReps!A:A,SalesReps!D:D)</f>
        <v>44473</v>
      </c>
      <c r="F131" s="3" t="str">
        <f>_xlfn.XLOOKUP(Table1[[#This Row],[RepID]],SalesReps!A:A,SalesReps!E:E)</f>
        <v>Active</v>
      </c>
      <c r="G131">
        <v>309</v>
      </c>
      <c r="H131" t="str">
        <f>_xlfn.XLOOKUP(Table1[[#This Row],[ProductID]],Products!A:A,Products!B:B)</f>
        <v>Electronics</v>
      </c>
      <c r="I131" t="str">
        <f>_xlfn.XLOOKUP(Table1[[#This Row],[ProductID]],Products!A:A,Products!C:C)</f>
        <v>Laptops</v>
      </c>
      <c r="J131">
        <v>5</v>
      </c>
      <c r="K131" s="5">
        <f>_xlfn.XLOOKUP(Table1[[#This Row],[ProductID]],Products!A:A,Products!E:E)</f>
        <v>229.68</v>
      </c>
      <c r="L131" s="5">
        <v>263.95</v>
      </c>
      <c r="M131" s="6">
        <v>0.16</v>
      </c>
      <c r="N131" t="s">
        <v>8</v>
      </c>
      <c r="O131" s="5">
        <f t="shared" si="10"/>
        <v>221.71799999999999</v>
      </c>
      <c r="P131" s="5">
        <f t="shared" si="11"/>
        <v>1108.5899999999999</v>
      </c>
      <c r="Q131" s="5">
        <f>Table1[[#This Row],[Quantity]]*(Table1[[#This Row],[Saleprice]]-Table1[[#This Row],[Costprice]])</f>
        <v>-39.810000000000088</v>
      </c>
      <c r="R131">
        <f t="shared" si="12"/>
        <v>2021</v>
      </c>
      <c r="S131">
        <f t="shared" si="13"/>
        <v>11</v>
      </c>
      <c r="T131" t="str">
        <f t="shared" si="14"/>
        <v>November</v>
      </c>
    </row>
    <row r="132" spans="1:20" x14ac:dyDescent="0.3">
      <c r="A132" s="3">
        <v>44526</v>
      </c>
      <c r="B132">
        <v>108</v>
      </c>
      <c r="C132" s="3">
        <f>_xlfn.XLOOKUP(B132,Stores!A:A,Stores!E:E)</f>
        <v>43961</v>
      </c>
      <c r="D132">
        <v>205</v>
      </c>
      <c r="E132" s="3">
        <f>_xlfn.XLOOKUP(D132,SalesReps!A:A,SalesReps!D:D)</f>
        <v>44473</v>
      </c>
      <c r="F132" s="3" t="str">
        <f>_xlfn.XLOOKUP(Table1[[#This Row],[RepID]],SalesReps!A:A,SalesReps!E:E)</f>
        <v>Active</v>
      </c>
      <c r="G132">
        <v>317</v>
      </c>
      <c r="H132" t="str">
        <f>_xlfn.XLOOKUP(Table1[[#This Row],[ProductID]],Products!A:A,Products!B:B)</f>
        <v>Toys</v>
      </c>
      <c r="I132" t="str">
        <f>_xlfn.XLOOKUP(Table1[[#This Row],[ProductID]],Products!A:A,Products!C:C)</f>
        <v>Educational</v>
      </c>
      <c r="J132">
        <v>4</v>
      </c>
      <c r="K132" s="5">
        <f>_xlfn.XLOOKUP(Table1[[#This Row],[ProductID]],Products!A:A,Products!E:E)</f>
        <v>77.61</v>
      </c>
      <c r="L132" s="5">
        <v>148.43</v>
      </c>
      <c r="M132" s="6">
        <v>0.12</v>
      </c>
      <c r="N132" t="s">
        <v>8</v>
      </c>
      <c r="O132" s="5">
        <f t="shared" si="10"/>
        <v>130.61840000000001</v>
      </c>
      <c r="P132" s="5">
        <f t="shared" si="11"/>
        <v>522.47360000000003</v>
      </c>
      <c r="Q132" s="5">
        <f>Table1[[#This Row],[Quantity]]*(Table1[[#This Row],[Saleprice]]-Table1[[#This Row],[Costprice]])</f>
        <v>212.03360000000004</v>
      </c>
      <c r="R132">
        <f t="shared" si="12"/>
        <v>2021</v>
      </c>
      <c r="S132">
        <f t="shared" si="13"/>
        <v>11</v>
      </c>
      <c r="T132" t="str">
        <f t="shared" si="14"/>
        <v>November</v>
      </c>
    </row>
    <row r="133" spans="1:20" x14ac:dyDescent="0.3">
      <c r="A133" s="3">
        <v>44527</v>
      </c>
      <c r="B133">
        <v>106</v>
      </c>
      <c r="C133" s="3">
        <f>_xlfn.XLOOKUP(B133,Stores!A:A,Stores!E:E)</f>
        <v>43918</v>
      </c>
      <c r="D133">
        <v>208</v>
      </c>
      <c r="E133" s="3">
        <f>_xlfn.XLOOKUP(D133,SalesReps!A:A,SalesReps!D:D)</f>
        <v>44510</v>
      </c>
      <c r="F133" s="3" t="str">
        <f>_xlfn.XLOOKUP(Table1[[#This Row],[RepID]],SalesReps!A:A,SalesReps!E:E)</f>
        <v>Active</v>
      </c>
      <c r="G133">
        <v>301</v>
      </c>
      <c r="H133" t="str">
        <f>_xlfn.XLOOKUP(Table1[[#This Row],[ProductID]],Products!A:A,Products!B:B)</f>
        <v>Electronics</v>
      </c>
      <c r="I133" t="str">
        <f>_xlfn.XLOOKUP(Table1[[#This Row],[ProductID]],Products!A:A,Products!C:C)</f>
        <v>Mobiles</v>
      </c>
      <c r="J133">
        <v>9</v>
      </c>
      <c r="K133" s="5">
        <f>_xlfn.XLOOKUP(Table1[[#This Row],[ProductID]],Products!A:A,Products!E:E)</f>
        <v>159.16</v>
      </c>
      <c r="L133" s="5">
        <v>218.35</v>
      </c>
      <c r="M133" s="6">
        <v>0.15</v>
      </c>
      <c r="N133" t="s">
        <v>10</v>
      </c>
      <c r="O133" s="5">
        <f t="shared" si="10"/>
        <v>185.5975</v>
      </c>
      <c r="P133" s="5">
        <f t="shared" si="11"/>
        <v>1670.3775000000001</v>
      </c>
      <c r="Q133" s="5">
        <f>Table1[[#This Row],[Quantity]]*(Table1[[#This Row],[Saleprice]]-Table1[[#This Row],[Costprice]])</f>
        <v>237.9375</v>
      </c>
      <c r="R133">
        <f t="shared" si="12"/>
        <v>2021</v>
      </c>
      <c r="S133">
        <f t="shared" si="13"/>
        <v>11</v>
      </c>
      <c r="T133" t="str">
        <f t="shared" si="14"/>
        <v>November</v>
      </c>
    </row>
    <row r="134" spans="1:20" x14ac:dyDescent="0.3">
      <c r="A134" s="3">
        <v>44527</v>
      </c>
      <c r="B134">
        <v>108</v>
      </c>
      <c r="C134" s="3">
        <f>_xlfn.XLOOKUP(B134,Stores!A:A,Stores!E:E)</f>
        <v>43961</v>
      </c>
      <c r="D134">
        <v>205</v>
      </c>
      <c r="E134" s="3">
        <f>_xlfn.XLOOKUP(D134,SalesReps!A:A,SalesReps!D:D)</f>
        <v>44473</v>
      </c>
      <c r="F134" s="3" t="str">
        <f>_xlfn.XLOOKUP(Table1[[#This Row],[RepID]],SalesReps!A:A,SalesReps!E:E)</f>
        <v>Active</v>
      </c>
      <c r="G134">
        <v>301</v>
      </c>
      <c r="H134" t="str">
        <f>_xlfn.XLOOKUP(Table1[[#This Row],[ProductID]],Products!A:A,Products!B:B)</f>
        <v>Electronics</v>
      </c>
      <c r="I134" t="str">
        <f>_xlfn.XLOOKUP(Table1[[#This Row],[ProductID]],Products!A:A,Products!C:C)</f>
        <v>Mobiles</v>
      </c>
      <c r="J134">
        <v>5</v>
      </c>
      <c r="K134" s="5">
        <f>_xlfn.XLOOKUP(Table1[[#This Row],[ProductID]],Products!A:A,Products!E:E)</f>
        <v>159.16</v>
      </c>
      <c r="L134" s="5">
        <v>235.16</v>
      </c>
      <c r="M134" s="6">
        <v>0.16</v>
      </c>
      <c r="N134" t="s">
        <v>8</v>
      </c>
      <c r="O134" s="5">
        <f t="shared" si="10"/>
        <v>197.53439999999998</v>
      </c>
      <c r="P134" s="5">
        <f t="shared" si="11"/>
        <v>987.67199999999991</v>
      </c>
      <c r="Q134" s="5">
        <f>Table1[[#This Row],[Quantity]]*(Table1[[#This Row],[Saleprice]]-Table1[[#This Row],[Costprice]])</f>
        <v>191.8719999999999</v>
      </c>
      <c r="R134">
        <f t="shared" si="12"/>
        <v>2021</v>
      </c>
      <c r="S134">
        <f t="shared" si="13"/>
        <v>11</v>
      </c>
      <c r="T134" t="str">
        <f t="shared" si="14"/>
        <v>November</v>
      </c>
    </row>
    <row r="135" spans="1:20" x14ac:dyDescent="0.3">
      <c r="A135" s="3">
        <v>44528</v>
      </c>
      <c r="B135">
        <v>108</v>
      </c>
      <c r="C135" s="3">
        <f>_xlfn.XLOOKUP(B135,Stores!A:A,Stores!E:E)</f>
        <v>43961</v>
      </c>
      <c r="D135">
        <v>205</v>
      </c>
      <c r="E135" s="3">
        <f>_xlfn.XLOOKUP(D135,SalesReps!A:A,SalesReps!D:D)</f>
        <v>44473</v>
      </c>
      <c r="F135" s="3" t="str">
        <f>_xlfn.XLOOKUP(Table1[[#This Row],[RepID]],SalesReps!A:A,SalesReps!E:E)</f>
        <v>Active</v>
      </c>
      <c r="G135">
        <v>311</v>
      </c>
      <c r="H135" t="str">
        <f>_xlfn.XLOOKUP(Table1[[#This Row],[ProductID]],Products!A:A,Products!B:B)</f>
        <v>Home &amp; Kitchen</v>
      </c>
      <c r="I135" t="str">
        <f>_xlfn.XLOOKUP(Table1[[#This Row],[ProductID]],Products!A:A,Products!C:C)</f>
        <v>Furniture</v>
      </c>
      <c r="J135">
        <v>8</v>
      </c>
      <c r="K135" s="5">
        <f>_xlfn.XLOOKUP(Table1[[#This Row],[ProductID]],Products!A:A,Products!E:E)</f>
        <v>16.23</v>
      </c>
      <c r="L135" s="5">
        <v>84.99</v>
      </c>
      <c r="M135" s="6">
        <v>0.12</v>
      </c>
      <c r="N135" t="s">
        <v>8</v>
      </c>
      <c r="O135" s="5">
        <f t="shared" si="10"/>
        <v>74.791199999999989</v>
      </c>
      <c r="P135" s="5">
        <f t="shared" si="11"/>
        <v>598.32959999999991</v>
      </c>
      <c r="Q135" s="5">
        <f>Table1[[#This Row],[Quantity]]*(Table1[[#This Row],[Saleprice]]-Table1[[#This Row],[Costprice]])</f>
        <v>468.48959999999988</v>
      </c>
      <c r="R135">
        <f t="shared" si="12"/>
        <v>2021</v>
      </c>
      <c r="S135">
        <f t="shared" si="13"/>
        <v>11</v>
      </c>
      <c r="T135" t="str">
        <f t="shared" si="14"/>
        <v>November</v>
      </c>
    </row>
    <row r="136" spans="1:20" x14ac:dyDescent="0.3">
      <c r="A136" s="3">
        <v>44529</v>
      </c>
      <c r="B136">
        <v>108</v>
      </c>
      <c r="C136" s="3">
        <f>_xlfn.XLOOKUP(B136,Stores!A:A,Stores!E:E)</f>
        <v>43961</v>
      </c>
      <c r="D136">
        <v>205</v>
      </c>
      <c r="E136" s="3">
        <f>_xlfn.XLOOKUP(D136,SalesReps!A:A,SalesReps!D:D)</f>
        <v>44473</v>
      </c>
      <c r="F136" s="3" t="str">
        <f>_xlfn.XLOOKUP(Table1[[#This Row],[RepID]],SalesReps!A:A,SalesReps!E:E)</f>
        <v>Active</v>
      </c>
      <c r="G136">
        <v>316</v>
      </c>
      <c r="H136" t="str">
        <f>_xlfn.XLOOKUP(Table1[[#This Row],[ProductID]],Products!A:A,Products!B:B)</f>
        <v>Home &amp; Kitchen</v>
      </c>
      <c r="I136" t="str">
        <f>_xlfn.XLOOKUP(Table1[[#This Row],[ProductID]],Products!A:A,Products!C:C)</f>
        <v>Furniture</v>
      </c>
      <c r="J136">
        <v>5</v>
      </c>
      <c r="K136" s="5">
        <f>_xlfn.XLOOKUP(Table1[[#This Row],[ProductID]],Products!A:A,Products!E:E)</f>
        <v>334.95</v>
      </c>
      <c r="L136" s="5">
        <v>394.42</v>
      </c>
      <c r="M136" s="6">
        <v>0.08</v>
      </c>
      <c r="N136" t="s">
        <v>8</v>
      </c>
      <c r="O136" s="5">
        <f t="shared" si="10"/>
        <v>362.86640000000006</v>
      </c>
      <c r="P136" s="5">
        <f t="shared" si="11"/>
        <v>1814.3320000000003</v>
      </c>
      <c r="Q136" s="5">
        <f>Table1[[#This Row],[Quantity]]*(Table1[[#This Row],[Saleprice]]-Table1[[#This Row],[Costprice]])</f>
        <v>139.58200000000033</v>
      </c>
      <c r="R136">
        <f t="shared" si="12"/>
        <v>2021</v>
      </c>
      <c r="S136">
        <f t="shared" si="13"/>
        <v>11</v>
      </c>
      <c r="T136" t="str">
        <f t="shared" si="14"/>
        <v>November</v>
      </c>
    </row>
    <row r="137" spans="1:20" x14ac:dyDescent="0.3">
      <c r="A137" s="3">
        <v>44529</v>
      </c>
      <c r="B137">
        <v>108</v>
      </c>
      <c r="C137" s="3">
        <f>_xlfn.XLOOKUP(B137,Stores!A:A,Stores!E:E)</f>
        <v>43961</v>
      </c>
      <c r="D137">
        <v>205</v>
      </c>
      <c r="E137" s="3">
        <f>_xlfn.XLOOKUP(D137,SalesReps!A:A,SalesReps!D:D)</f>
        <v>44473</v>
      </c>
      <c r="F137" s="3" t="str">
        <f>_xlfn.XLOOKUP(Table1[[#This Row],[RepID]],SalesReps!A:A,SalesReps!E:E)</f>
        <v>Active</v>
      </c>
      <c r="G137">
        <v>310</v>
      </c>
      <c r="H137" t="str">
        <f>_xlfn.XLOOKUP(Table1[[#This Row],[ProductID]],Products!A:A,Products!B:B)</f>
        <v>Home &amp; Kitchen</v>
      </c>
      <c r="I137" t="str">
        <f>_xlfn.XLOOKUP(Table1[[#This Row],[ProductID]],Products!A:A,Products!C:C)</f>
        <v>Furniture</v>
      </c>
      <c r="J137">
        <v>5</v>
      </c>
      <c r="K137" s="5">
        <f>_xlfn.XLOOKUP(Table1[[#This Row],[ProductID]],Products!A:A,Products!E:E)</f>
        <v>160.31</v>
      </c>
      <c r="L137" s="5">
        <v>209.95</v>
      </c>
      <c r="M137" s="6">
        <v>0.11</v>
      </c>
      <c r="N137" t="s">
        <v>8</v>
      </c>
      <c r="O137" s="5">
        <f t="shared" si="10"/>
        <v>186.85550000000001</v>
      </c>
      <c r="P137" s="5">
        <f t="shared" si="11"/>
        <v>934.27750000000003</v>
      </c>
      <c r="Q137" s="5">
        <f>Table1[[#This Row],[Quantity]]*(Table1[[#This Row],[Saleprice]]-Table1[[#This Row],[Costprice]])</f>
        <v>132.72750000000002</v>
      </c>
      <c r="R137">
        <f t="shared" si="12"/>
        <v>2021</v>
      </c>
      <c r="S137">
        <f t="shared" si="13"/>
        <v>11</v>
      </c>
      <c r="T137" t="str">
        <f t="shared" si="14"/>
        <v>November</v>
      </c>
    </row>
    <row r="138" spans="1:20" x14ac:dyDescent="0.3">
      <c r="A138" s="3">
        <v>44529</v>
      </c>
      <c r="B138">
        <v>108</v>
      </c>
      <c r="C138" s="3">
        <f>_xlfn.XLOOKUP(B138,Stores!A:A,Stores!E:E)</f>
        <v>43961</v>
      </c>
      <c r="D138">
        <v>205</v>
      </c>
      <c r="E138" s="3">
        <f>_xlfn.XLOOKUP(D138,SalesReps!A:A,SalesReps!D:D)</f>
        <v>44473</v>
      </c>
      <c r="F138" s="3" t="str">
        <f>_xlfn.XLOOKUP(Table1[[#This Row],[RepID]],SalesReps!A:A,SalesReps!E:E)</f>
        <v>Active</v>
      </c>
      <c r="G138">
        <v>303</v>
      </c>
      <c r="H138" t="str">
        <f>_xlfn.XLOOKUP(Table1[[#This Row],[ProductID]],Products!A:A,Products!B:B)</f>
        <v>Home &amp; Kitchen</v>
      </c>
      <c r="I138" t="str">
        <f>_xlfn.XLOOKUP(Table1[[#This Row],[ProductID]],Products!A:A,Products!C:C)</f>
        <v>Furniture</v>
      </c>
      <c r="J138">
        <v>8</v>
      </c>
      <c r="K138" s="5">
        <f>_xlfn.XLOOKUP(Table1[[#This Row],[ProductID]],Products!A:A,Products!E:E)</f>
        <v>192.04</v>
      </c>
      <c r="L138" s="5">
        <v>282.14</v>
      </c>
      <c r="M138" s="6">
        <v>0.15</v>
      </c>
      <c r="N138" t="s">
        <v>8</v>
      </c>
      <c r="O138" s="5">
        <f t="shared" si="10"/>
        <v>239.81899999999999</v>
      </c>
      <c r="P138" s="5">
        <f t="shared" si="11"/>
        <v>1918.5519999999999</v>
      </c>
      <c r="Q138" s="5">
        <f>Table1[[#This Row],[Quantity]]*(Table1[[#This Row],[Saleprice]]-Table1[[#This Row],[Costprice]])</f>
        <v>382.23199999999997</v>
      </c>
      <c r="R138">
        <f t="shared" si="12"/>
        <v>2021</v>
      </c>
      <c r="S138">
        <f t="shared" si="13"/>
        <v>11</v>
      </c>
      <c r="T138" t="str">
        <f t="shared" si="14"/>
        <v>November</v>
      </c>
    </row>
    <row r="139" spans="1:20" x14ac:dyDescent="0.3">
      <c r="A139" s="3">
        <v>44531</v>
      </c>
      <c r="B139">
        <v>108</v>
      </c>
      <c r="C139" s="3">
        <f>_xlfn.XLOOKUP(B139,Stores!A:A,Stores!E:E)</f>
        <v>43961</v>
      </c>
      <c r="D139">
        <v>205</v>
      </c>
      <c r="E139" s="3">
        <f>_xlfn.XLOOKUP(D139,SalesReps!A:A,SalesReps!D:D)</f>
        <v>44473</v>
      </c>
      <c r="F139" s="3" t="str">
        <f>_xlfn.XLOOKUP(Table1[[#This Row],[RepID]],SalesReps!A:A,SalesReps!E:E)</f>
        <v>Active</v>
      </c>
      <c r="G139">
        <v>308</v>
      </c>
      <c r="H139" t="str">
        <f>_xlfn.XLOOKUP(Table1[[#This Row],[ProductID]],Products!A:A,Products!B:B)</f>
        <v>Home &amp; Kitchen</v>
      </c>
      <c r="I139" t="str">
        <f>_xlfn.XLOOKUP(Table1[[#This Row],[ProductID]],Products!A:A,Products!C:C)</f>
        <v>Furniture</v>
      </c>
      <c r="J139">
        <v>7</v>
      </c>
      <c r="K139" s="5">
        <f>_xlfn.XLOOKUP(Table1[[#This Row],[ProductID]],Products!A:A,Products!E:E)</f>
        <v>377.46</v>
      </c>
      <c r="L139" s="5">
        <v>463.3</v>
      </c>
      <c r="M139" s="6">
        <v>0.24</v>
      </c>
      <c r="N139" t="s">
        <v>8</v>
      </c>
      <c r="O139" s="5">
        <f t="shared" si="10"/>
        <v>352.108</v>
      </c>
      <c r="P139" s="5">
        <f t="shared" si="11"/>
        <v>2464.7559999999999</v>
      </c>
      <c r="Q139" s="5">
        <f>Table1[[#This Row],[Quantity]]*(Table1[[#This Row],[Saleprice]]-Table1[[#This Row],[Costprice]])</f>
        <v>-177.46399999999983</v>
      </c>
      <c r="R139">
        <f t="shared" si="12"/>
        <v>2021</v>
      </c>
      <c r="S139">
        <f t="shared" si="13"/>
        <v>12</v>
      </c>
      <c r="T139" t="str">
        <f t="shared" si="14"/>
        <v>December</v>
      </c>
    </row>
    <row r="140" spans="1:20" x14ac:dyDescent="0.3">
      <c r="A140" s="3">
        <v>44532</v>
      </c>
      <c r="B140">
        <v>106</v>
      </c>
      <c r="C140" s="3">
        <f>_xlfn.XLOOKUP(B140,Stores!A:A,Stores!E:E)</f>
        <v>43918</v>
      </c>
      <c r="D140">
        <v>208</v>
      </c>
      <c r="E140" s="3">
        <f>_xlfn.XLOOKUP(D140,SalesReps!A:A,SalesReps!D:D)</f>
        <v>44510</v>
      </c>
      <c r="F140" s="3" t="str">
        <f>_xlfn.XLOOKUP(Table1[[#This Row],[RepID]],SalesReps!A:A,SalesReps!E:E)</f>
        <v>Active</v>
      </c>
      <c r="G140">
        <v>304</v>
      </c>
      <c r="H140" t="str">
        <f>_xlfn.XLOOKUP(Table1[[#This Row],[ProductID]],Products!A:A,Products!B:B)</f>
        <v>Home &amp; Kitchen</v>
      </c>
      <c r="I140" t="str">
        <f>_xlfn.XLOOKUP(Table1[[#This Row],[ProductID]],Products!A:A,Products!C:C)</f>
        <v>Furniture</v>
      </c>
      <c r="J140">
        <v>1</v>
      </c>
      <c r="K140" s="5">
        <f>_xlfn.XLOOKUP(Table1[[#This Row],[ProductID]],Products!A:A,Products!E:E)</f>
        <v>345.38</v>
      </c>
      <c r="L140" s="5">
        <v>371.13</v>
      </c>
      <c r="M140" s="6">
        <v>0.13</v>
      </c>
      <c r="N140" t="s">
        <v>10</v>
      </c>
      <c r="O140" s="5">
        <f t="shared" si="10"/>
        <v>322.88310000000001</v>
      </c>
      <c r="P140" s="5">
        <f t="shared" si="11"/>
        <v>322.88310000000001</v>
      </c>
      <c r="Q140" s="5">
        <f>Table1[[#This Row],[Quantity]]*(Table1[[#This Row],[Saleprice]]-Table1[[#This Row],[Costprice]])</f>
        <v>-22.496899999999982</v>
      </c>
      <c r="R140">
        <f t="shared" si="12"/>
        <v>2021</v>
      </c>
      <c r="S140">
        <f t="shared" si="13"/>
        <v>12</v>
      </c>
      <c r="T140" t="str">
        <f t="shared" si="14"/>
        <v>December</v>
      </c>
    </row>
    <row r="141" spans="1:20" x14ac:dyDescent="0.3">
      <c r="A141" s="3">
        <v>44534</v>
      </c>
      <c r="B141">
        <v>108</v>
      </c>
      <c r="C141" s="3">
        <f>_xlfn.XLOOKUP(B141,Stores!A:A,Stores!E:E)</f>
        <v>43961</v>
      </c>
      <c r="D141">
        <v>205</v>
      </c>
      <c r="E141" s="3">
        <f>_xlfn.XLOOKUP(D141,SalesReps!A:A,SalesReps!D:D)</f>
        <v>44473</v>
      </c>
      <c r="F141" s="3" t="str">
        <f>_xlfn.XLOOKUP(Table1[[#This Row],[RepID]],SalesReps!A:A,SalesReps!E:E)</f>
        <v>Active</v>
      </c>
      <c r="G141">
        <v>317</v>
      </c>
      <c r="H141" t="str">
        <f>_xlfn.XLOOKUP(Table1[[#This Row],[ProductID]],Products!A:A,Products!B:B)</f>
        <v>Toys</v>
      </c>
      <c r="I141" t="str">
        <f>_xlfn.XLOOKUP(Table1[[#This Row],[ProductID]],Products!A:A,Products!C:C)</f>
        <v>Educational</v>
      </c>
      <c r="J141">
        <v>3</v>
      </c>
      <c r="K141" s="5">
        <f>_xlfn.XLOOKUP(Table1[[#This Row],[ProductID]],Products!A:A,Products!E:E)</f>
        <v>77.61</v>
      </c>
      <c r="L141" s="5">
        <v>148.43</v>
      </c>
      <c r="M141" s="6">
        <v>0.12</v>
      </c>
      <c r="N141" t="s">
        <v>8</v>
      </c>
      <c r="O141" s="5">
        <f t="shared" si="10"/>
        <v>130.61840000000001</v>
      </c>
      <c r="P141" s="5">
        <f t="shared" si="11"/>
        <v>391.85520000000002</v>
      </c>
      <c r="Q141" s="5">
        <f>Table1[[#This Row],[Quantity]]*(Table1[[#This Row],[Saleprice]]-Table1[[#This Row],[Costprice]])</f>
        <v>159.02520000000004</v>
      </c>
      <c r="R141">
        <f t="shared" si="12"/>
        <v>2021</v>
      </c>
      <c r="S141">
        <f t="shared" si="13"/>
        <v>12</v>
      </c>
      <c r="T141" t="str">
        <f t="shared" si="14"/>
        <v>December</v>
      </c>
    </row>
    <row r="142" spans="1:20" x14ac:dyDescent="0.3">
      <c r="A142" s="3">
        <v>44535</v>
      </c>
      <c r="B142">
        <v>106</v>
      </c>
      <c r="C142" s="3">
        <f>_xlfn.XLOOKUP(B142,Stores!A:A,Stores!E:E)</f>
        <v>43918</v>
      </c>
      <c r="D142">
        <v>208</v>
      </c>
      <c r="E142" s="3">
        <f>_xlfn.XLOOKUP(D142,SalesReps!A:A,SalesReps!D:D)</f>
        <v>44510</v>
      </c>
      <c r="F142" s="3" t="str">
        <f>_xlfn.XLOOKUP(Table1[[#This Row],[RepID]],SalesReps!A:A,SalesReps!E:E)</f>
        <v>Active</v>
      </c>
      <c r="G142">
        <v>310</v>
      </c>
      <c r="H142" t="str">
        <f>_xlfn.XLOOKUP(Table1[[#This Row],[ProductID]],Products!A:A,Products!B:B)</f>
        <v>Home &amp; Kitchen</v>
      </c>
      <c r="I142" t="str">
        <f>_xlfn.XLOOKUP(Table1[[#This Row],[ProductID]],Products!A:A,Products!C:C)</f>
        <v>Furniture</v>
      </c>
      <c r="J142">
        <v>3</v>
      </c>
      <c r="K142" s="5">
        <f>_xlfn.XLOOKUP(Table1[[#This Row],[ProductID]],Products!A:A,Products!E:E)</f>
        <v>160.31</v>
      </c>
      <c r="L142" s="5">
        <v>219.65</v>
      </c>
      <c r="M142" s="6">
        <v>0.2</v>
      </c>
      <c r="N142" t="s">
        <v>10</v>
      </c>
      <c r="O142" s="5">
        <f t="shared" si="10"/>
        <v>175.72000000000003</v>
      </c>
      <c r="P142" s="5">
        <f t="shared" si="11"/>
        <v>527.16000000000008</v>
      </c>
      <c r="Q142" s="5">
        <f>Table1[[#This Row],[Quantity]]*(Table1[[#This Row],[Saleprice]]-Table1[[#This Row],[Costprice]])</f>
        <v>46.230000000000075</v>
      </c>
      <c r="R142">
        <f t="shared" si="12"/>
        <v>2021</v>
      </c>
      <c r="S142">
        <f t="shared" si="13"/>
        <v>12</v>
      </c>
      <c r="T142" t="str">
        <f t="shared" si="14"/>
        <v>December</v>
      </c>
    </row>
    <row r="143" spans="1:20" x14ac:dyDescent="0.3">
      <c r="A143" s="3">
        <v>44536</v>
      </c>
      <c r="B143">
        <v>108</v>
      </c>
      <c r="C143" s="3">
        <f>_xlfn.XLOOKUP(B143,Stores!A:A,Stores!E:E)</f>
        <v>43961</v>
      </c>
      <c r="D143">
        <v>205</v>
      </c>
      <c r="E143" s="3">
        <f>_xlfn.XLOOKUP(D143,SalesReps!A:A,SalesReps!D:D)</f>
        <v>44473</v>
      </c>
      <c r="F143" s="3" t="str">
        <f>_xlfn.XLOOKUP(Table1[[#This Row],[RepID]],SalesReps!A:A,SalesReps!E:E)</f>
        <v>Active</v>
      </c>
      <c r="G143">
        <v>303</v>
      </c>
      <c r="H143" t="str">
        <f>_xlfn.XLOOKUP(Table1[[#This Row],[ProductID]],Products!A:A,Products!B:B)</f>
        <v>Home &amp; Kitchen</v>
      </c>
      <c r="I143" t="str">
        <f>_xlfn.XLOOKUP(Table1[[#This Row],[ProductID]],Products!A:A,Products!C:C)</f>
        <v>Furniture</v>
      </c>
      <c r="J143">
        <v>9</v>
      </c>
      <c r="K143" s="5">
        <f>_xlfn.XLOOKUP(Table1[[#This Row],[ProductID]],Products!A:A,Products!E:E)</f>
        <v>192.04</v>
      </c>
      <c r="L143" s="5">
        <v>282.14</v>
      </c>
      <c r="M143" s="6">
        <v>0.15</v>
      </c>
      <c r="N143" t="s">
        <v>8</v>
      </c>
      <c r="O143" s="5">
        <f t="shared" si="10"/>
        <v>239.81899999999999</v>
      </c>
      <c r="P143" s="5">
        <f t="shared" si="11"/>
        <v>2158.3710000000001</v>
      </c>
      <c r="Q143" s="5">
        <f>Table1[[#This Row],[Quantity]]*(Table1[[#This Row],[Saleprice]]-Table1[[#This Row],[Costprice]])</f>
        <v>430.01099999999997</v>
      </c>
      <c r="R143">
        <f t="shared" si="12"/>
        <v>2021</v>
      </c>
      <c r="S143">
        <f t="shared" si="13"/>
        <v>12</v>
      </c>
      <c r="T143" t="str">
        <f t="shared" si="14"/>
        <v>December</v>
      </c>
    </row>
    <row r="144" spans="1:20" x14ac:dyDescent="0.3">
      <c r="A144" s="3">
        <v>44537</v>
      </c>
      <c r="B144">
        <v>108</v>
      </c>
      <c r="C144" s="3">
        <f>_xlfn.XLOOKUP(B144,Stores!A:A,Stores!E:E)</f>
        <v>43961</v>
      </c>
      <c r="D144">
        <v>205</v>
      </c>
      <c r="E144" s="3">
        <f>_xlfn.XLOOKUP(D144,SalesReps!A:A,SalesReps!D:D)</f>
        <v>44473</v>
      </c>
      <c r="F144" s="3" t="str">
        <f>_xlfn.XLOOKUP(Table1[[#This Row],[RepID]],SalesReps!A:A,SalesReps!E:E)</f>
        <v>Active</v>
      </c>
      <c r="G144">
        <v>314</v>
      </c>
      <c r="H144" t="str">
        <f>_xlfn.XLOOKUP(Table1[[#This Row],[ProductID]],Products!A:A,Products!B:B)</f>
        <v>Clothing</v>
      </c>
      <c r="I144" t="str">
        <f>_xlfn.XLOOKUP(Table1[[#This Row],[ProductID]],Products!A:A,Products!C:C)</f>
        <v>Kids</v>
      </c>
      <c r="J144">
        <v>8</v>
      </c>
      <c r="K144" s="5">
        <f>_xlfn.XLOOKUP(Table1[[#This Row],[ProductID]],Products!A:A,Products!E:E)</f>
        <v>276.47000000000003</v>
      </c>
      <c r="L144" s="5">
        <v>290.39</v>
      </c>
      <c r="M144" s="6">
        <v>0.09</v>
      </c>
      <c r="N144" t="s">
        <v>8</v>
      </c>
      <c r="O144" s="5">
        <f t="shared" si="10"/>
        <v>264.25490000000002</v>
      </c>
      <c r="P144" s="5">
        <f t="shared" si="11"/>
        <v>2114.0392000000002</v>
      </c>
      <c r="Q144" s="5">
        <f>Table1[[#This Row],[Quantity]]*(Table1[[#This Row],[Saleprice]]-Table1[[#This Row],[Costprice]])</f>
        <v>-97.720800000000054</v>
      </c>
      <c r="R144">
        <f t="shared" si="12"/>
        <v>2021</v>
      </c>
      <c r="S144">
        <f t="shared" si="13"/>
        <v>12</v>
      </c>
      <c r="T144" t="str">
        <f t="shared" si="14"/>
        <v>December</v>
      </c>
    </row>
    <row r="145" spans="1:20" x14ac:dyDescent="0.3">
      <c r="A145" s="3">
        <v>44538</v>
      </c>
      <c r="B145">
        <v>106</v>
      </c>
      <c r="C145" s="3">
        <f>_xlfn.XLOOKUP(B145,Stores!A:A,Stores!E:E)</f>
        <v>43918</v>
      </c>
      <c r="D145">
        <v>210</v>
      </c>
      <c r="E145" s="3">
        <f>_xlfn.XLOOKUP(D145,SalesReps!A:A,SalesReps!D:D)</f>
        <v>44449</v>
      </c>
      <c r="F145" s="3" t="str">
        <f>_xlfn.XLOOKUP(Table1[[#This Row],[RepID]],SalesReps!A:A,SalesReps!E:E)</f>
        <v>Active</v>
      </c>
      <c r="G145">
        <v>310</v>
      </c>
      <c r="H145" t="str">
        <f>_xlfn.XLOOKUP(Table1[[#This Row],[ProductID]],Products!A:A,Products!B:B)</f>
        <v>Home &amp; Kitchen</v>
      </c>
      <c r="I145" t="str">
        <f>_xlfn.XLOOKUP(Table1[[#This Row],[ProductID]],Products!A:A,Products!C:C)</f>
        <v>Furniture</v>
      </c>
      <c r="J145">
        <v>9</v>
      </c>
      <c r="K145" s="5">
        <f>_xlfn.XLOOKUP(Table1[[#This Row],[ProductID]],Products!A:A,Products!E:E)</f>
        <v>160.31</v>
      </c>
      <c r="L145" s="5">
        <v>219.65</v>
      </c>
      <c r="M145" s="6">
        <v>0.2</v>
      </c>
      <c r="N145" t="s">
        <v>10</v>
      </c>
      <c r="O145" s="5">
        <f t="shared" si="10"/>
        <v>175.72000000000003</v>
      </c>
      <c r="P145" s="5">
        <f t="shared" si="11"/>
        <v>1581.4800000000002</v>
      </c>
      <c r="Q145" s="5">
        <f>Table1[[#This Row],[Quantity]]*(Table1[[#This Row],[Saleprice]]-Table1[[#This Row],[Costprice]])</f>
        <v>138.69000000000023</v>
      </c>
      <c r="R145">
        <f t="shared" si="12"/>
        <v>2021</v>
      </c>
      <c r="S145">
        <f t="shared" si="13"/>
        <v>12</v>
      </c>
      <c r="T145" t="str">
        <f t="shared" si="14"/>
        <v>December</v>
      </c>
    </row>
    <row r="146" spans="1:20" x14ac:dyDescent="0.3">
      <c r="A146" s="3">
        <v>44538</v>
      </c>
      <c r="B146">
        <v>108</v>
      </c>
      <c r="C146" s="3">
        <f>_xlfn.XLOOKUP(B146,Stores!A:A,Stores!E:E)</f>
        <v>43961</v>
      </c>
      <c r="D146">
        <v>205</v>
      </c>
      <c r="E146" s="3">
        <f>_xlfn.XLOOKUP(D146,SalesReps!A:A,SalesReps!D:D)</f>
        <v>44473</v>
      </c>
      <c r="F146" s="3" t="str">
        <f>_xlfn.XLOOKUP(Table1[[#This Row],[RepID]],SalesReps!A:A,SalesReps!E:E)</f>
        <v>Active</v>
      </c>
      <c r="G146">
        <v>312</v>
      </c>
      <c r="H146" t="str">
        <f>_xlfn.XLOOKUP(Table1[[#This Row],[ProductID]],Products!A:A,Products!B:B)</f>
        <v>Toys</v>
      </c>
      <c r="I146" t="str">
        <f>_xlfn.XLOOKUP(Table1[[#This Row],[ProductID]],Products!A:A,Products!C:C)</f>
        <v>Board Games</v>
      </c>
      <c r="J146">
        <v>9</v>
      </c>
      <c r="K146" s="5">
        <f>_xlfn.XLOOKUP(Table1[[#This Row],[ProductID]],Products!A:A,Products!E:E)</f>
        <v>100.05</v>
      </c>
      <c r="L146" s="5">
        <v>189.28</v>
      </c>
      <c r="M146" s="6">
        <v>0.06</v>
      </c>
      <c r="N146" t="s">
        <v>8</v>
      </c>
      <c r="O146" s="5">
        <f t="shared" si="10"/>
        <v>177.92319999999998</v>
      </c>
      <c r="P146" s="5">
        <f t="shared" si="11"/>
        <v>1601.3087999999998</v>
      </c>
      <c r="Q146" s="5">
        <f>Table1[[#This Row],[Quantity]]*(Table1[[#This Row],[Saleprice]]-Table1[[#This Row],[Costprice]])</f>
        <v>700.85879999999986</v>
      </c>
      <c r="R146">
        <f t="shared" si="12"/>
        <v>2021</v>
      </c>
      <c r="S146">
        <f t="shared" si="13"/>
        <v>12</v>
      </c>
      <c r="T146" t="str">
        <f t="shared" si="14"/>
        <v>December</v>
      </c>
    </row>
    <row r="147" spans="1:20" x14ac:dyDescent="0.3">
      <c r="A147" s="3">
        <v>44538</v>
      </c>
      <c r="B147">
        <v>106</v>
      </c>
      <c r="C147" s="3">
        <f>_xlfn.XLOOKUP(B147,Stores!A:A,Stores!E:E)</f>
        <v>43918</v>
      </c>
      <c r="D147">
        <v>208</v>
      </c>
      <c r="E147" s="3">
        <f>_xlfn.XLOOKUP(D147,SalesReps!A:A,SalesReps!D:D)</f>
        <v>44510</v>
      </c>
      <c r="F147" s="3" t="str">
        <f>_xlfn.XLOOKUP(Table1[[#This Row],[RepID]],SalesReps!A:A,SalesReps!E:E)</f>
        <v>Active</v>
      </c>
      <c r="G147">
        <v>308</v>
      </c>
      <c r="H147" t="str">
        <f>_xlfn.XLOOKUP(Table1[[#This Row],[ProductID]],Products!A:A,Products!B:B)</f>
        <v>Home &amp; Kitchen</v>
      </c>
      <c r="I147" t="str">
        <f>_xlfn.XLOOKUP(Table1[[#This Row],[ProductID]],Products!A:A,Products!C:C)</f>
        <v>Furniture</v>
      </c>
      <c r="J147">
        <v>7</v>
      </c>
      <c r="K147" s="5">
        <f>_xlfn.XLOOKUP(Table1[[#This Row],[ProductID]],Products!A:A,Products!E:E)</f>
        <v>377.46</v>
      </c>
      <c r="L147" s="5">
        <v>462.89</v>
      </c>
      <c r="M147" s="6">
        <v>0.22</v>
      </c>
      <c r="N147" t="s">
        <v>10</v>
      </c>
      <c r="O147" s="5">
        <f t="shared" si="10"/>
        <v>361.05419999999998</v>
      </c>
      <c r="P147" s="5">
        <f t="shared" si="11"/>
        <v>2527.3793999999998</v>
      </c>
      <c r="Q147" s="5">
        <f>Table1[[#This Row],[Quantity]]*(Table1[[#This Row],[Saleprice]]-Table1[[#This Row],[Costprice]])</f>
        <v>-114.84059999999999</v>
      </c>
      <c r="R147">
        <f t="shared" si="12"/>
        <v>2021</v>
      </c>
      <c r="S147">
        <f t="shared" si="13"/>
        <v>12</v>
      </c>
      <c r="T147" t="str">
        <f t="shared" si="14"/>
        <v>December</v>
      </c>
    </row>
    <row r="148" spans="1:20" x14ac:dyDescent="0.3">
      <c r="A148" s="3">
        <v>44538</v>
      </c>
      <c r="B148">
        <v>106</v>
      </c>
      <c r="C148" s="3">
        <f>_xlfn.XLOOKUP(B148,Stores!A:A,Stores!E:E)</f>
        <v>43918</v>
      </c>
      <c r="D148">
        <v>208</v>
      </c>
      <c r="E148" s="3">
        <f>_xlfn.XLOOKUP(D148,SalesReps!A:A,SalesReps!D:D)</f>
        <v>44510</v>
      </c>
      <c r="F148" s="3" t="str">
        <f>_xlfn.XLOOKUP(Table1[[#This Row],[RepID]],SalesReps!A:A,SalesReps!E:E)</f>
        <v>Active</v>
      </c>
      <c r="G148">
        <v>311</v>
      </c>
      <c r="H148" t="str">
        <f>_xlfn.XLOOKUP(Table1[[#This Row],[ProductID]],Products!A:A,Products!B:B)</f>
        <v>Home &amp; Kitchen</v>
      </c>
      <c r="I148" t="str">
        <f>_xlfn.XLOOKUP(Table1[[#This Row],[ProductID]],Products!A:A,Products!C:C)</f>
        <v>Furniture</v>
      </c>
      <c r="J148">
        <v>9</v>
      </c>
      <c r="K148" s="5">
        <f>_xlfn.XLOOKUP(Table1[[#This Row],[ProductID]],Products!A:A,Products!E:E)</f>
        <v>16.23</v>
      </c>
      <c r="L148" s="5">
        <v>101.43</v>
      </c>
      <c r="M148" s="6">
        <v>0.24</v>
      </c>
      <c r="N148" t="s">
        <v>10</v>
      </c>
      <c r="O148" s="5">
        <f t="shared" si="10"/>
        <v>77.086800000000011</v>
      </c>
      <c r="P148" s="5">
        <f t="shared" si="11"/>
        <v>693.78120000000013</v>
      </c>
      <c r="Q148" s="5">
        <f>Table1[[#This Row],[Quantity]]*(Table1[[#This Row],[Saleprice]]-Table1[[#This Row],[Costprice]])</f>
        <v>547.71120000000008</v>
      </c>
      <c r="R148">
        <f t="shared" si="12"/>
        <v>2021</v>
      </c>
      <c r="S148">
        <f t="shared" si="13"/>
        <v>12</v>
      </c>
      <c r="T148" t="str">
        <f t="shared" si="14"/>
        <v>December</v>
      </c>
    </row>
    <row r="149" spans="1:20" x14ac:dyDescent="0.3">
      <c r="A149" s="3">
        <v>44539</v>
      </c>
      <c r="B149">
        <v>108</v>
      </c>
      <c r="C149" s="3">
        <f>_xlfn.XLOOKUP(B149,Stores!A:A,Stores!E:E)</f>
        <v>43961</v>
      </c>
      <c r="D149">
        <v>205</v>
      </c>
      <c r="E149" s="3">
        <f>_xlfn.XLOOKUP(D149,SalesReps!A:A,SalesReps!D:D)</f>
        <v>44473</v>
      </c>
      <c r="F149" s="3" t="str">
        <f>_xlfn.XLOOKUP(Table1[[#This Row],[RepID]],SalesReps!A:A,SalesReps!E:E)</f>
        <v>Active</v>
      </c>
      <c r="G149">
        <v>315</v>
      </c>
      <c r="H149" t="str">
        <f>_xlfn.XLOOKUP(Table1[[#This Row],[ProductID]],Products!A:A,Products!B:B)</f>
        <v>Toys</v>
      </c>
      <c r="I149" t="str">
        <f>_xlfn.XLOOKUP(Table1[[#This Row],[ProductID]],Products!A:A,Products!C:C)</f>
        <v>Board Games</v>
      </c>
      <c r="J149">
        <v>2</v>
      </c>
      <c r="K149" s="5">
        <f>_xlfn.XLOOKUP(Table1[[#This Row],[ProductID]],Products!A:A,Products!E:E)</f>
        <v>247.9</v>
      </c>
      <c r="L149" s="5">
        <v>329.56</v>
      </c>
      <c r="M149" s="6">
        <v>0.12</v>
      </c>
      <c r="N149" t="s">
        <v>8</v>
      </c>
      <c r="O149" s="5">
        <f t="shared" si="10"/>
        <v>290.01280000000003</v>
      </c>
      <c r="P149" s="5">
        <f t="shared" si="11"/>
        <v>580.02560000000005</v>
      </c>
      <c r="Q149" s="5">
        <f>Table1[[#This Row],[Quantity]]*(Table1[[#This Row],[Saleprice]]-Table1[[#This Row],[Costprice]])</f>
        <v>84.225600000000043</v>
      </c>
      <c r="R149">
        <f t="shared" si="12"/>
        <v>2021</v>
      </c>
      <c r="S149">
        <f t="shared" si="13"/>
        <v>12</v>
      </c>
      <c r="T149" t="str">
        <f t="shared" si="14"/>
        <v>December</v>
      </c>
    </row>
    <row r="150" spans="1:20" x14ac:dyDescent="0.3">
      <c r="A150" s="3">
        <v>44539</v>
      </c>
      <c r="B150">
        <v>108</v>
      </c>
      <c r="C150" s="3">
        <f>_xlfn.XLOOKUP(B150,Stores!A:A,Stores!E:E)</f>
        <v>43961</v>
      </c>
      <c r="D150">
        <v>205</v>
      </c>
      <c r="E150" s="3">
        <f>_xlfn.XLOOKUP(D150,SalesReps!A:A,SalesReps!D:D)</f>
        <v>44473</v>
      </c>
      <c r="F150" s="3" t="str">
        <f>_xlfn.XLOOKUP(Table1[[#This Row],[RepID]],SalesReps!A:A,SalesReps!E:E)</f>
        <v>Active</v>
      </c>
      <c r="G150">
        <v>314</v>
      </c>
      <c r="H150" t="str">
        <f>_xlfn.XLOOKUP(Table1[[#This Row],[ProductID]],Products!A:A,Products!B:B)</f>
        <v>Clothing</v>
      </c>
      <c r="I150" t="str">
        <f>_xlfn.XLOOKUP(Table1[[#This Row],[ProductID]],Products!A:A,Products!C:C)</f>
        <v>Kids</v>
      </c>
      <c r="J150">
        <v>1</v>
      </c>
      <c r="K150" s="5">
        <f>_xlfn.XLOOKUP(Table1[[#This Row],[ProductID]],Products!A:A,Products!E:E)</f>
        <v>276.47000000000003</v>
      </c>
      <c r="L150" s="5">
        <v>290.39</v>
      </c>
      <c r="M150" s="6">
        <v>0.09</v>
      </c>
      <c r="N150" t="s">
        <v>8</v>
      </c>
      <c r="O150" s="5">
        <f t="shared" si="10"/>
        <v>264.25490000000002</v>
      </c>
      <c r="P150" s="5">
        <f t="shared" si="11"/>
        <v>264.25490000000002</v>
      </c>
      <c r="Q150" s="5">
        <f>Table1[[#This Row],[Quantity]]*(Table1[[#This Row],[Saleprice]]-Table1[[#This Row],[Costprice]])</f>
        <v>-12.215100000000007</v>
      </c>
      <c r="R150">
        <f t="shared" si="12"/>
        <v>2021</v>
      </c>
      <c r="S150">
        <f t="shared" si="13"/>
        <v>12</v>
      </c>
      <c r="T150" t="str">
        <f t="shared" si="14"/>
        <v>December</v>
      </c>
    </row>
    <row r="151" spans="1:20" x14ac:dyDescent="0.3">
      <c r="A151" s="3">
        <v>44540</v>
      </c>
      <c r="B151">
        <v>108</v>
      </c>
      <c r="C151" s="3">
        <f>_xlfn.XLOOKUP(B151,Stores!A:A,Stores!E:E)</f>
        <v>43961</v>
      </c>
      <c r="D151">
        <v>205</v>
      </c>
      <c r="E151" s="3">
        <f>_xlfn.XLOOKUP(D151,SalesReps!A:A,SalesReps!D:D)</f>
        <v>44473</v>
      </c>
      <c r="F151" s="3" t="str">
        <f>_xlfn.XLOOKUP(Table1[[#This Row],[RepID]],SalesReps!A:A,SalesReps!E:E)</f>
        <v>Active</v>
      </c>
      <c r="G151">
        <v>317</v>
      </c>
      <c r="H151" t="str">
        <f>_xlfn.XLOOKUP(Table1[[#This Row],[ProductID]],Products!A:A,Products!B:B)</f>
        <v>Toys</v>
      </c>
      <c r="I151" t="str">
        <f>_xlfn.XLOOKUP(Table1[[#This Row],[ProductID]],Products!A:A,Products!C:C)</f>
        <v>Educational</v>
      </c>
      <c r="J151">
        <v>3</v>
      </c>
      <c r="K151" s="5">
        <f>_xlfn.XLOOKUP(Table1[[#This Row],[ProductID]],Products!A:A,Products!E:E)</f>
        <v>77.61</v>
      </c>
      <c r="L151" s="5">
        <v>148.43</v>
      </c>
      <c r="M151" s="6">
        <v>0.12</v>
      </c>
      <c r="N151" t="s">
        <v>8</v>
      </c>
      <c r="O151" s="5">
        <f t="shared" si="10"/>
        <v>130.61840000000001</v>
      </c>
      <c r="P151" s="5">
        <f t="shared" si="11"/>
        <v>391.85520000000002</v>
      </c>
      <c r="Q151" s="5">
        <f>Table1[[#This Row],[Quantity]]*(Table1[[#This Row],[Saleprice]]-Table1[[#This Row],[Costprice]])</f>
        <v>159.02520000000004</v>
      </c>
      <c r="R151">
        <f t="shared" si="12"/>
        <v>2021</v>
      </c>
      <c r="S151">
        <f t="shared" si="13"/>
        <v>12</v>
      </c>
      <c r="T151" t="str">
        <f t="shared" si="14"/>
        <v>December</v>
      </c>
    </row>
    <row r="152" spans="1:20" x14ac:dyDescent="0.3">
      <c r="A152" s="3">
        <v>44540</v>
      </c>
      <c r="B152">
        <v>108</v>
      </c>
      <c r="C152" s="3">
        <f>_xlfn.XLOOKUP(B152,Stores!A:A,Stores!E:E)</f>
        <v>43961</v>
      </c>
      <c r="D152">
        <v>205</v>
      </c>
      <c r="E152" s="3">
        <f>_xlfn.XLOOKUP(D152,SalesReps!A:A,SalesReps!D:D)</f>
        <v>44473</v>
      </c>
      <c r="F152" s="3" t="str">
        <f>_xlfn.XLOOKUP(Table1[[#This Row],[RepID]],SalesReps!A:A,SalesReps!E:E)</f>
        <v>Active</v>
      </c>
      <c r="G152">
        <v>306</v>
      </c>
      <c r="H152" t="str">
        <f>_xlfn.XLOOKUP(Table1[[#This Row],[ProductID]],Products!A:A,Products!B:B)</f>
        <v>Clothing</v>
      </c>
      <c r="I152" t="str">
        <f>_xlfn.XLOOKUP(Table1[[#This Row],[ProductID]],Products!A:A,Products!C:C)</f>
        <v>Men</v>
      </c>
      <c r="J152">
        <v>4</v>
      </c>
      <c r="K152" s="5">
        <f>_xlfn.XLOOKUP(Table1[[#This Row],[ProductID]],Products!A:A,Products!E:E)</f>
        <v>185.69</v>
      </c>
      <c r="L152" s="5">
        <v>235.37</v>
      </c>
      <c r="M152" s="6">
        <v>0.25</v>
      </c>
      <c r="N152" t="s">
        <v>8</v>
      </c>
      <c r="O152" s="5">
        <f t="shared" si="10"/>
        <v>176.5275</v>
      </c>
      <c r="P152" s="5">
        <f t="shared" si="11"/>
        <v>706.11</v>
      </c>
      <c r="Q152" s="5">
        <f>Table1[[#This Row],[Quantity]]*(Table1[[#This Row],[Saleprice]]-Table1[[#This Row],[Costprice]])</f>
        <v>-36.649999999999977</v>
      </c>
      <c r="R152">
        <f t="shared" si="12"/>
        <v>2021</v>
      </c>
      <c r="S152">
        <f t="shared" si="13"/>
        <v>12</v>
      </c>
      <c r="T152" t="str">
        <f t="shared" si="14"/>
        <v>December</v>
      </c>
    </row>
    <row r="153" spans="1:20" x14ac:dyDescent="0.3">
      <c r="A153" s="3">
        <v>44540</v>
      </c>
      <c r="B153">
        <v>108</v>
      </c>
      <c r="C153" s="3">
        <f>_xlfn.XLOOKUP(B153,Stores!A:A,Stores!E:E)</f>
        <v>43961</v>
      </c>
      <c r="D153">
        <v>205</v>
      </c>
      <c r="E153" s="3">
        <f>_xlfn.XLOOKUP(D153,SalesReps!A:A,SalesReps!D:D)</f>
        <v>44473</v>
      </c>
      <c r="F153" s="3" t="str">
        <f>_xlfn.XLOOKUP(Table1[[#This Row],[RepID]],SalesReps!A:A,SalesReps!E:E)</f>
        <v>Active</v>
      </c>
      <c r="G153">
        <v>301</v>
      </c>
      <c r="H153" t="str">
        <f>_xlfn.XLOOKUP(Table1[[#This Row],[ProductID]],Products!A:A,Products!B:B)</f>
        <v>Electronics</v>
      </c>
      <c r="I153" t="str">
        <f>_xlfn.XLOOKUP(Table1[[#This Row],[ProductID]],Products!A:A,Products!C:C)</f>
        <v>Mobiles</v>
      </c>
      <c r="J153">
        <v>6</v>
      </c>
      <c r="K153" s="5">
        <f>_xlfn.XLOOKUP(Table1[[#This Row],[ProductID]],Products!A:A,Products!E:E)</f>
        <v>159.16</v>
      </c>
      <c r="L153" s="5">
        <v>235.16</v>
      </c>
      <c r="M153" s="6">
        <v>0.16</v>
      </c>
      <c r="N153" t="s">
        <v>8</v>
      </c>
      <c r="O153" s="5">
        <f t="shared" si="10"/>
        <v>197.53439999999998</v>
      </c>
      <c r="P153" s="5">
        <f t="shared" si="11"/>
        <v>1185.2063999999998</v>
      </c>
      <c r="Q153" s="5">
        <f>Table1[[#This Row],[Quantity]]*(Table1[[#This Row],[Saleprice]]-Table1[[#This Row],[Costprice]])</f>
        <v>230.24639999999988</v>
      </c>
      <c r="R153">
        <f t="shared" si="12"/>
        <v>2021</v>
      </c>
      <c r="S153">
        <f t="shared" si="13"/>
        <v>12</v>
      </c>
      <c r="T153" t="str">
        <f t="shared" si="14"/>
        <v>December</v>
      </c>
    </row>
    <row r="154" spans="1:20" x14ac:dyDescent="0.3">
      <c r="A154" s="3">
        <v>44540</v>
      </c>
      <c r="B154">
        <v>108</v>
      </c>
      <c r="C154" s="3">
        <f>_xlfn.XLOOKUP(B154,Stores!A:A,Stores!E:E)</f>
        <v>43961</v>
      </c>
      <c r="D154">
        <v>205</v>
      </c>
      <c r="E154" s="3">
        <f>_xlfn.XLOOKUP(D154,SalesReps!A:A,SalesReps!D:D)</f>
        <v>44473</v>
      </c>
      <c r="F154" s="3" t="str">
        <f>_xlfn.XLOOKUP(Table1[[#This Row],[RepID]],SalesReps!A:A,SalesReps!E:E)</f>
        <v>Active</v>
      </c>
      <c r="G154">
        <v>319</v>
      </c>
      <c r="H154" t="str">
        <f>_xlfn.XLOOKUP(Table1[[#This Row],[ProductID]],Products!A:A,Products!B:B)</f>
        <v>Toys</v>
      </c>
      <c r="I154" t="str">
        <f>_xlfn.XLOOKUP(Table1[[#This Row],[ProductID]],Products!A:A,Products!C:C)</f>
        <v>Board Games</v>
      </c>
      <c r="J154">
        <v>1</v>
      </c>
      <c r="K154" s="5">
        <f>_xlfn.XLOOKUP(Table1[[#This Row],[ProductID]],Products!A:A,Products!E:E)</f>
        <v>81.069999999999993</v>
      </c>
      <c r="L154" s="5">
        <v>160.29</v>
      </c>
      <c r="M154" s="6">
        <v>7.0000000000000007E-2</v>
      </c>
      <c r="N154" t="s">
        <v>8</v>
      </c>
      <c r="O154" s="5">
        <f t="shared" si="10"/>
        <v>149.06969999999998</v>
      </c>
      <c r="P154" s="5">
        <f t="shared" si="11"/>
        <v>149.06969999999998</v>
      </c>
      <c r="Q154" s="5">
        <f>Table1[[#This Row],[Quantity]]*(Table1[[#This Row],[Saleprice]]-Table1[[#This Row],[Costprice]])</f>
        <v>67.99969999999999</v>
      </c>
      <c r="R154">
        <f t="shared" si="12"/>
        <v>2021</v>
      </c>
      <c r="S154">
        <f t="shared" si="13"/>
        <v>12</v>
      </c>
      <c r="T154" t="str">
        <f t="shared" si="14"/>
        <v>December</v>
      </c>
    </row>
    <row r="155" spans="1:20" x14ac:dyDescent="0.3">
      <c r="A155" s="3">
        <v>44541</v>
      </c>
      <c r="B155">
        <v>108</v>
      </c>
      <c r="C155" s="3">
        <f>_xlfn.XLOOKUP(B155,Stores!A:A,Stores!E:E)</f>
        <v>43961</v>
      </c>
      <c r="D155">
        <v>205</v>
      </c>
      <c r="E155" s="3">
        <f>_xlfn.XLOOKUP(D155,SalesReps!A:A,SalesReps!D:D)</f>
        <v>44473</v>
      </c>
      <c r="F155" s="3" t="str">
        <f>_xlfn.XLOOKUP(Table1[[#This Row],[RepID]],SalesReps!A:A,SalesReps!E:E)</f>
        <v>Active</v>
      </c>
      <c r="G155">
        <v>319</v>
      </c>
      <c r="H155" t="str">
        <f>_xlfn.XLOOKUP(Table1[[#This Row],[ProductID]],Products!A:A,Products!B:B)</f>
        <v>Toys</v>
      </c>
      <c r="I155" t="str">
        <f>_xlfn.XLOOKUP(Table1[[#This Row],[ProductID]],Products!A:A,Products!C:C)</f>
        <v>Board Games</v>
      </c>
      <c r="J155">
        <v>9</v>
      </c>
      <c r="K155" s="5">
        <f>_xlfn.XLOOKUP(Table1[[#This Row],[ProductID]],Products!A:A,Products!E:E)</f>
        <v>81.069999999999993</v>
      </c>
      <c r="L155" s="5">
        <v>160.29</v>
      </c>
      <c r="M155" s="6">
        <v>7.0000000000000007E-2</v>
      </c>
      <c r="N155" t="s">
        <v>8</v>
      </c>
      <c r="O155" s="5">
        <f t="shared" si="10"/>
        <v>149.06969999999998</v>
      </c>
      <c r="P155" s="5">
        <f t="shared" si="11"/>
        <v>1341.6272999999999</v>
      </c>
      <c r="Q155" s="5">
        <f>Table1[[#This Row],[Quantity]]*(Table1[[#This Row],[Saleprice]]-Table1[[#This Row],[Costprice]])</f>
        <v>611.99729999999988</v>
      </c>
      <c r="R155">
        <f t="shared" si="12"/>
        <v>2021</v>
      </c>
      <c r="S155">
        <f t="shared" si="13"/>
        <v>12</v>
      </c>
      <c r="T155" t="str">
        <f t="shared" si="14"/>
        <v>December</v>
      </c>
    </row>
    <row r="156" spans="1:20" x14ac:dyDescent="0.3">
      <c r="A156" s="3">
        <v>44541</v>
      </c>
      <c r="B156">
        <v>106</v>
      </c>
      <c r="C156" s="3">
        <f>_xlfn.XLOOKUP(B156,Stores!A:A,Stores!E:E)</f>
        <v>43918</v>
      </c>
      <c r="D156">
        <v>208</v>
      </c>
      <c r="E156" s="3">
        <f>_xlfn.XLOOKUP(D156,SalesReps!A:A,SalesReps!D:D)</f>
        <v>44510</v>
      </c>
      <c r="F156" s="3" t="str">
        <f>_xlfn.XLOOKUP(Table1[[#This Row],[RepID]],SalesReps!A:A,SalesReps!E:E)</f>
        <v>Active</v>
      </c>
      <c r="G156">
        <v>313</v>
      </c>
      <c r="H156" t="str">
        <f>_xlfn.XLOOKUP(Table1[[#This Row],[ProductID]],Products!A:A,Products!B:B)</f>
        <v>Clothing</v>
      </c>
      <c r="I156" t="str">
        <f>_xlfn.XLOOKUP(Table1[[#This Row],[ProductID]],Products!A:A,Products!C:C)</f>
        <v>Women</v>
      </c>
      <c r="J156">
        <v>1</v>
      </c>
      <c r="K156" s="5">
        <f>_xlfn.XLOOKUP(Table1[[#This Row],[ProductID]],Products!A:A,Products!E:E)</f>
        <v>104</v>
      </c>
      <c r="L156" s="5">
        <v>134.80000000000001</v>
      </c>
      <c r="M156" s="6">
        <v>0.24</v>
      </c>
      <c r="N156" t="s">
        <v>10</v>
      </c>
      <c r="O156" s="5">
        <f t="shared" si="10"/>
        <v>102.44800000000001</v>
      </c>
      <c r="P156" s="5">
        <f t="shared" si="11"/>
        <v>102.44800000000001</v>
      </c>
      <c r="Q156" s="5">
        <f>Table1[[#This Row],[Quantity]]*(Table1[[#This Row],[Saleprice]]-Table1[[#This Row],[Costprice]])</f>
        <v>-1.5519999999999925</v>
      </c>
      <c r="R156">
        <f t="shared" si="12"/>
        <v>2021</v>
      </c>
      <c r="S156">
        <f t="shared" si="13"/>
        <v>12</v>
      </c>
      <c r="T156" t="str">
        <f t="shared" si="14"/>
        <v>December</v>
      </c>
    </row>
    <row r="157" spans="1:20" x14ac:dyDescent="0.3">
      <c r="A157" s="3">
        <v>44542</v>
      </c>
      <c r="B157">
        <v>108</v>
      </c>
      <c r="C157" s="3">
        <f>_xlfn.XLOOKUP(B157,Stores!A:A,Stores!E:E)</f>
        <v>43961</v>
      </c>
      <c r="D157">
        <v>205</v>
      </c>
      <c r="E157" s="3">
        <f>_xlfn.XLOOKUP(D157,SalesReps!A:A,SalesReps!D:D)</f>
        <v>44473</v>
      </c>
      <c r="F157" s="3" t="str">
        <f>_xlfn.XLOOKUP(Table1[[#This Row],[RepID]],SalesReps!A:A,SalesReps!E:E)</f>
        <v>Active</v>
      </c>
      <c r="G157">
        <v>314</v>
      </c>
      <c r="H157" t="str">
        <f>_xlfn.XLOOKUP(Table1[[#This Row],[ProductID]],Products!A:A,Products!B:B)</f>
        <v>Clothing</v>
      </c>
      <c r="I157" t="str">
        <f>_xlfn.XLOOKUP(Table1[[#This Row],[ProductID]],Products!A:A,Products!C:C)</f>
        <v>Kids</v>
      </c>
      <c r="J157">
        <v>1</v>
      </c>
      <c r="K157" s="5">
        <f>_xlfn.XLOOKUP(Table1[[#This Row],[ProductID]],Products!A:A,Products!E:E)</f>
        <v>276.47000000000003</v>
      </c>
      <c r="L157" s="5">
        <v>290.39</v>
      </c>
      <c r="M157" s="6">
        <v>0.09</v>
      </c>
      <c r="N157" t="s">
        <v>8</v>
      </c>
      <c r="O157" s="5">
        <f t="shared" si="10"/>
        <v>264.25490000000002</v>
      </c>
      <c r="P157" s="5">
        <f t="shared" si="11"/>
        <v>264.25490000000002</v>
      </c>
      <c r="Q157" s="5">
        <f>Table1[[#This Row],[Quantity]]*(Table1[[#This Row],[Saleprice]]-Table1[[#This Row],[Costprice]])</f>
        <v>-12.215100000000007</v>
      </c>
      <c r="R157">
        <f t="shared" si="12"/>
        <v>2021</v>
      </c>
      <c r="S157">
        <f t="shared" si="13"/>
        <v>12</v>
      </c>
      <c r="T157" t="str">
        <f t="shared" si="14"/>
        <v>December</v>
      </c>
    </row>
    <row r="158" spans="1:20" x14ac:dyDescent="0.3">
      <c r="A158" s="3">
        <v>44542</v>
      </c>
      <c r="B158">
        <v>108</v>
      </c>
      <c r="C158" s="3">
        <f>_xlfn.XLOOKUP(B158,Stores!A:A,Stores!E:E)</f>
        <v>43961</v>
      </c>
      <c r="D158">
        <v>205</v>
      </c>
      <c r="E158" s="3">
        <f>_xlfn.XLOOKUP(D158,SalesReps!A:A,SalesReps!D:D)</f>
        <v>44473</v>
      </c>
      <c r="F158" s="3" t="str">
        <f>_xlfn.XLOOKUP(Table1[[#This Row],[RepID]],SalesReps!A:A,SalesReps!E:E)</f>
        <v>Active</v>
      </c>
      <c r="G158">
        <v>306</v>
      </c>
      <c r="H158" t="str">
        <f>_xlfn.XLOOKUP(Table1[[#This Row],[ProductID]],Products!A:A,Products!B:B)</f>
        <v>Clothing</v>
      </c>
      <c r="I158" t="str">
        <f>_xlfn.XLOOKUP(Table1[[#This Row],[ProductID]],Products!A:A,Products!C:C)</f>
        <v>Men</v>
      </c>
      <c r="J158">
        <v>1</v>
      </c>
      <c r="K158" s="5">
        <f>_xlfn.XLOOKUP(Table1[[#This Row],[ProductID]],Products!A:A,Products!E:E)</f>
        <v>185.69</v>
      </c>
      <c r="L158" s="5">
        <v>235.37</v>
      </c>
      <c r="M158" s="6">
        <v>0.25</v>
      </c>
      <c r="N158" t="s">
        <v>8</v>
      </c>
      <c r="O158" s="5">
        <f t="shared" si="10"/>
        <v>176.5275</v>
      </c>
      <c r="P158" s="5">
        <f t="shared" si="11"/>
        <v>176.5275</v>
      </c>
      <c r="Q158" s="5">
        <f>Table1[[#This Row],[Quantity]]*(Table1[[#This Row],[Saleprice]]-Table1[[#This Row],[Costprice]])</f>
        <v>-9.1624999999999943</v>
      </c>
      <c r="R158">
        <f t="shared" si="12"/>
        <v>2021</v>
      </c>
      <c r="S158">
        <f t="shared" si="13"/>
        <v>12</v>
      </c>
      <c r="T158" t="str">
        <f t="shared" si="14"/>
        <v>December</v>
      </c>
    </row>
    <row r="159" spans="1:20" x14ac:dyDescent="0.3">
      <c r="A159" s="3">
        <v>44543</v>
      </c>
      <c r="B159">
        <v>108</v>
      </c>
      <c r="C159" s="3">
        <f>_xlfn.XLOOKUP(B159,Stores!A:A,Stores!E:E)</f>
        <v>43961</v>
      </c>
      <c r="D159">
        <v>205</v>
      </c>
      <c r="E159" s="3">
        <f>_xlfn.XLOOKUP(D159,SalesReps!A:A,SalesReps!D:D)</f>
        <v>44473</v>
      </c>
      <c r="F159" s="3" t="str">
        <f>_xlfn.XLOOKUP(Table1[[#This Row],[RepID]],SalesReps!A:A,SalesReps!E:E)</f>
        <v>Active</v>
      </c>
      <c r="G159">
        <v>313</v>
      </c>
      <c r="H159" t="str">
        <f>_xlfn.XLOOKUP(Table1[[#This Row],[ProductID]],Products!A:A,Products!B:B)</f>
        <v>Clothing</v>
      </c>
      <c r="I159" t="str">
        <f>_xlfn.XLOOKUP(Table1[[#This Row],[ProductID]],Products!A:A,Products!C:C)</f>
        <v>Women</v>
      </c>
      <c r="J159">
        <v>2</v>
      </c>
      <c r="K159" s="5">
        <f>_xlfn.XLOOKUP(Table1[[#This Row],[ProductID]],Products!A:A,Products!E:E)</f>
        <v>104</v>
      </c>
      <c r="L159" s="5">
        <v>127.47</v>
      </c>
      <c r="M159" s="6">
        <v>0.13</v>
      </c>
      <c r="N159" t="s">
        <v>8</v>
      </c>
      <c r="O159" s="5">
        <f t="shared" si="10"/>
        <v>110.8989</v>
      </c>
      <c r="P159" s="5">
        <f t="shared" si="11"/>
        <v>221.7978</v>
      </c>
      <c r="Q159" s="5">
        <f>Table1[[#This Row],[Quantity]]*(Table1[[#This Row],[Saleprice]]-Table1[[#This Row],[Costprice]])</f>
        <v>13.797799999999995</v>
      </c>
      <c r="R159">
        <f t="shared" si="12"/>
        <v>2021</v>
      </c>
      <c r="S159">
        <f t="shared" si="13"/>
        <v>12</v>
      </c>
      <c r="T159" t="str">
        <f t="shared" si="14"/>
        <v>December</v>
      </c>
    </row>
    <row r="160" spans="1:20" x14ac:dyDescent="0.3">
      <c r="A160" s="3">
        <v>44544</v>
      </c>
      <c r="B160">
        <v>108</v>
      </c>
      <c r="C160" s="3">
        <f>_xlfn.XLOOKUP(B160,Stores!A:A,Stores!E:E)</f>
        <v>43961</v>
      </c>
      <c r="D160">
        <v>205</v>
      </c>
      <c r="E160" s="3">
        <f>_xlfn.XLOOKUP(D160,SalesReps!A:A,SalesReps!D:D)</f>
        <v>44473</v>
      </c>
      <c r="F160" s="3" t="str">
        <f>_xlfn.XLOOKUP(Table1[[#This Row],[RepID]],SalesReps!A:A,SalesReps!E:E)</f>
        <v>Active</v>
      </c>
      <c r="G160">
        <v>301</v>
      </c>
      <c r="H160" t="str">
        <f>_xlfn.XLOOKUP(Table1[[#This Row],[ProductID]],Products!A:A,Products!B:B)</f>
        <v>Electronics</v>
      </c>
      <c r="I160" t="str">
        <f>_xlfn.XLOOKUP(Table1[[#This Row],[ProductID]],Products!A:A,Products!C:C)</f>
        <v>Mobiles</v>
      </c>
      <c r="J160">
        <v>6</v>
      </c>
      <c r="K160" s="5">
        <f>_xlfn.XLOOKUP(Table1[[#This Row],[ProductID]],Products!A:A,Products!E:E)</f>
        <v>159.16</v>
      </c>
      <c r="L160" s="5">
        <v>235.16</v>
      </c>
      <c r="M160" s="6">
        <v>0.16</v>
      </c>
      <c r="N160" t="s">
        <v>8</v>
      </c>
      <c r="O160" s="5">
        <f t="shared" si="10"/>
        <v>197.53439999999998</v>
      </c>
      <c r="P160" s="5">
        <f t="shared" si="11"/>
        <v>1185.2063999999998</v>
      </c>
      <c r="Q160" s="5">
        <f>Table1[[#This Row],[Quantity]]*(Table1[[#This Row],[Saleprice]]-Table1[[#This Row],[Costprice]])</f>
        <v>230.24639999999988</v>
      </c>
      <c r="R160">
        <f t="shared" si="12"/>
        <v>2021</v>
      </c>
      <c r="S160">
        <f t="shared" si="13"/>
        <v>12</v>
      </c>
      <c r="T160" t="str">
        <f t="shared" si="14"/>
        <v>December</v>
      </c>
    </row>
    <row r="161" spans="1:20" x14ac:dyDescent="0.3">
      <c r="A161" s="3">
        <v>44545</v>
      </c>
      <c r="B161">
        <v>108</v>
      </c>
      <c r="C161" s="3">
        <f>_xlfn.XLOOKUP(B161,Stores!A:A,Stores!E:E)</f>
        <v>43961</v>
      </c>
      <c r="D161">
        <v>205</v>
      </c>
      <c r="E161" s="3">
        <f>_xlfn.XLOOKUP(D161,SalesReps!A:A,SalesReps!D:D)</f>
        <v>44473</v>
      </c>
      <c r="F161" s="3" t="str">
        <f>_xlfn.XLOOKUP(Table1[[#This Row],[RepID]],SalesReps!A:A,SalesReps!E:E)</f>
        <v>Active</v>
      </c>
      <c r="G161">
        <v>319</v>
      </c>
      <c r="H161" t="str">
        <f>_xlfn.XLOOKUP(Table1[[#This Row],[ProductID]],Products!A:A,Products!B:B)</f>
        <v>Toys</v>
      </c>
      <c r="I161" t="str">
        <f>_xlfn.XLOOKUP(Table1[[#This Row],[ProductID]],Products!A:A,Products!C:C)</f>
        <v>Board Games</v>
      </c>
      <c r="J161">
        <v>4</v>
      </c>
      <c r="K161" s="5">
        <f>_xlfn.XLOOKUP(Table1[[#This Row],[ProductID]],Products!A:A,Products!E:E)</f>
        <v>81.069999999999993</v>
      </c>
      <c r="L161" s="5">
        <v>160.29</v>
      </c>
      <c r="M161" s="6">
        <v>7.0000000000000007E-2</v>
      </c>
      <c r="N161" t="s">
        <v>8</v>
      </c>
      <c r="O161" s="5">
        <f t="shared" si="10"/>
        <v>149.06969999999998</v>
      </c>
      <c r="P161" s="5">
        <f t="shared" si="11"/>
        <v>596.27879999999993</v>
      </c>
      <c r="Q161" s="5">
        <f>Table1[[#This Row],[Quantity]]*(Table1[[#This Row],[Saleprice]]-Table1[[#This Row],[Costprice]])</f>
        <v>271.99879999999996</v>
      </c>
      <c r="R161">
        <f t="shared" si="12"/>
        <v>2021</v>
      </c>
      <c r="S161">
        <f t="shared" si="13"/>
        <v>12</v>
      </c>
      <c r="T161" t="str">
        <f t="shared" si="14"/>
        <v>December</v>
      </c>
    </row>
    <row r="162" spans="1:20" x14ac:dyDescent="0.3">
      <c r="A162" s="3">
        <v>44545</v>
      </c>
      <c r="B162">
        <v>108</v>
      </c>
      <c r="C162" s="3">
        <f>_xlfn.XLOOKUP(B162,Stores!A:A,Stores!E:E)</f>
        <v>43961</v>
      </c>
      <c r="D162">
        <v>205</v>
      </c>
      <c r="E162" s="3">
        <f>_xlfn.XLOOKUP(D162,SalesReps!A:A,SalesReps!D:D)</f>
        <v>44473</v>
      </c>
      <c r="F162" s="3" t="str">
        <f>_xlfn.XLOOKUP(Table1[[#This Row],[RepID]],SalesReps!A:A,SalesReps!E:E)</f>
        <v>Active</v>
      </c>
      <c r="G162">
        <v>317</v>
      </c>
      <c r="H162" t="str">
        <f>_xlfn.XLOOKUP(Table1[[#This Row],[ProductID]],Products!A:A,Products!B:B)</f>
        <v>Toys</v>
      </c>
      <c r="I162" t="str">
        <f>_xlfn.XLOOKUP(Table1[[#This Row],[ProductID]],Products!A:A,Products!C:C)</f>
        <v>Educational</v>
      </c>
      <c r="J162">
        <v>4</v>
      </c>
      <c r="K162" s="5">
        <f>_xlfn.XLOOKUP(Table1[[#This Row],[ProductID]],Products!A:A,Products!E:E)</f>
        <v>77.61</v>
      </c>
      <c r="L162" s="5">
        <v>148.43</v>
      </c>
      <c r="M162" s="6">
        <v>0.12</v>
      </c>
      <c r="N162" t="s">
        <v>8</v>
      </c>
      <c r="O162" s="5">
        <f t="shared" si="10"/>
        <v>130.61840000000001</v>
      </c>
      <c r="P162" s="5">
        <f t="shared" si="11"/>
        <v>522.47360000000003</v>
      </c>
      <c r="Q162" s="5">
        <f>Table1[[#This Row],[Quantity]]*(Table1[[#This Row],[Saleprice]]-Table1[[#This Row],[Costprice]])</f>
        <v>212.03360000000004</v>
      </c>
      <c r="R162">
        <f t="shared" si="12"/>
        <v>2021</v>
      </c>
      <c r="S162">
        <f t="shared" si="13"/>
        <v>12</v>
      </c>
      <c r="T162" t="str">
        <f t="shared" si="14"/>
        <v>December</v>
      </c>
    </row>
    <row r="163" spans="1:20" x14ac:dyDescent="0.3">
      <c r="A163" s="3">
        <v>44546</v>
      </c>
      <c r="B163">
        <v>108</v>
      </c>
      <c r="C163" s="3">
        <f>_xlfn.XLOOKUP(B163,Stores!A:A,Stores!E:E)</f>
        <v>43961</v>
      </c>
      <c r="D163">
        <v>205</v>
      </c>
      <c r="E163" s="3">
        <f>_xlfn.XLOOKUP(D163,SalesReps!A:A,SalesReps!D:D)</f>
        <v>44473</v>
      </c>
      <c r="F163" s="3" t="str">
        <f>_xlfn.XLOOKUP(Table1[[#This Row],[RepID]],SalesReps!A:A,SalesReps!E:E)</f>
        <v>Active</v>
      </c>
      <c r="G163">
        <v>306</v>
      </c>
      <c r="H163" t="str">
        <f>_xlfn.XLOOKUP(Table1[[#This Row],[ProductID]],Products!A:A,Products!B:B)</f>
        <v>Clothing</v>
      </c>
      <c r="I163" t="str">
        <f>_xlfn.XLOOKUP(Table1[[#This Row],[ProductID]],Products!A:A,Products!C:C)</f>
        <v>Men</v>
      </c>
      <c r="J163">
        <v>1</v>
      </c>
      <c r="K163" s="5">
        <f>_xlfn.XLOOKUP(Table1[[#This Row],[ProductID]],Products!A:A,Products!E:E)</f>
        <v>185.69</v>
      </c>
      <c r="L163" s="5">
        <v>235.37</v>
      </c>
      <c r="M163" s="6">
        <v>0.25</v>
      </c>
      <c r="N163" t="s">
        <v>8</v>
      </c>
      <c r="O163" s="5">
        <f t="shared" si="10"/>
        <v>176.5275</v>
      </c>
      <c r="P163" s="5">
        <f t="shared" si="11"/>
        <v>176.5275</v>
      </c>
      <c r="Q163" s="5">
        <f>Table1[[#This Row],[Quantity]]*(Table1[[#This Row],[Saleprice]]-Table1[[#This Row],[Costprice]])</f>
        <v>-9.1624999999999943</v>
      </c>
      <c r="R163">
        <f t="shared" si="12"/>
        <v>2021</v>
      </c>
      <c r="S163">
        <f t="shared" si="13"/>
        <v>12</v>
      </c>
      <c r="T163" t="str">
        <f t="shared" si="14"/>
        <v>December</v>
      </c>
    </row>
    <row r="164" spans="1:20" x14ac:dyDescent="0.3">
      <c r="A164" s="3">
        <v>44547</v>
      </c>
      <c r="B164">
        <v>108</v>
      </c>
      <c r="C164" s="3">
        <f>_xlfn.XLOOKUP(B164,Stores!A:A,Stores!E:E)</f>
        <v>43961</v>
      </c>
      <c r="D164">
        <v>205</v>
      </c>
      <c r="E164" s="3">
        <f>_xlfn.XLOOKUP(D164,SalesReps!A:A,SalesReps!D:D)</f>
        <v>44473</v>
      </c>
      <c r="F164" s="3" t="str">
        <f>_xlfn.XLOOKUP(Table1[[#This Row],[RepID]],SalesReps!A:A,SalesReps!E:E)</f>
        <v>Active</v>
      </c>
      <c r="G164">
        <v>310</v>
      </c>
      <c r="H164" t="str">
        <f>_xlfn.XLOOKUP(Table1[[#This Row],[ProductID]],Products!A:A,Products!B:B)</f>
        <v>Home &amp; Kitchen</v>
      </c>
      <c r="I164" t="str">
        <f>_xlfn.XLOOKUP(Table1[[#This Row],[ProductID]],Products!A:A,Products!C:C)</f>
        <v>Furniture</v>
      </c>
      <c r="J164">
        <v>5</v>
      </c>
      <c r="K164" s="5">
        <f>_xlfn.XLOOKUP(Table1[[#This Row],[ProductID]],Products!A:A,Products!E:E)</f>
        <v>160.31</v>
      </c>
      <c r="L164" s="5">
        <v>209.95</v>
      </c>
      <c r="M164" s="6">
        <v>0.11</v>
      </c>
      <c r="N164" t="s">
        <v>8</v>
      </c>
      <c r="O164" s="5">
        <f t="shared" si="10"/>
        <v>186.85550000000001</v>
      </c>
      <c r="P164" s="5">
        <f t="shared" si="11"/>
        <v>934.27750000000003</v>
      </c>
      <c r="Q164" s="5">
        <f>Table1[[#This Row],[Quantity]]*(Table1[[#This Row],[Saleprice]]-Table1[[#This Row],[Costprice]])</f>
        <v>132.72750000000002</v>
      </c>
      <c r="R164">
        <f t="shared" si="12"/>
        <v>2021</v>
      </c>
      <c r="S164">
        <f t="shared" si="13"/>
        <v>12</v>
      </c>
      <c r="T164" t="str">
        <f t="shared" si="14"/>
        <v>December</v>
      </c>
    </row>
    <row r="165" spans="1:20" x14ac:dyDescent="0.3">
      <c r="A165" s="3">
        <v>44548</v>
      </c>
      <c r="B165">
        <v>108</v>
      </c>
      <c r="C165" s="3">
        <f>_xlfn.XLOOKUP(B165,Stores!A:A,Stores!E:E)</f>
        <v>43961</v>
      </c>
      <c r="D165">
        <v>205</v>
      </c>
      <c r="E165" s="3">
        <f>_xlfn.XLOOKUP(D165,SalesReps!A:A,SalesReps!D:D)</f>
        <v>44473</v>
      </c>
      <c r="F165" s="3" t="str">
        <f>_xlfn.XLOOKUP(Table1[[#This Row],[RepID]],SalesReps!A:A,SalesReps!E:E)</f>
        <v>Active</v>
      </c>
      <c r="G165">
        <v>313</v>
      </c>
      <c r="H165" t="str">
        <f>_xlfn.XLOOKUP(Table1[[#This Row],[ProductID]],Products!A:A,Products!B:B)</f>
        <v>Clothing</v>
      </c>
      <c r="I165" t="str">
        <f>_xlfn.XLOOKUP(Table1[[#This Row],[ProductID]],Products!A:A,Products!C:C)</f>
        <v>Women</v>
      </c>
      <c r="J165">
        <v>5</v>
      </c>
      <c r="K165" s="5">
        <f>_xlfn.XLOOKUP(Table1[[#This Row],[ProductID]],Products!A:A,Products!E:E)</f>
        <v>104</v>
      </c>
      <c r="L165" s="5">
        <v>127.47</v>
      </c>
      <c r="M165" s="6">
        <v>0.13</v>
      </c>
      <c r="N165" t="s">
        <v>8</v>
      </c>
      <c r="O165" s="5">
        <f t="shared" si="10"/>
        <v>110.8989</v>
      </c>
      <c r="P165" s="5">
        <f t="shared" si="11"/>
        <v>554.49450000000002</v>
      </c>
      <c r="Q165" s="5">
        <f>Table1[[#This Row],[Quantity]]*(Table1[[#This Row],[Saleprice]]-Table1[[#This Row],[Costprice]])</f>
        <v>34.494499999999988</v>
      </c>
      <c r="R165">
        <f t="shared" si="12"/>
        <v>2021</v>
      </c>
      <c r="S165">
        <f t="shared" si="13"/>
        <v>12</v>
      </c>
      <c r="T165" t="str">
        <f t="shared" si="14"/>
        <v>December</v>
      </c>
    </row>
    <row r="166" spans="1:20" x14ac:dyDescent="0.3">
      <c r="A166" s="3">
        <v>44549</v>
      </c>
      <c r="B166">
        <v>108</v>
      </c>
      <c r="C166" s="3">
        <f>_xlfn.XLOOKUP(B166,Stores!A:A,Stores!E:E)</f>
        <v>43961</v>
      </c>
      <c r="D166">
        <v>205</v>
      </c>
      <c r="E166" s="3">
        <f>_xlfn.XLOOKUP(D166,SalesReps!A:A,SalesReps!D:D)</f>
        <v>44473</v>
      </c>
      <c r="F166" s="3" t="str">
        <f>_xlfn.XLOOKUP(Table1[[#This Row],[RepID]],SalesReps!A:A,SalesReps!E:E)</f>
        <v>Active</v>
      </c>
      <c r="G166">
        <v>311</v>
      </c>
      <c r="H166" t="str">
        <f>_xlfn.XLOOKUP(Table1[[#This Row],[ProductID]],Products!A:A,Products!B:B)</f>
        <v>Home &amp; Kitchen</v>
      </c>
      <c r="I166" t="str">
        <f>_xlfn.XLOOKUP(Table1[[#This Row],[ProductID]],Products!A:A,Products!C:C)</f>
        <v>Furniture</v>
      </c>
      <c r="J166">
        <v>2</v>
      </c>
      <c r="K166" s="5">
        <f>_xlfn.XLOOKUP(Table1[[#This Row],[ProductID]],Products!A:A,Products!E:E)</f>
        <v>16.23</v>
      </c>
      <c r="L166" s="5">
        <v>84.99</v>
      </c>
      <c r="M166" s="6">
        <v>0.12</v>
      </c>
      <c r="N166" t="s">
        <v>8</v>
      </c>
      <c r="O166" s="5">
        <f t="shared" si="10"/>
        <v>74.791199999999989</v>
      </c>
      <c r="P166" s="5">
        <f t="shared" si="11"/>
        <v>149.58239999999998</v>
      </c>
      <c r="Q166" s="5">
        <f>Table1[[#This Row],[Quantity]]*(Table1[[#This Row],[Saleprice]]-Table1[[#This Row],[Costprice]])</f>
        <v>117.12239999999997</v>
      </c>
      <c r="R166">
        <f t="shared" si="12"/>
        <v>2021</v>
      </c>
      <c r="S166">
        <f t="shared" si="13"/>
        <v>12</v>
      </c>
      <c r="T166" t="str">
        <f t="shared" si="14"/>
        <v>December</v>
      </c>
    </row>
    <row r="167" spans="1:20" x14ac:dyDescent="0.3">
      <c r="A167" s="3">
        <v>44550</v>
      </c>
      <c r="B167">
        <v>108</v>
      </c>
      <c r="C167" s="3">
        <f>_xlfn.XLOOKUP(B167,Stores!A:A,Stores!E:E)</f>
        <v>43961</v>
      </c>
      <c r="D167">
        <v>205</v>
      </c>
      <c r="E167" s="3">
        <f>_xlfn.XLOOKUP(D167,SalesReps!A:A,SalesReps!D:D)</f>
        <v>44473</v>
      </c>
      <c r="F167" s="3" t="str">
        <f>_xlfn.XLOOKUP(Table1[[#This Row],[RepID]],SalesReps!A:A,SalesReps!E:E)</f>
        <v>Active</v>
      </c>
      <c r="G167">
        <v>307</v>
      </c>
      <c r="H167" t="str">
        <f>_xlfn.XLOOKUP(Table1[[#This Row],[ProductID]],Products!A:A,Products!B:B)</f>
        <v>Toys</v>
      </c>
      <c r="I167" t="str">
        <f>_xlfn.XLOOKUP(Table1[[#This Row],[ProductID]],Products!A:A,Products!C:C)</f>
        <v>Outdoor</v>
      </c>
      <c r="J167">
        <v>1</v>
      </c>
      <c r="K167" s="5">
        <f>_xlfn.XLOOKUP(Table1[[#This Row],[ProductID]],Products!A:A,Products!E:E)</f>
        <v>15.17</v>
      </c>
      <c r="L167" s="5">
        <v>90.02</v>
      </c>
      <c r="M167" s="6">
        <v>0.09</v>
      </c>
      <c r="N167" t="s">
        <v>8</v>
      </c>
      <c r="O167" s="5">
        <f t="shared" si="10"/>
        <v>81.918199999999999</v>
      </c>
      <c r="P167" s="5">
        <f t="shared" si="11"/>
        <v>81.918199999999999</v>
      </c>
      <c r="Q167" s="5">
        <f>Table1[[#This Row],[Quantity]]*(Table1[[#This Row],[Saleprice]]-Table1[[#This Row],[Costprice]])</f>
        <v>66.748199999999997</v>
      </c>
      <c r="R167">
        <f t="shared" si="12"/>
        <v>2021</v>
      </c>
      <c r="S167">
        <f t="shared" si="13"/>
        <v>12</v>
      </c>
      <c r="T167" t="str">
        <f t="shared" si="14"/>
        <v>December</v>
      </c>
    </row>
    <row r="168" spans="1:20" x14ac:dyDescent="0.3">
      <c r="A168" s="3">
        <v>44551</v>
      </c>
      <c r="B168">
        <v>108</v>
      </c>
      <c r="C168" s="3">
        <f>_xlfn.XLOOKUP(B168,Stores!A:A,Stores!E:E)</f>
        <v>43961</v>
      </c>
      <c r="D168">
        <v>205</v>
      </c>
      <c r="E168" s="3">
        <f>_xlfn.XLOOKUP(D168,SalesReps!A:A,SalesReps!D:D)</f>
        <v>44473</v>
      </c>
      <c r="F168" s="3" t="str">
        <f>_xlfn.XLOOKUP(Table1[[#This Row],[RepID]],SalesReps!A:A,SalesReps!E:E)</f>
        <v>Active</v>
      </c>
      <c r="G168">
        <v>307</v>
      </c>
      <c r="H168" t="str">
        <f>_xlfn.XLOOKUP(Table1[[#This Row],[ProductID]],Products!A:A,Products!B:B)</f>
        <v>Toys</v>
      </c>
      <c r="I168" t="str">
        <f>_xlfn.XLOOKUP(Table1[[#This Row],[ProductID]],Products!A:A,Products!C:C)</f>
        <v>Outdoor</v>
      </c>
      <c r="J168">
        <v>7</v>
      </c>
      <c r="K168" s="5">
        <f>_xlfn.XLOOKUP(Table1[[#This Row],[ProductID]],Products!A:A,Products!E:E)</f>
        <v>15.17</v>
      </c>
      <c r="L168" s="5">
        <v>90.02</v>
      </c>
      <c r="M168" s="6">
        <v>0.09</v>
      </c>
      <c r="N168" t="s">
        <v>8</v>
      </c>
      <c r="O168" s="5">
        <f t="shared" si="10"/>
        <v>81.918199999999999</v>
      </c>
      <c r="P168" s="5">
        <f t="shared" si="11"/>
        <v>573.42740000000003</v>
      </c>
      <c r="Q168" s="5">
        <f>Table1[[#This Row],[Quantity]]*(Table1[[#This Row],[Saleprice]]-Table1[[#This Row],[Costprice]])</f>
        <v>467.23739999999998</v>
      </c>
      <c r="R168">
        <f t="shared" si="12"/>
        <v>2021</v>
      </c>
      <c r="S168">
        <f t="shared" si="13"/>
        <v>12</v>
      </c>
      <c r="T168" t="str">
        <f t="shared" si="14"/>
        <v>December</v>
      </c>
    </row>
    <row r="169" spans="1:20" x14ac:dyDescent="0.3">
      <c r="A169" s="3">
        <v>44554</v>
      </c>
      <c r="B169">
        <v>108</v>
      </c>
      <c r="C169" s="3">
        <f>_xlfn.XLOOKUP(B169,Stores!A:A,Stores!E:E)</f>
        <v>43961</v>
      </c>
      <c r="D169">
        <v>205</v>
      </c>
      <c r="E169" s="3">
        <f>_xlfn.XLOOKUP(D169,SalesReps!A:A,SalesReps!D:D)</f>
        <v>44473</v>
      </c>
      <c r="F169" s="3" t="str">
        <f>_xlfn.XLOOKUP(Table1[[#This Row],[RepID]],SalesReps!A:A,SalesReps!E:E)</f>
        <v>Active</v>
      </c>
      <c r="G169">
        <v>316</v>
      </c>
      <c r="H169" t="str">
        <f>_xlfn.XLOOKUP(Table1[[#This Row],[ProductID]],Products!A:A,Products!B:B)</f>
        <v>Home &amp; Kitchen</v>
      </c>
      <c r="I169" t="str">
        <f>_xlfn.XLOOKUP(Table1[[#This Row],[ProductID]],Products!A:A,Products!C:C)</f>
        <v>Furniture</v>
      </c>
      <c r="J169">
        <v>1</v>
      </c>
      <c r="K169" s="5">
        <f>_xlfn.XLOOKUP(Table1[[#This Row],[ProductID]],Products!A:A,Products!E:E)</f>
        <v>334.95</v>
      </c>
      <c r="L169" s="5">
        <v>394.42</v>
      </c>
      <c r="M169" s="6">
        <v>0.08</v>
      </c>
      <c r="N169" t="s">
        <v>8</v>
      </c>
      <c r="O169" s="5">
        <f t="shared" si="10"/>
        <v>362.86640000000006</v>
      </c>
      <c r="P169" s="5">
        <f t="shared" si="11"/>
        <v>362.86640000000006</v>
      </c>
      <c r="Q169" s="5">
        <f>Table1[[#This Row],[Quantity]]*(Table1[[#This Row],[Saleprice]]-Table1[[#This Row],[Costprice]])</f>
        <v>27.916400000000067</v>
      </c>
      <c r="R169">
        <f t="shared" si="12"/>
        <v>2021</v>
      </c>
      <c r="S169">
        <f t="shared" si="13"/>
        <v>12</v>
      </c>
      <c r="T169" t="str">
        <f t="shared" si="14"/>
        <v>December</v>
      </c>
    </row>
    <row r="170" spans="1:20" x14ac:dyDescent="0.3">
      <c r="A170" s="3">
        <v>44554</v>
      </c>
      <c r="B170">
        <v>108</v>
      </c>
      <c r="C170" s="3">
        <f>_xlfn.XLOOKUP(B170,Stores!A:A,Stores!E:E)</f>
        <v>43961</v>
      </c>
      <c r="D170">
        <v>205</v>
      </c>
      <c r="E170" s="3">
        <f>_xlfn.XLOOKUP(D170,SalesReps!A:A,SalesReps!D:D)</f>
        <v>44473</v>
      </c>
      <c r="F170" s="3" t="str">
        <f>_xlfn.XLOOKUP(Table1[[#This Row],[RepID]],SalesReps!A:A,SalesReps!E:E)</f>
        <v>Active</v>
      </c>
      <c r="G170">
        <v>316</v>
      </c>
      <c r="H170" t="str">
        <f>_xlfn.XLOOKUP(Table1[[#This Row],[ProductID]],Products!A:A,Products!B:B)</f>
        <v>Home &amp; Kitchen</v>
      </c>
      <c r="I170" t="str">
        <f>_xlfn.XLOOKUP(Table1[[#This Row],[ProductID]],Products!A:A,Products!C:C)</f>
        <v>Furniture</v>
      </c>
      <c r="J170">
        <v>4</v>
      </c>
      <c r="K170" s="5">
        <f>_xlfn.XLOOKUP(Table1[[#This Row],[ProductID]],Products!A:A,Products!E:E)</f>
        <v>334.95</v>
      </c>
      <c r="L170" s="5">
        <v>394.42</v>
      </c>
      <c r="M170" s="6">
        <v>0.08</v>
      </c>
      <c r="N170" t="s">
        <v>8</v>
      </c>
      <c r="O170" s="5">
        <f t="shared" si="10"/>
        <v>362.86640000000006</v>
      </c>
      <c r="P170" s="5">
        <f t="shared" si="11"/>
        <v>1451.4656000000002</v>
      </c>
      <c r="Q170" s="5">
        <f>Table1[[#This Row],[Quantity]]*(Table1[[#This Row],[Saleprice]]-Table1[[#This Row],[Costprice]])</f>
        <v>111.66560000000027</v>
      </c>
      <c r="R170">
        <f t="shared" si="12"/>
        <v>2021</v>
      </c>
      <c r="S170">
        <f t="shared" si="13"/>
        <v>12</v>
      </c>
      <c r="T170" t="str">
        <f t="shared" si="14"/>
        <v>December</v>
      </c>
    </row>
    <row r="171" spans="1:20" x14ac:dyDescent="0.3">
      <c r="A171" s="3">
        <v>44554</v>
      </c>
      <c r="B171">
        <v>108</v>
      </c>
      <c r="C171" s="3">
        <f>_xlfn.XLOOKUP(B171,Stores!A:A,Stores!E:E)</f>
        <v>43961</v>
      </c>
      <c r="D171">
        <v>205</v>
      </c>
      <c r="E171" s="3">
        <f>_xlfn.XLOOKUP(D171,SalesReps!A:A,SalesReps!D:D)</f>
        <v>44473</v>
      </c>
      <c r="F171" s="3" t="str">
        <f>_xlfn.XLOOKUP(Table1[[#This Row],[RepID]],SalesReps!A:A,SalesReps!E:E)</f>
        <v>Active</v>
      </c>
      <c r="G171">
        <v>311</v>
      </c>
      <c r="H171" t="str">
        <f>_xlfn.XLOOKUP(Table1[[#This Row],[ProductID]],Products!A:A,Products!B:B)</f>
        <v>Home &amp; Kitchen</v>
      </c>
      <c r="I171" t="str">
        <f>_xlfn.XLOOKUP(Table1[[#This Row],[ProductID]],Products!A:A,Products!C:C)</f>
        <v>Furniture</v>
      </c>
      <c r="J171">
        <v>1</v>
      </c>
      <c r="K171" s="5">
        <f>_xlfn.XLOOKUP(Table1[[#This Row],[ProductID]],Products!A:A,Products!E:E)</f>
        <v>16.23</v>
      </c>
      <c r="L171" s="5">
        <v>84.99</v>
      </c>
      <c r="M171" s="6">
        <v>0.12</v>
      </c>
      <c r="N171" t="s">
        <v>8</v>
      </c>
      <c r="O171" s="5">
        <f t="shared" si="10"/>
        <v>74.791199999999989</v>
      </c>
      <c r="P171" s="5">
        <f t="shared" si="11"/>
        <v>74.791199999999989</v>
      </c>
      <c r="Q171" s="5">
        <f>Table1[[#This Row],[Quantity]]*(Table1[[#This Row],[Saleprice]]-Table1[[#This Row],[Costprice]])</f>
        <v>58.561199999999985</v>
      </c>
      <c r="R171">
        <f t="shared" si="12"/>
        <v>2021</v>
      </c>
      <c r="S171">
        <f t="shared" si="13"/>
        <v>12</v>
      </c>
      <c r="T171" t="str">
        <f t="shared" si="14"/>
        <v>December</v>
      </c>
    </row>
    <row r="172" spans="1:20" x14ac:dyDescent="0.3">
      <c r="A172" s="3">
        <v>44554</v>
      </c>
      <c r="B172">
        <v>106</v>
      </c>
      <c r="C172" s="3">
        <f>_xlfn.XLOOKUP(B172,Stores!A:A,Stores!E:E)</f>
        <v>43918</v>
      </c>
      <c r="D172">
        <v>208</v>
      </c>
      <c r="E172" s="3">
        <f>_xlfn.XLOOKUP(D172,SalesReps!A:A,SalesReps!D:D)</f>
        <v>44510</v>
      </c>
      <c r="F172" s="3" t="str">
        <f>_xlfn.XLOOKUP(Table1[[#This Row],[RepID]],SalesReps!A:A,SalesReps!E:E)</f>
        <v>Active</v>
      </c>
      <c r="G172">
        <v>314</v>
      </c>
      <c r="H172" t="str">
        <f>_xlfn.XLOOKUP(Table1[[#This Row],[ProductID]],Products!A:A,Products!B:B)</f>
        <v>Clothing</v>
      </c>
      <c r="I172" t="str">
        <f>_xlfn.XLOOKUP(Table1[[#This Row],[ProductID]],Products!A:A,Products!C:C)</f>
        <v>Kids</v>
      </c>
      <c r="J172">
        <v>9</v>
      </c>
      <c r="K172" s="5">
        <f>_xlfn.XLOOKUP(Table1[[#This Row],[ProductID]],Products!A:A,Products!E:E)</f>
        <v>276.47000000000003</v>
      </c>
      <c r="L172" s="5">
        <v>287</v>
      </c>
      <c r="M172" s="6">
        <v>0.23</v>
      </c>
      <c r="N172" t="s">
        <v>10</v>
      </c>
      <c r="O172" s="5">
        <f t="shared" si="10"/>
        <v>220.99</v>
      </c>
      <c r="P172" s="5">
        <f t="shared" si="11"/>
        <v>1988.91</v>
      </c>
      <c r="Q172" s="5">
        <f>Table1[[#This Row],[Quantity]]*(Table1[[#This Row],[Saleprice]]-Table1[[#This Row],[Costprice]])</f>
        <v>-499.32000000000016</v>
      </c>
      <c r="R172">
        <f t="shared" si="12"/>
        <v>2021</v>
      </c>
      <c r="S172">
        <f t="shared" si="13"/>
        <v>12</v>
      </c>
      <c r="T172" t="str">
        <f t="shared" si="14"/>
        <v>December</v>
      </c>
    </row>
    <row r="173" spans="1:20" x14ac:dyDescent="0.3">
      <c r="A173" s="3">
        <v>44555</v>
      </c>
      <c r="B173">
        <v>108</v>
      </c>
      <c r="C173" s="3">
        <f>_xlfn.XLOOKUP(B173,Stores!A:A,Stores!E:E)</f>
        <v>43961</v>
      </c>
      <c r="D173">
        <v>205</v>
      </c>
      <c r="E173" s="3">
        <f>_xlfn.XLOOKUP(D173,SalesReps!A:A,SalesReps!D:D)</f>
        <v>44473</v>
      </c>
      <c r="F173" s="3" t="str">
        <f>_xlfn.XLOOKUP(Table1[[#This Row],[RepID]],SalesReps!A:A,SalesReps!E:E)</f>
        <v>Active</v>
      </c>
      <c r="G173">
        <v>306</v>
      </c>
      <c r="H173" t="str">
        <f>_xlfn.XLOOKUP(Table1[[#This Row],[ProductID]],Products!A:A,Products!B:B)</f>
        <v>Clothing</v>
      </c>
      <c r="I173" t="str">
        <f>_xlfn.XLOOKUP(Table1[[#This Row],[ProductID]],Products!A:A,Products!C:C)</f>
        <v>Men</v>
      </c>
      <c r="J173">
        <v>2</v>
      </c>
      <c r="K173" s="5">
        <f>_xlfn.XLOOKUP(Table1[[#This Row],[ProductID]],Products!A:A,Products!E:E)</f>
        <v>185.69</v>
      </c>
      <c r="L173" s="5">
        <v>235.37</v>
      </c>
      <c r="M173" s="6">
        <v>0.25</v>
      </c>
      <c r="N173" t="s">
        <v>8</v>
      </c>
      <c r="O173" s="5">
        <f t="shared" si="10"/>
        <v>176.5275</v>
      </c>
      <c r="P173" s="5">
        <f t="shared" si="11"/>
        <v>353.05500000000001</v>
      </c>
      <c r="Q173" s="5">
        <f>Table1[[#This Row],[Quantity]]*(Table1[[#This Row],[Saleprice]]-Table1[[#This Row],[Costprice]])</f>
        <v>-18.324999999999989</v>
      </c>
      <c r="R173">
        <f t="shared" si="12"/>
        <v>2021</v>
      </c>
      <c r="S173">
        <f t="shared" si="13"/>
        <v>12</v>
      </c>
      <c r="T173" t="str">
        <f t="shared" si="14"/>
        <v>December</v>
      </c>
    </row>
    <row r="174" spans="1:20" x14ac:dyDescent="0.3">
      <c r="A174" s="3">
        <v>44557</v>
      </c>
      <c r="B174">
        <v>108</v>
      </c>
      <c r="C174" s="3">
        <f>_xlfn.XLOOKUP(B174,Stores!A:A,Stores!E:E)</f>
        <v>43961</v>
      </c>
      <c r="D174">
        <v>205</v>
      </c>
      <c r="E174" s="3">
        <f>_xlfn.XLOOKUP(D174,SalesReps!A:A,SalesReps!D:D)</f>
        <v>44473</v>
      </c>
      <c r="F174" s="3" t="str">
        <f>_xlfn.XLOOKUP(Table1[[#This Row],[RepID]],SalesReps!A:A,SalesReps!E:E)</f>
        <v>Active</v>
      </c>
      <c r="G174">
        <v>302</v>
      </c>
      <c r="H174" t="str">
        <f>_xlfn.XLOOKUP(Table1[[#This Row],[ProductID]],Products!A:A,Products!B:B)</f>
        <v>Toys</v>
      </c>
      <c r="I174" t="str">
        <f>_xlfn.XLOOKUP(Table1[[#This Row],[ProductID]],Products!A:A,Products!C:C)</f>
        <v>Outdoor</v>
      </c>
      <c r="J174">
        <v>5</v>
      </c>
      <c r="K174" s="5">
        <f>_xlfn.XLOOKUP(Table1[[#This Row],[ProductID]],Products!A:A,Products!E:E)</f>
        <v>393.46</v>
      </c>
      <c r="L174" s="5">
        <v>479.21</v>
      </c>
      <c r="M174" s="6">
        <v>0.14000000000000001</v>
      </c>
      <c r="N174" t="s">
        <v>8</v>
      </c>
      <c r="O174" s="5">
        <f t="shared" si="10"/>
        <v>412.12059999999997</v>
      </c>
      <c r="P174" s="5">
        <f t="shared" si="11"/>
        <v>2060.6030000000001</v>
      </c>
      <c r="Q174" s="5">
        <f>Table1[[#This Row],[Quantity]]*(Table1[[#This Row],[Saleprice]]-Table1[[#This Row],[Costprice]])</f>
        <v>93.30299999999994</v>
      </c>
      <c r="R174">
        <f t="shared" si="12"/>
        <v>2021</v>
      </c>
      <c r="S174">
        <f t="shared" si="13"/>
        <v>12</v>
      </c>
      <c r="T174" t="str">
        <f t="shared" si="14"/>
        <v>December</v>
      </c>
    </row>
    <row r="175" spans="1:20" x14ac:dyDescent="0.3">
      <c r="A175" s="3">
        <v>44560</v>
      </c>
      <c r="B175">
        <v>106</v>
      </c>
      <c r="C175" s="3">
        <f>_xlfn.XLOOKUP(B175,Stores!A:A,Stores!E:E)</f>
        <v>43918</v>
      </c>
      <c r="D175">
        <v>208</v>
      </c>
      <c r="E175" s="3">
        <f>_xlfn.XLOOKUP(D175,SalesReps!A:A,SalesReps!D:D)</f>
        <v>44510</v>
      </c>
      <c r="F175" s="3" t="str">
        <f>_xlfn.XLOOKUP(Table1[[#This Row],[RepID]],SalesReps!A:A,SalesReps!E:E)</f>
        <v>Active</v>
      </c>
      <c r="G175">
        <v>301</v>
      </c>
      <c r="H175" t="str">
        <f>_xlfn.XLOOKUP(Table1[[#This Row],[ProductID]],Products!A:A,Products!B:B)</f>
        <v>Electronics</v>
      </c>
      <c r="I175" t="str">
        <f>_xlfn.XLOOKUP(Table1[[#This Row],[ProductID]],Products!A:A,Products!C:C)</f>
        <v>Mobiles</v>
      </c>
      <c r="J175">
        <v>3</v>
      </c>
      <c r="K175" s="5">
        <f>_xlfn.XLOOKUP(Table1[[#This Row],[ProductID]],Products!A:A,Products!E:E)</f>
        <v>159.16</v>
      </c>
      <c r="L175" s="5">
        <v>218.35</v>
      </c>
      <c r="M175" s="6">
        <v>0.15</v>
      </c>
      <c r="N175" t="s">
        <v>10</v>
      </c>
      <c r="O175" s="5">
        <f t="shared" si="10"/>
        <v>185.5975</v>
      </c>
      <c r="P175" s="5">
        <f t="shared" si="11"/>
        <v>556.79250000000002</v>
      </c>
      <c r="Q175" s="5">
        <f>Table1[[#This Row],[Quantity]]*(Table1[[#This Row],[Saleprice]]-Table1[[#This Row],[Costprice]])</f>
        <v>79.3125</v>
      </c>
      <c r="R175">
        <f t="shared" si="12"/>
        <v>2021</v>
      </c>
      <c r="S175">
        <f t="shared" si="13"/>
        <v>12</v>
      </c>
      <c r="T175" t="str">
        <f t="shared" si="14"/>
        <v>December</v>
      </c>
    </row>
    <row r="176" spans="1:20" x14ac:dyDescent="0.3">
      <c r="A176" s="3">
        <v>44560</v>
      </c>
      <c r="B176">
        <v>108</v>
      </c>
      <c r="C176" s="3">
        <f>_xlfn.XLOOKUP(B176,Stores!A:A,Stores!E:E)</f>
        <v>43961</v>
      </c>
      <c r="D176">
        <v>205</v>
      </c>
      <c r="E176" s="3">
        <f>_xlfn.XLOOKUP(D176,SalesReps!A:A,SalesReps!D:D)</f>
        <v>44473</v>
      </c>
      <c r="F176" s="3" t="str">
        <f>_xlfn.XLOOKUP(Table1[[#This Row],[RepID]],SalesReps!A:A,SalesReps!E:E)</f>
        <v>Active</v>
      </c>
      <c r="G176">
        <v>311</v>
      </c>
      <c r="H176" t="str">
        <f>_xlfn.XLOOKUP(Table1[[#This Row],[ProductID]],Products!A:A,Products!B:B)</f>
        <v>Home &amp; Kitchen</v>
      </c>
      <c r="I176" t="str">
        <f>_xlfn.XLOOKUP(Table1[[#This Row],[ProductID]],Products!A:A,Products!C:C)</f>
        <v>Furniture</v>
      </c>
      <c r="J176">
        <v>2</v>
      </c>
      <c r="K176" s="5">
        <f>_xlfn.XLOOKUP(Table1[[#This Row],[ProductID]],Products!A:A,Products!E:E)</f>
        <v>16.23</v>
      </c>
      <c r="L176" s="5">
        <v>84.99</v>
      </c>
      <c r="M176" s="6">
        <v>0.12</v>
      </c>
      <c r="N176" t="s">
        <v>8</v>
      </c>
      <c r="O176" s="5">
        <f t="shared" si="10"/>
        <v>74.791199999999989</v>
      </c>
      <c r="P176" s="5">
        <f t="shared" si="11"/>
        <v>149.58239999999998</v>
      </c>
      <c r="Q176" s="5">
        <f>Table1[[#This Row],[Quantity]]*(Table1[[#This Row],[Saleprice]]-Table1[[#This Row],[Costprice]])</f>
        <v>117.12239999999997</v>
      </c>
      <c r="R176">
        <f t="shared" si="12"/>
        <v>2021</v>
      </c>
      <c r="S176">
        <f t="shared" si="13"/>
        <v>12</v>
      </c>
      <c r="T176" t="str">
        <f t="shared" si="14"/>
        <v>December</v>
      </c>
    </row>
    <row r="177" spans="1:20" x14ac:dyDescent="0.3">
      <c r="A177" s="3">
        <v>44561</v>
      </c>
      <c r="B177">
        <v>106</v>
      </c>
      <c r="C177" s="3">
        <f>_xlfn.XLOOKUP(B177,Stores!A:A,Stores!E:E)</f>
        <v>43918</v>
      </c>
      <c r="D177">
        <v>208</v>
      </c>
      <c r="E177" s="3">
        <f>_xlfn.XLOOKUP(D177,SalesReps!A:A,SalesReps!D:D)</f>
        <v>44510</v>
      </c>
      <c r="F177" s="3" t="str">
        <f>_xlfn.XLOOKUP(Table1[[#This Row],[RepID]],SalesReps!A:A,SalesReps!E:E)</f>
        <v>Active</v>
      </c>
      <c r="G177">
        <v>312</v>
      </c>
      <c r="H177" t="str">
        <f>_xlfn.XLOOKUP(Table1[[#This Row],[ProductID]],Products!A:A,Products!B:B)</f>
        <v>Toys</v>
      </c>
      <c r="I177" t="str">
        <f>_xlfn.XLOOKUP(Table1[[#This Row],[ProductID]],Products!A:A,Products!C:C)</f>
        <v>Board Games</v>
      </c>
      <c r="J177">
        <v>9</v>
      </c>
      <c r="K177" s="5">
        <f>_xlfn.XLOOKUP(Table1[[#This Row],[ProductID]],Products!A:A,Products!E:E)</f>
        <v>100.05</v>
      </c>
      <c r="L177" s="5">
        <v>123.51</v>
      </c>
      <c r="M177" s="6">
        <v>0.06</v>
      </c>
      <c r="N177" t="s">
        <v>10</v>
      </c>
      <c r="O177" s="5">
        <f t="shared" si="10"/>
        <v>116.0994</v>
      </c>
      <c r="P177" s="5">
        <f t="shared" si="11"/>
        <v>1044.8946000000001</v>
      </c>
      <c r="Q177" s="5">
        <f>Table1[[#This Row],[Quantity]]*(Table1[[#This Row],[Saleprice]]-Table1[[#This Row],[Costprice]])</f>
        <v>144.44460000000004</v>
      </c>
      <c r="R177">
        <f t="shared" si="12"/>
        <v>2021</v>
      </c>
      <c r="S177">
        <f t="shared" si="13"/>
        <v>12</v>
      </c>
      <c r="T177" t="str">
        <f t="shared" si="14"/>
        <v>December</v>
      </c>
    </row>
    <row r="178" spans="1:20" x14ac:dyDescent="0.3">
      <c r="A178" s="3">
        <v>44561</v>
      </c>
      <c r="B178">
        <v>108</v>
      </c>
      <c r="C178" s="3">
        <f>_xlfn.XLOOKUP(B178,Stores!A:A,Stores!E:E)</f>
        <v>43961</v>
      </c>
      <c r="D178">
        <v>205</v>
      </c>
      <c r="E178" s="3">
        <f>_xlfn.XLOOKUP(D178,SalesReps!A:A,SalesReps!D:D)</f>
        <v>44473</v>
      </c>
      <c r="F178" s="3" t="str">
        <f>_xlfn.XLOOKUP(Table1[[#This Row],[RepID]],SalesReps!A:A,SalesReps!E:E)</f>
        <v>Active</v>
      </c>
      <c r="G178">
        <v>318</v>
      </c>
      <c r="H178" t="str">
        <f>_xlfn.XLOOKUP(Table1[[#This Row],[ProductID]],Products!A:A,Products!B:B)</f>
        <v>Electronics</v>
      </c>
      <c r="I178" t="str">
        <f>_xlfn.XLOOKUP(Table1[[#This Row],[ProductID]],Products!A:A,Products!C:C)</f>
        <v>Mobiles</v>
      </c>
      <c r="J178">
        <v>6</v>
      </c>
      <c r="K178" s="5">
        <f>_xlfn.XLOOKUP(Table1[[#This Row],[ProductID]],Products!A:A,Products!E:E)</f>
        <v>162.51</v>
      </c>
      <c r="L178" s="5">
        <v>203.39</v>
      </c>
      <c r="M178" s="6">
        <v>0.16</v>
      </c>
      <c r="N178" t="s">
        <v>8</v>
      </c>
      <c r="O178" s="5">
        <f t="shared" si="10"/>
        <v>170.84759999999997</v>
      </c>
      <c r="P178" s="5">
        <f t="shared" si="11"/>
        <v>1025.0855999999999</v>
      </c>
      <c r="Q178" s="5">
        <f>Table1[[#This Row],[Quantity]]*(Table1[[#This Row],[Saleprice]]-Table1[[#This Row],[Costprice]])</f>
        <v>50.025599999999883</v>
      </c>
      <c r="R178">
        <f t="shared" si="12"/>
        <v>2021</v>
      </c>
      <c r="S178">
        <f t="shared" si="13"/>
        <v>12</v>
      </c>
      <c r="T178" t="str">
        <f t="shared" si="14"/>
        <v>December</v>
      </c>
    </row>
    <row r="179" spans="1:20" x14ac:dyDescent="0.3">
      <c r="A179" s="3">
        <v>44561</v>
      </c>
      <c r="B179">
        <v>108</v>
      </c>
      <c r="C179" s="3">
        <f>_xlfn.XLOOKUP(B179,Stores!A:A,Stores!E:E)</f>
        <v>43961</v>
      </c>
      <c r="D179">
        <v>205</v>
      </c>
      <c r="E179" s="3">
        <f>_xlfn.XLOOKUP(D179,SalesReps!A:A,SalesReps!D:D)</f>
        <v>44473</v>
      </c>
      <c r="F179" s="3" t="str">
        <f>_xlfn.XLOOKUP(Table1[[#This Row],[RepID]],SalesReps!A:A,SalesReps!E:E)</f>
        <v>Active</v>
      </c>
      <c r="G179">
        <v>315</v>
      </c>
      <c r="H179" t="str">
        <f>_xlfn.XLOOKUP(Table1[[#This Row],[ProductID]],Products!A:A,Products!B:B)</f>
        <v>Toys</v>
      </c>
      <c r="I179" t="str">
        <f>_xlfn.XLOOKUP(Table1[[#This Row],[ProductID]],Products!A:A,Products!C:C)</f>
        <v>Board Games</v>
      </c>
      <c r="J179">
        <v>9</v>
      </c>
      <c r="K179" s="5">
        <f>_xlfn.XLOOKUP(Table1[[#This Row],[ProductID]],Products!A:A,Products!E:E)</f>
        <v>247.9</v>
      </c>
      <c r="L179" s="5">
        <v>329.56</v>
      </c>
      <c r="M179" s="6">
        <v>0.12</v>
      </c>
      <c r="N179" t="s">
        <v>8</v>
      </c>
      <c r="O179" s="5">
        <f t="shared" si="10"/>
        <v>290.01280000000003</v>
      </c>
      <c r="P179" s="5">
        <f t="shared" si="11"/>
        <v>2610.1152000000002</v>
      </c>
      <c r="Q179" s="5">
        <f>Table1[[#This Row],[Quantity]]*(Table1[[#This Row],[Saleprice]]-Table1[[#This Row],[Costprice]])</f>
        <v>379.01520000000016</v>
      </c>
      <c r="R179">
        <f t="shared" si="12"/>
        <v>2021</v>
      </c>
      <c r="S179">
        <f t="shared" si="13"/>
        <v>12</v>
      </c>
      <c r="T179" t="str">
        <f t="shared" si="14"/>
        <v>December</v>
      </c>
    </row>
    <row r="180" spans="1:20" x14ac:dyDescent="0.3">
      <c r="A180" s="3">
        <v>44561</v>
      </c>
      <c r="B180">
        <v>108</v>
      </c>
      <c r="C180" s="3">
        <f>_xlfn.XLOOKUP(B180,Stores!A:A,Stores!E:E)</f>
        <v>43961</v>
      </c>
      <c r="D180">
        <v>205</v>
      </c>
      <c r="E180" s="3">
        <f>_xlfn.XLOOKUP(D180,SalesReps!A:A,SalesReps!D:D)</f>
        <v>44473</v>
      </c>
      <c r="F180" s="3" t="str">
        <f>_xlfn.XLOOKUP(Table1[[#This Row],[RepID]],SalesReps!A:A,SalesReps!E:E)</f>
        <v>Active</v>
      </c>
      <c r="G180">
        <v>311</v>
      </c>
      <c r="H180" t="str">
        <f>_xlfn.XLOOKUP(Table1[[#This Row],[ProductID]],Products!A:A,Products!B:B)</f>
        <v>Home &amp; Kitchen</v>
      </c>
      <c r="I180" t="str">
        <f>_xlfn.XLOOKUP(Table1[[#This Row],[ProductID]],Products!A:A,Products!C:C)</f>
        <v>Furniture</v>
      </c>
      <c r="J180">
        <v>7</v>
      </c>
      <c r="K180" s="5">
        <f>_xlfn.XLOOKUP(Table1[[#This Row],[ProductID]],Products!A:A,Products!E:E)</f>
        <v>16.23</v>
      </c>
      <c r="L180" s="5">
        <v>84.99</v>
      </c>
      <c r="M180" s="6">
        <v>0.12</v>
      </c>
      <c r="N180" t="s">
        <v>8</v>
      </c>
      <c r="O180" s="5">
        <f t="shared" si="10"/>
        <v>74.791199999999989</v>
      </c>
      <c r="P180" s="5">
        <f t="shared" si="11"/>
        <v>523.53839999999991</v>
      </c>
      <c r="Q180" s="5">
        <f>Table1[[#This Row],[Quantity]]*(Table1[[#This Row],[Saleprice]]-Table1[[#This Row],[Costprice]])</f>
        <v>409.9283999999999</v>
      </c>
      <c r="R180">
        <f t="shared" si="12"/>
        <v>2021</v>
      </c>
      <c r="S180">
        <f t="shared" si="13"/>
        <v>12</v>
      </c>
      <c r="T180" t="str">
        <f t="shared" si="14"/>
        <v>December</v>
      </c>
    </row>
    <row r="181" spans="1:20" x14ac:dyDescent="0.3">
      <c r="A181" s="3">
        <v>44564</v>
      </c>
      <c r="B181">
        <v>106</v>
      </c>
      <c r="C181" s="3">
        <f>_xlfn.XLOOKUP(B181,Stores!A:A,Stores!E:E)</f>
        <v>43918</v>
      </c>
      <c r="D181">
        <v>208</v>
      </c>
      <c r="E181" s="3">
        <f>_xlfn.XLOOKUP(D181,SalesReps!A:A,SalesReps!D:D)</f>
        <v>44510</v>
      </c>
      <c r="F181" s="3" t="str">
        <f>_xlfn.XLOOKUP(Table1[[#This Row],[RepID]],SalesReps!A:A,SalesReps!E:E)</f>
        <v>Active</v>
      </c>
      <c r="G181">
        <v>319</v>
      </c>
      <c r="H181" t="str">
        <f>_xlfn.XLOOKUP(Table1[[#This Row],[ProductID]],Products!A:A,Products!B:B)</f>
        <v>Toys</v>
      </c>
      <c r="I181" t="str">
        <f>_xlfn.XLOOKUP(Table1[[#This Row],[ProductID]],Products!A:A,Products!C:C)</f>
        <v>Board Games</v>
      </c>
      <c r="J181">
        <v>6</v>
      </c>
      <c r="K181" s="5">
        <f>_xlfn.XLOOKUP(Table1[[#This Row],[ProductID]],Products!A:A,Products!E:E)</f>
        <v>81.069999999999993</v>
      </c>
      <c r="L181" s="5">
        <v>143.30000000000001</v>
      </c>
      <c r="M181" s="6">
        <v>0.16</v>
      </c>
      <c r="N181" t="s">
        <v>10</v>
      </c>
      <c r="O181" s="5">
        <f t="shared" si="10"/>
        <v>120.372</v>
      </c>
      <c r="P181" s="5">
        <f t="shared" si="11"/>
        <v>722.23199999999997</v>
      </c>
      <c r="Q181" s="5">
        <f>Table1[[#This Row],[Quantity]]*(Table1[[#This Row],[Saleprice]]-Table1[[#This Row],[Costprice]])</f>
        <v>235.81200000000004</v>
      </c>
      <c r="R181">
        <f t="shared" si="12"/>
        <v>2022</v>
      </c>
      <c r="S181">
        <f t="shared" si="13"/>
        <v>1</v>
      </c>
      <c r="T181" t="str">
        <f t="shared" si="14"/>
        <v>January</v>
      </c>
    </row>
    <row r="182" spans="1:20" x14ac:dyDescent="0.3">
      <c r="A182" s="3">
        <v>44564</v>
      </c>
      <c r="B182">
        <v>106</v>
      </c>
      <c r="C182" s="3">
        <f>_xlfn.XLOOKUP(B182,Stores!A:A,Stores!E:E)</f>
        <v>43918</v>
      </c>
      <c r="D182">
        <v>208</v>
      </c>
      <c r="E182" s="3">
        <f>_xlfn.XLOOKUP(D182,SalesReps!A:A,SalesReps!D:D)</f>
        <v>44510</v>
      </c>
      <c r="F182" s="3" t="str">
        <f>_xlfn.XLOOKUP(Table1[[#This Row],[RepID]],SalesReps!A:A,SalesReps!E:E)</f>
        <v>Active</v>
      </c>
      <c r="G182">
        <v>303</v>
      </c>
      <c r="H182" t="str">
        <f>_xlfn.XLOOKUP(Table1[[#This Row],[ProductID]],Products!A:A,Products!B:B)</f>
        <v>Home &amp; Kitchen</v>
      </c>
      <c r="I182" t="str">
        <f>_xlfn.XLOOKUP(Table1[[#This Row],[ProductID]],Products!A:A,Products!C:C)</f>
        <v>Furniture</v>
      </c>
      <c r="J182">
        <v>7</v>
      </c>
      <c r="K182" s="5">
        <f>_xlfn.XLOOKUP(Table1[[#This Row],[ProductID]],Products!A:A,Products!E:E)</f>
        <v>192.04</v>
      </c>
      <c r="L182" s="5">
        <v>264.55</v>
      </c>
      <c r="M182" s="6">
        <v>7.0000000000000007E-2</v>
      </c>
      <c r="N182" t="s">
        <v>10</v>
      </c>
      <c r="O182" s="5">
        <f t="shared" si="10"/>
        <v>246.03149999999999</v>
      </c>
      <c r="P182" s="5">
        <f t="shared" si="11"/>
        <v>1722.2204999999999</v>
      </c>
      <c r="Q182" s="5">
        <f>Table1[[#This Row],[Quantity]]*(Table1[[#This Row],[Saleprice]]-Table1[[#This Row],[Costprice]])</f>
        <v>377.94050000000004</v>
      </c>
      <c r="R182">
        <f t="shared" si="12"/>
        <v>2022</v>
      </c>
      <c r="S182">
        <f t="shared" si="13"/>
        <v>1</v>
      </c>
      <c r="T182" t="str">
        <f t="shared" si="14"/>
        <v>January</v>
      </c>
    </row>
    <row r="183" spans="1:20" x14ac:dyDescent="0.3">
      <c r="A183" s="3">
        <v>44572</v>
      </c>
      <c r="B183">
        <v>106</v>
      </c>
      <c r="C183" s="3">
        <f>_xlfn.XLOOKUP(B183,Stores!A:A,Stores!E:E)</f>
        <v>43918</v>
      </c>
      <c r="D183">
        <v>208</v>
      </c>
      <c r="E183" s="3">
        <f>_xlfn.XLOOKUP(D183,SalesReps!A:A,SalesReps!D:D)</f>
        <v>44510</v>
      </c>
      <c r="F183" s="3" t="str">
        <f>_xlfn.XLOOKUP(Table1[[#This Row],[RepID]],SalesReps!A:A,SalesReps!E:E)</f>
        <v>Active</v>
      </c>
      <c r="G183">
        <v>303</v>
      </c>
      <c r="H183" t="str">
        <f>_xlfn.XLOOKUP(Table1[[#This Row],[ProductID]],Products!A:A,Products!B:B)</f>
        <v>Home &amp; Kitchen</v>
      </c>
      <c r="I183" t="str">
        <f>_xlfn.XLOOKUP(Table1[[#This Row],[ProductID]],Products!A:A,Products!C:C)</f>
        <v>Furniture</v>
      </c>
      <c r="J183">
        <v>8</v>
      </c>
      <c r="K183" s="5">
        <f>_xlfn.XLOOKUP(Table1[[#This Row],[ProductID]],Products!A:A,Products!E:E)</f>
        <v>192.04</v>
      </c>
      <c r="L183" s="5">
        <v>264.55</v>
      </c>
      <c r="M183" s="6">
        <v>7.0000000000000007E-2</v>
      </c>
      <c r="N183" t="s">
        <v>10</v>
      </c>
      <c r="O183" s="5">
        <f t="shared" si="10"/>
        <v>246.03149999999999</v>
      </c>
      <c r="P183" s="5">
        <f t="shared" si="11"/>
        <v>1968.252</v>
      </c>
      <c r="Q183" s="5">
        <f>Table1[[#This Row],[Quantity]]*(Table1[[#This Row],[Saleprice]]-Table1[[#This Row],[Costprice]])</f>
        <v>431.93200000000002</v>
      </c>
      <c r="R183">
        <f t="shared" si="12"/>
        <v>2022</v>
      </c>
      <c r="S183">
        <f t="shared" si="13"/>
        <v>1</v>
      </c>
      <c r="T183" t="str">
        <f t="shared" si="14"/>
        <v>January</v>
      </c>
    </row>
    <row r="184" spans="1:20" x14ac:dyDescent="0.3">
      <c r="A184" s="3">
        <v>44577</v>
      </c>
      <c r="B184">
        <v>106</v>
      </c>
      <c r="C184" s="3">
        <f>_xlfn.XLOOKUP(B184,Stores!A:A,Stores!E:E)</f>
        <v>43918</v>
      </c>
      <c r="D184">
        <v>208</v>
      </c>
      <c r="E184" s="3">
        <f>_xlfn.XLOOKUP(D184,SalesReps!A:A,SalesReps!D:D)</f>
        <v>44510</v>
      </c>
      <c r="F184" s="3" t="str">
        <f>_xlfn.XLOOKUP(Table1[[#This Row],[RepID]],SalesReps!A:A,SalesReps!E:E)</f>
        <v>Active</v>
      </c>
      <c r="G184">
        <v>305</v>
      </c>
      <c r="H184" t="str">
        <f>_xlfn.XLOOKUP(Table1[[#This Row],[ProductID]],Products!A:A,Products!B:B)</f>
        <v>Electronics</v>
      </c>
      <c r="I184" t="str">
        <f>_xlfn.XLOOKUP(Table1[[#This Row],[ProductID]],Products!A:A,Products!C:C)</f>
        <v>Accessories</v>
      </c>
      <c r="J184">
        <v>7</v>
      </c>
      <c r="K184" s="5">
        <f>_xlfn.XLOOKUP(Table1[[#This Row],[ProductID]],Products!A:A,Products!E:E)</f>
        <v>275.32</v>
      </c>
      <c r="L184" s="5">
        <v>333.34</v>
      </c>
      <c r="M184" s="6">
        <v>0.13</v>
      </c>
      <c r="N184" t="s">
        <v>10</v>
      </c>
      <c r="O184" s="5">
        <f t="shared" si="10"/>
        <v>290.00579999999997</v>
      </c>
      <c r="P184" s="5">
        <f t="shared" si="11"/>
        <v>2030.0405999999998</v>
      </c>
      <c r="Q184" s="5">
        <f>Table1[[#This Row],[Quantity]]*(Table1[[#This Row],[Saleprice]]-Table1[[#This Row],[Costprice]])</f>
        <v>102.8005999999998</v>
      </c>
      <c r="R184">
        <f t="shared" si="12"/>
        <v>2022</v>
      </c>
      <c r="S184">
        <f t="shared" si="13"/>
        <v>1</v>
      </c>
      <c r="T184" t="str">
        <f t="shared" si="14"/>
        <v>January</v>
      </c>
    </row>
    <row r="185" spans="1:20" x14ac:dyDescent="0.3">
      <c r="A185" s="3">
        <v>44599</v>
      </c>
      <c r="B185">
        <v>106</v>
      </c>
      <c r="C185" s="3">
        <f>_xlfn.XLOOKUP(B185,Stores!A:A,Stores!E:E)</f>
        <v>43918</v>
      </c>
      <c r="D185">
        <v>208</v>
      </c>
      <c r="E185" s="3">
        <f>_xlfn.XLOOKUP(D185,SalesReps!A:A,SalesReps!D:D)</f>
        <v>44510</v>
      </c>
      <c r="F185" s="3" t="str">
        <f>_xlfn.XLOOKUP(Table1[[#This Row],[RepID]],SalesReps!A:A,SalesReps!E:E)</f>
        <v>Active</v>
      </c>
      <c r="G185">
        <v>318</v>
      </c>
      <c r="H185" t="str">
        <f>_xlfn.XLOOKUP(Table1[[#This Row],[ProductID]],Products!A:A,Products!B:B)</f>
        <v>Electronics</v>
      </c>
      <c r="I185" t="str">
        <f>_xlfn.XLOOKUP(Table1[[#This Row],[ProductID]],Products!A:A,Products!C:C)</f>
        <v>Mobiles</v>
      </c>
      <c r="J185">
        <v>3</v>
      </c>
      <c r="K185" s="5">
        <f>_xlfn.XLOOKUP(Table1[[#This Row],[ProductID]],Products!A:A,Products!E:E)</f>
        <v>162.51</v>
      </c>
      <c r="L185" s="5">
        <v>190.18</v>
      </c>
      <c r="M185" s="6">
        <v>0.19</v>
      </c>
      <c r="N185" t="s">
        <v>10</v>
      </c>
      <c r="O185" s="5">
        <f t="shared" si="10"/>
        <v>154.04580000000001</v>
      </c>
      <c r="P185" s="5">
        <f t="shared" si="11"/>
        <v>462.13740000000007</v>
      </c>
      <c r="Q185" s="5">
        <f>Table1[[#This Row],[Quantity]]*(Table1[[#This Row],[Saleprice]]-Table1[[#This Row],[Costprice]])</f>
        <v>-25.392599999999931</v>
      </c>
      <c r="R185">
        <f t="shared" si="12"/>
        <v>2022</v>
      </c>
      <c r="S185">
        <f t="shared" si="13"/>
        <v>2</v>
      </c>
      <c r="T185" t="str">
        <f t="shared" si="14"/>
        <v>February</v>
      </c>
    </row>
    <row r="186" spans="1:20" x14ac:dyDescent="0.3">
      <c r="A186" s="3">
        <v>44601</v>
      </c>
      <c r="B186">
        <v>109</v>
      </c>
      <c r="C186" s="3">
        <f>_xlfn.XLOOKUP(B186,Stores!A:A,Stores!E:E)</f>
        <v>44600</v>
      </c>
      <c r="D186">
        <v>204</v>
      </c>
      <c r="E186" s="3">
        <f>_xlfn.XLOOKUP(D186,SalesReps!A:A,SalesReps!D:D)</f>
        <v>44388</v>
      </c>
      <c r="F186" s="3" t="str">
        <f>_xlfn.XLOOKUP(Table1[[#This Row],[RepID]],SalesReps!A:A,SalesReps!E:E)</f>
        <v>Active</v>
      </c>
      <c r="G186">
        <v>314</v>
      </c>
      <c r="H186" t="str">
        <f>_xlfn.XLOOKUP(Table1[[#This Row],[ProductID]],Products!A:A,Products!B:B)</f>
        <v>Clothing</v>
      </c>
      <c r="I186" t="str">
        <f>_xlfn.XLOOKUP(Table1[[#This Row],[ProductID]],Products!A:A,Products!C:C)</f>
        <v>Kids</v>
      </c>
      <c r="J186">
        <v>5</v>
      </c>
      <c r="K186" s="5">
        <f>_xlfn.XLOOKUP(Table1[[#This Row],[ProductID]],Products!A:A,Products!E:E)</f>
        <v>276.47000000000003</v>
      </c>
      <c r="L186" s="5">
        <v>370.26</v>
      </c>
      <c r="M186" s="6">
        <v>0.18</v>
      </c>
      <c r="N186" t="s">
        <v>11</v>
      </c>
      <c r="O186" s="5">
        <f t="shared" si="10"/>
        <v>303.61320000000001</v>
      </c>
      <c r="P186" s="5">
        <f t="shared" si="11"/>
        <v>1518.066</v>
      </c>
      <c r="Q186" s="5">
        <f>Table1[[#This Row],[Quantity]]*(Table1[[#This Row],[Saleprice]]-Table1[[#This Row],[Costprice]])</f>
        <v>135.71599999999989</v>
      </c>
      <c r="R186">
        <f t="shared" si="12"/>
        <v>2022</v>
      </c>
      <c r="S186">
        <f t="shared" si="13"/>
        <v>2</v>
      </c>
      <c r="T186" t="str">
        <f t="shared" si="14"/>
        <v>February</v>
      </c>
    </row>
    <row r="187" spans="1:20" x14ac:dyDescent="0.3">
      <c r="A187" s="3">
        <v>44602</v>
      </c>
      <c r="B187">
        <v>109</v>
      </c>
      <c r="C187" s="3">
        <f>_xlfn.XLOOKUP(B187,Stores!A:A,Stores!E:E)</f>
        <v>44600</v>
      </c>
      <c r="D187">
        <v>204</v>
      </c>
      <c r="E187" s="3">
        <f>_xlfn.XLOOKUP(D187,SalesReps!A:A,SalesReps!D:D)</f>
        <v>44388</v>
      </c>
      <c r="F187" s="3" t="str">
        <f>_xlfn.XLOOKUP(Table1[[#This Row],[RepID]],SalesReps!A:A,SalesReps!E:E)</f>
        <v>Active</v>
      </c>
      <c r="G187">
        <v>318</v>
      </c>
      <c r="H187" t="str">
        <f>_xlfn.XLOOKUP(Table1[[#This Row],[ProductID]],Products!A:A,Products!B:B)</f>
        <v>Electronics</v>
      </c>
      <c r="I187" t="str">
        <f>_xlfn.XLOOKUP(Table1[[#This Row],[ProductID]],Products!A:A,Products!C:C)</f>
        <v>Mobiles</v>
      </c>
      <c r="J187">
        <v>1</v>
      </c>
      <c r="K187" s="5">
        <f>_xlfn.XLOOKUP(Table1[[#This Row],[ProductID]],Products!A:A,Products!E:E)</f>
        <v>162.51</v>
      </c>
      <c r="L187" s="5">
        <v>214.68</v>
      </c>
      <c r="M187" s="6">
        <v>0.13</v>
      </c>
      <c r="N187" t="s">
        <v>11</v>
      </c>
      <c r="O187" s="5">
        <f t="shared" si="10"/>
        <v>186.77160000000001</v>
      </c>
      <c r="P187" s="5">
        <f t="shared" si="11"/>
        <v>186.77160000000001</v>
      </c>
      <c r="Q187" s="5">
        <f>Table1[[#This Row],[Quantity]]*(Table1[[#This Row],[Saleprice]]-Table1[[#This Row],[Costprice]])</f>
        <v>24.261600000000016</v>
      </c>
      <c r="R187">
        <f t="shared" si="12"/>
        <v>2022</v>
      </c>
      <c r="S187">
        <f t="shared" si="13"/>
        <v>2</v>
      </c>
      <c r="T187" t="str">
        <f t="shared" si="14"/>
        <v>February</v>
      </c>
    </row>
    <row r="188" spans="1:20" x14ac:dyDescent="0.3">
      <c r="A188" s="3">
        <v>44604</v>
      </c>
      <c r="B188">
        <v>109</v>
      </c>
      <c r="C188" s="3">
        <f>_xlfn.XLOOKUP(B188,Stores!A:A,Stores!E:E)</f>
        <v>44600</v>
      </c>
      <c r="D188">
        <v>204</v>
      </c>
      <c r="E188" s="3">
        <f>_xlfn.XLOOKUP(D188,SalesReps!A:A,SalesReps!D:D)</f>
        <v>44388</v>
      </c>
      <c r="F188" s="3" t="str">
        <f>_xlfn.XLOOKUP(Table1[[#This Row],[RepID]],SalesReps!A:A,SalesReps!E:E)</f>
        <v>Active</v>
      </c>
      <c r="G188">
        <v>313</v>
      </c>
      <c r="H188" t="str">
        <f>_xlfn.XLOOKUP(Table1[[#This Row],[ProductID]],Products!A:A,Products!B:B)</f>
        <v>Clothing</v>
      </c>
      <c r="I188" t="str">
        <f>_xlfn.XLOOKUP(Table1[[#This Row],[ProductID]],Products!A:A,Products!C:C)</f>
        <v>Women</v>
      </c>
      <c r="J188">
        <v>4</v>
      </c>
      <c r="K188" s="5">
        <f>_xlfn.XLOOKUP(Table1[[#This Row],[ProductID]],Products!A:A,Products!E:E)</f>
        <v>104</v>
      </c>
      <c r="L188" s="5">
        <v>175.45</v>
      </c>
      <c r="M188" s="6">
        <v>0.08</v>
      </c>
      <c r="N188" t="s">
        <v>11</v>
      </c>
      <c r="O188" s="5">
        <f t="shared" si="10"/>
        <v>161.41399999999999</v>
      </c>
      <c r="P188" s="5">
        <f t="shared" si="11"/>
        <v>645.65599999999995</v>
      </c>
      <c r="Q188" s="5">
        <f>Table1[[#This Row],[Quantity]]*(Table1[[#This Row],[Saleprice]]-Table1[[#This Row],[Costprice]])</f>
        <v>229.65599999999995</v>
      </c>
      <c r="R188">
        <f t="shared" si="12"/>
        <v>2022</v>
      </c>
      <c r="S188">
        <f t="shared" si="13"/>
        <v>2</v>
      </c>
      <c r="T188" t="str">
        <f t="shared" si="14"/>
        <v>February</v>
      </c>
    </row>
    <row r="189" spans="1:20" x14ac:dyDescent="0.3">
      <c r="A189" s="3">
        <v>44605</v>
      </c>
      <c r="B189">
        <v>109</v>
      </c>
      <c r="C189" s="3">
        <f>_xlfn.XLOOKUP(B189,Stores!A:A,Stores!E:E)</f>
        <v>44600</v>
      </c>
      <c r="D189">
        <v>204</v>
      </c>
      <c r="E189" s="3">
        <f>_xlfn.XLOOKUP(D189,SalesReps!A:A,SalesReps!D:D)</f>
        <v>44388</v>
      </c>
      <c r="F189" s="3" t="str">
        <f>_xlfn.XLOOKUP(Table1[[#This Row],[RepID]],SalesReps!A:A,SalesReps!E:E)</f>
        <v>Active</v>
      </c>
      <c r="G189">
        <v>311</v>
      </c>
      <c r="H189" t="str">
        <f>_xlfn.XLOOKUP(Table1[[#This Row],[ProductID]],Products!A:A,Products!B:B)</f>
        <v>Home &amp; Kitchen</v>
      </c>
      <c r="I189" t="str">
        <f>_xlfn.XLOOKUP(Table1[[#This Row],[ProductID]],Products!A:A,Products!C:C)</f>
        <v>Furniture</v>
      </c>
      <c r="J189">
        <v>9</v>
      </c>
      <c r="K189" s="5">
        <f>_xlfn.XLOOKUP(Table1[[#This Row],[ProductID]],Products!A:A,Products!E:E)</f>
        <v>16.23</v>
      </c>
      <c r="L189" s="5">
        <v>45.38</v>
      </c>
      <c r="M189" s="6">
        <v>0.11</v>
      </c>
      <c r="N189" t="s">
        <v>11</v>
      </c>
      <c r="O189" s="5">
        <f t="shared" si="10"/>
        <v>40.388200000000005</v>
      </c>
      <c r="P189" s="5">
        <f t="shared" si="11"/>
        <v>363.49380000000002</v>
      </c>
      <c r="Q189" s="5">
        <f>Table1[[#This Row],[Quantity]]*(Table1[[#This Row],[Saleprice]]-Table1[[#This Row],[Costprice]])</f>
        <v>217.42380000000003</v>
      </c>
      <c r="R189">
        <f t="shared" si="12"/>
        <v>2022</v>
      </c>
      <c r="S189">
        <f t="shared" si="13"/>
        <v>2</v>
      </c>
      <c r="T189" t="str">
        <f t="shared" si="14"/>
        <v>February</v>
      </c>
    </row>
    <row r="190" spans="1:20" x14ac:dyDescent="0.3">
      <c r="A190" s="3">
        <v>44605</v>
      </c>
      <c r="B190">
        <v>109</v>
      </c>
      <c r="C190" s="3">
        <f>_xlfn.XLOOKUP(B190,Stores!A:A,Stores!E:E)</f>
        <v>44600</v>
      </c>
      <c r="D190">
        <v>204</v>
      </c>
      <c r="E190" s="3">
        <f>_xlfn.XLOOKUP(D190,SalesReps!A:A,SalesReps!D:D)</f>
        <v>44388</v>
      </c>
      <c r="F190" s="3" t="str">
        <f>_xlfn.XLOOKUP(Table1[[#This Row],[RepID]],SalesReps!A:A,SalesReps!E:E)</f>
        <v>Active</v>
      </c>
      <c r="G190">
        <v>315</v>
      </c>
      <c r="H190" t="str">
        <f>_xlfn.XLOOKUP(Table1[[#This Row],[ProductID]],Products!A:A,Products!B:B)</f>
        <v>Toys</v>
      </c>
      <c r="I190" t="str">
        <f>_xlfn.XLOOKUP(Table1[[#This Row],[ProductID]],Products!A:A,Products!C:C)</f>
        <v>Board Games</v>
      </c>
      <c r="J190">
        <v>9</v>
      </c>
      <c r="K190" s="5">
        <f>_xlfn.XLOOKUP(Table1[[#This Row],[ProductID]],Products!A:A,Products!E:E)</f>
        <v>247.9</v>
      </c>
      <c r="L190" s="5">
        <v>297.04000000000002</v>
      </c>
      <c r="M190" s="6">
        <v>0.18</v>
      </c>
      <c r="N190" t="s">
        <v>11</v>
      </c>
      <c r="O190" s="5">
        <f t="shared" si="10"/>
        <v>243.57280000000003</v>
      </c>
      <c r="P190" s="5">
        <f t="shared" si="11"/>
        <v>2192.1552000000001</v>
      </c>
      <c r="Q190" s="5">
        <f>Table1[[#This Row],[Quantity]]*(Table1[[#This Row],[Saleprice]]-Table1[[#This Row],[Costprice]])</f>
        <v>-38.944799999999788</v>
      </c>
      <c r="R190">
        <f t="shared" si="12"/>
        <v>2022</v>
      </c>
      <c r="S190">
        <f t="shared" si="13"/>
        <v>2</v>
      </c>
      <c r="T190" t="str">
        <f t="shared" si="14"/>
        <v>February</v>
      </c>
    </row>
    <row r="191" spans="1:20" x14ac:dyDescent="0.3">
      <c r="A191" s="3">
        <v>44606</v>
      </c>
      <c r="B191">
        <v>109</v>
      </c>
      <c r="C191" s="3">
        <f>_xlfn.XLOOKUP(B191,Stores!A:A,Stores!E:E)</f>
        <v>44600</v>
      </c>
      <c r="D191">
        <v>204</v>
      </c>
      <c r="E191" s="3">
        <f>_xlfn.XLOOKUP(D191,SalesReps!A:A,SalesReps!D:D)</f>
        <v>44388</v>
      </c>
      <c r="F191" s="3" t="str">
        <f>_xlfn.XLOOKUP(Table1[[#This Row],[RepID]],SalesReps!A:A,SalesReps!E:E)</f>
        <v>Active</v>
      </c>
      <c r="G191">
        <v>305</v>
      </c>
      <c r="H191" t="str">
        <f>_xlfn.XLOOKUP(Table1[[#This Row],[ProductID]],Products!A:A,Products!B:B)</f>
        <v>Electronics</v>
      </c>
      <c r="I191" t="str">
        <f>_xlfn.XLOOKUP(Table1[[#This Row],[ProductID]],Products!A:A,Products!C:C)</f>
        <v>Accessories</v>
      </c>
      <c r="J191">
        <v>4</v>
      </c>
      <c r="K191" s="5">
        <f>_xlfn.XLOOKUP(Table1[[#This Row],[ProductID]],Products!A:A,Products!E:E)</f>
        <v>275.32</v>
      </c>
      <c r="L191" s="5">
        <v>347.99</v>
      </c>
      <c r="M191" s="6">
        <v>0.08</v>
      </c>
      <c r="N191" t="s">
        <v>11</v>
      </c>
      <c r="O191" s="5">
        <f t="shared" si="10"/>
        <v>320.1508</v>
      </c>
      <c r="P191" s="5">
        <f t="shared" si="11"/>
        <v>1280.6032</v>
      </c>
      <c r="Q191" s="5">
        <f>Table1[[#This Row],[Quantity]]*(Table1[[#This Row],[Saleprice]]-Table1[[#This Row],[Costprice]])</f>
        <v>179.32320000000004</v>
      </c>
      <c r="R191">
        <f t="shared" si="12"/>
        <v>2022</v>
      </c>
      <c r="S191">
        <f t="shared" si="13"/>
        <v>2</v>
      </c>
      <c r="T191" t="str">
        <f t="shared" si="14"/>
        <v>February</v>
      </c>
    </row>
    <row r="192" spans="1:20" x14ac:dyDescent="0.3">
      <c r="A192" s="3">
        <v>44606</v>
      </c>
      <c r="B192">
        <v>109</v>
      </c>
      <c r="C192" s="3">
        <f>_xlfn.XLOOKUP(B192,Stores!A:A,Stores!E:E)</f>
        <v>44600</v>
      </c>
      <c r="D192">
        <v>204</v>
      </c>
      <c r="E192" s="3">
        <f>_xlfn.XLOOKUP(D192,SalesReps!A:A,SalesReps!D:D)</f>
        <v>44388</v>
      </c>
      <c r="F192" s="3" t="str">
        <f>_xlfn.XLOOKUP(Table1[[#This Row],[RepID]],SalesReps!A:A,SalesReps!E:E)</f>
        <v>Active</v>
      </c>
      <c r="G192">
        <v>307</v>
      </c>
      <c r="H192" t="str">
        <f>_xlfn.XLOOKUP(Table1[[#This Row],[ProductID]],Products!A:A,Products!B:B)</f>
        <v>Toys</v>
      </c>
      <c r="I192" t="str">
        <f>_xlfn.XLOOKUP(Table1[[#This Row],[ProductID]],Products!A:A,Products!C:C)</f>
        <v>Outdoor</v>
      </c>
      <c r="J192">
        <v>6</v>
      </c>
      <c r="K192" s="5">
        <f>_xlfn.XLOOKUP(Table1[[#This Row],[ProductID]],Products!A:A,Products!E:E)</f>
        <v>15.17</v>
      </c>
      <c r="L192" s="5">
        <v>71.61</v>
      </c>
      <c r="M192" s="6">
        <v>0.19</v>
      </c>
      <c r="N192" t="s">
        <v>11</v>
      </c>
      <c r="O192" s="5">
        <f t="shared" si="10"/>
        <v>58.004100000000001</v>
      </c>
      <c r="P192" s="5">
        <f t="shared" si="11"/>
        <v>348.02460000000002</v>
      </c>
      <c r="Q192" s="5">
        <f>Table1[[#This Row],[Quantity]]*(Table1[[#This Row],[Saleprice]]-Table1[[#This Row],[Costprice]])</f>
        <v>257.00459999999998</v>
      </c>
      <c r="R192">
        <f t="shared" si="12"/>
        <v>2022</v>
      </c>
      <c r="S192">
        <f t="shared" si="13"/>
        <v>2</v>
      </c>
      <c r="T192" t="str">
        <f t="shared" si="14"/>
        <v>February</v>
      </c>
    </row>
    <row r="193" spans="1:20" x14ac:dyDescent="0.3">
      <c r="A193" s="3">
        <v>44607</v>
      </c>
      <c r="B193">
        <v>109</v>
      </c>
      <c r="C193" s="3">
        <f>_xlfn.XLOOKUP(B193,Stores!A:A,Stores!E:E)</f>
        <v>44600</v>
      </c>
      <c r="D193">
        <v>204</v>
      </c>
      <c r="E193" s="3">
        <f>_xlfn.XLOOKUP(D193,SalesReps!A:A,SalesReps!D:D)</f>
        <v>44388</v>
      </c>
      <c r="F193" s="3" t="str">
        <f>_xlfn.XLOOKUP(Table1[[#This Row],[RepID]],SalesReps!A:A,SalesReps!E:E)</f>
        <v>Active</v>
      </c>
      <c r="G193">
        <v>309</v>
      </c>
      <c r="H193" t="str">
        <f>_xlfn.XLOOKUP(Table1[[#This Row],[ProductID]],Products!A:A,Products!B:B)</f>
        <v>Electronics</v>
      </c>
      <c r="I193" t="str">
        <f>_xlfn.XLOOKUP(Table1[[#This Row],[ProductID]],Products!A:A,Products!C:C)</f>
        <v>Laptops</v>
      </c>
      <c r="J193">
        <v>6</v>
      </c>
      <c r="K193" s="5">
        <f>_xlfn.XLOOKUP(Table1[[#This Row],[ProductID]],Products!A:A,Products!E:E)</f>
        <v>229.68</v>
      </c>
      <c r="L193" s="5">
        <v>283.02</v>
      </c>
      <c r="M193" s="6">
        <v>0.18</v>
      </c>
      <c r="N193" t="s">
        <v>11</v>
      </c>
      <c r="O193" s="5">
        <f t="shared" si="10"/>
        <v>232.07640000000001</v>
      </c>
      <c r="P193" s="5">
        <f t="shared" si="11"/>
        <v>1392.4584</v>
      </c>
      <c r="Q193" s="5">
        <f>Table1[[#This Row],[Quantity]]*(Table1[[#This Row],[Saleprice]]-Table1[[#This Row],[Costprice]])</f>
        <v>14.378399999999999</v>
      </c>
      <c r="R193">
        <f t="shared" si="12"/>
        <v>2022</v>
      </c>
      <c r="S193">
        <f t="shared" si="13"/>
        <v>2</v>
      </c>
      <c r="T193" t="str">
        <f t="shared" si="14"/>
        <v>February</v>
      </c>
    </row>
    <row r="194" spans="1:20" x14ac:dyDescent="0.3">
      <c r="A194" s="3">
        <v>44607</v>
      </c>
      <c r="B194">
        <v>109</v>
      </c>
      <c r="C194" s="3">
        <f>_xlfn.XLOOKUP(B194,Stores!A:A,Stores!E:E)</f>
        <v>44600</v>
      </c>
      <c r="D194">
        <v>204</v>
      </c>
      <c r="E194" s="3">
        <f>_xlfn.XLOOKUP(D194,SalesReps!A:A,SalesReps!D:D)</f>
        <v>44388</v>
      </c>
      <c r="F194" s="3" t="str">
        <f>_xlfn.XLOOKUP(Table1[[#This Row],[RepID]],SalesReps!A:A,SalesReps!E:E)</f>
        <v>Active</v>
      </c>
      <c r="G194">
        <v>309</v>
      </c>
      <c r="H194" t="str">
        <f>_xlfn.XLOOKUP(Table1[[#This Row],[ProductID]],Products!A:A,Products!B:B)</f>
        <v>Electronics</v>
      </c>
      <c r="I194" t="str">
        <f>_xlfn.XLOOKUP(Table1[[#This Row],[ProductID]],Products!A:A,Products!C:C)</f>
        <v>Laptops</v>
      </c>
      <c r="J194">
        <v>7</v>
      </c>
      <c r="K194" s="5">
        <f>_xlfn.XLOOKUP(Table1[[#This Row],[ProductID]],Products!A:A,Products!E:E)</f>
        <v>229.68</v>
      </c>
      <c r="L194" s="5">
        <v>283.02</v>
      </c>
      <c r="M194" s="6">
        <v>0.18</v>
      </c>
      <c r="N194" t="s">
        <v>11</v>
      </c>
      <c r="O194" s="5">
        <f t="shared" ref="O194:O257" si="15">L194*(1-M194)</f>
        <v>232.07640000000001</v>
      </c>
      <c r="P194" s="5">
        <f t="shared" ref="P194:P257" si="16">O194*J194</f>
        <v>1624.5348000000001</v>
      </c>
      <c r="Q194" s="5">
        <f>Table1[[#This Row],[Quantity]]*(Table1[[#This Row],[Saleprice]]-Table1[[#This Row],[Costprice]])</f>
        <v>16.774799999999999</v>
      </c>
      <c r="R194">
        <f t="shared" ref="R194:R257" si="17">YEAR(A194)</f>
        <v>2022</v>
      </c>
      <c r="S194">
        <f t="shared" ref="S194:S257" si="18">MONTH(A194)</f>
        <v>2</v>
      </c>
      <c r="T194" t="str">
        <f t="shared" ref="T194:T257" si="19">TEXT(A194,"MMMM")</f>
        <v>February</v>
      </c>
    </row>
    <row r="195" spans="1:20" x14ac:dyDescent="0.3">
      <c r="A195" s="3">
        <v>44610</v>
      </c>
      <c r="B195">
        <v>109</v>
      </c>
      <c r="C195" s="3">
        <f>_xlfn.XLOOKUP(B195,Stores!A:A,Stores!E:E)</f>
        <v>44600</v>
      </c>
      <c r="D195">
        <v>204</v>
      </c>
      <c r="E195" s="3">
        <f>_xlfn.XLOOKUP(D195,SalesReps!A:A,SalesReps!D:D)</f>
        <v>44388</v>
      </c>
      <c r="F195" s="3" t="str">
        <f>_xlfn.XLOOKUP(Table1[[#This Row],[RepID]],SalesReps!A:A,SalesReps!E:E)</f>
        <v>Active</v>
      </c>
      <c r="G195">
        <v>305</v>
      </c>
      <c r="H195" t="str">
        <f>_xlfn.XLOOKUP(Table1[[#This Row],[ProductID]],Products!A:A,Products!B:B)</f>
        <v>Electronics</v>
      </c>
      <c r="I195" t="str">
        <f>_xlfn.XLOOKUP(Table1[[#This Row],[ProductID]],Products!A:A,Products!C:C)</f>
        <v>Accessories</v>
      </c>
      <c r="J195">
        <v>8</v>
      </c>
      <c r="K195" s="5">
        <f>_xlfn.XLOOKUP(Table1[[#This Row],[ProductID]],Products!A:A,Products!E:E)</f>
        <v>275.32</v>
      </c>
      <c r="L195" s="5">
        <v>347.99</v>
      </c>
      <c r="M195" s="6">
        <v>0.08</v>
      </c>
      <c r="N195" t="s">
        <v>11</v>
      </c>
      <c r="O195" s="5">
        <f t="shared" si="15"/>
        <v>320.1508</v>
      </c>
      <c r="P195" s="5">
        <f t="shared" si="16"/>
        <v>2561.2064</v>
      </c>
      <c r="Q195" s="5">
        <f>Table1[[#This Row],[Quantity]]*(Table1[[#This Row],[Saleprice]]-Table1[[#This Row],[Costprice]])</f>
        <v>358.64640000000009</v>
      </c>
      <c r="R195">
        <f t="shared" si="17"/>
        <v>2022</v>
      </c>
      <c r="S195">
        <f t="shared" si="18"/>
        <v>2</v>
      </c>
      <c r="T195" t="str">
        <f t="shared" si="19"/>
        <v>February</v>
      </c>
    </row>
    <row r="196" spans="1:20" x14ac:dyDescent="0.3">
      <c r="A196" s="3">
        <v>44613</v>
      </c>
      <c r="B196">
        <v>104</v>
      </c>
      <c r="C196" s="3">
        <f>_xlfn.XLOOKUP(B196,Stores!A:A,Stores!E:E)</f>
        <v>44297</v>
      </c>
      <c r="D196">
        <v>202</v>
      </c>
      <c r="E196" s="3">
        <f>_xlfn.XLOOKUP(D196,SalesReps!A:A,SalesReps!D:D)</f>
        <v>44610</v>
      </c>
      <c r="F196" s="3" t="str">
        <f>_xlfn.XLOOKUP(Table1[[#This Row],[RepID]],SalesReps!A:A,SalesReps!E:E)</f>
        <v>Active</v>
      </c>
      <c r="G196">
        <v>305</v>
      </c>
      <c r="H196" t="str">
        <f>_xlfn.XLOOKUP(Table1[[#This Row],[ProductID]],Products!A:A,Products!B:B)</f>
        <v>Electronics</v>
      </c>
      <c r="I196" t="str">
        <f>_xlfn.XLOOKUP(Table1[[#This Row],[ProductID]],Products!A:A,Products!C:C)</f>
        <v>Accessories</v>
      </c>
      <c r="J196">
        <v>1</v>
      </c>
      <c r="K196" s="5">
        <f>_xlfn.XLOOKUP(Table1[[#This Row],[ProductID]],Products!A:A,Products!E:E)</f>
        <v>275.32</v>
      </c>
      <c r="L196" s="5">
        <v>305.91000000000003</v>
      </c>
      <c r="M196" s="6">
        <v>0.1</v>
      </c>
      <c r="N196" t="s">
        <v>10</v>
      </c>
      <c r="O196" s="5">
        <f t="shared" si="15"/>
        <v>275.31900000000002</v>
      </c>
      <c r="P196" s="5">
        <f t="shared" si="16"/>
        <v>275.31900000000002</v>
      </c>
      <c r="Q196" s="5">
        <f>Table1[[#This Row],[Quantity]]*(Table1[[#This Row],[Saleprice]]-Table1[[#This Row],[Costprice]])</f>
        <v>-9.9999999997635314E-4</v>
      </c>
      <c r="R196">
        <f t="shared" si="17"/>
        <v>2022</v>
      </c>
      <c r="S196">
        <f t="shared" si="18"/>
        <v>2</v>
      </c>
      <c r="T196" t="str">
        <f t="shared" si="19"/>
        <v>February</v>
      </c>
    </row>
    <row r="197" spans="1:20" x14ac:dyDescent="0.3">
      <c r="A197" s="3">
        <v>44614</v>
      </c>
      <c r="B197">
        <v>109</v>
      </c>
      <c r="C197" s="3">
        <f>_xlfn.XLOOKUP(B197,Stores!A:A,Stores!E:E)</f>
        <v>44600</v>
      </c>
      <c r="D197">
        <v>204</v>
      </c>
      <c r="E197" s="3">
        <f>_xlfn.XLOOKUP(D197,SalesReps!A:A,SalesReps!D:D)</f>
        <v>44388</v>
      </c>
      <c r="F197" s="3" t="str">
        <f>_xlfn.XLOOKUP(Table1[[#This Row],[RepID]],SalesReps!A:A,SalesReps!E:E)</f>
        <v>Active</v>
      </c>
      <c r="G197">
        <v>306</v>
      </c>
      <c r="H197" t="str">
        <f>_xlfn.XLOOKUP(Table1[[#This Row],[ProductID]],Products!A:A,Products!B:B)</f>
        <v>Clothing</v>
      </c>
      <c r="I197" t="str">
        <f>_xlfn.XLOOKUP(Table1[[#This Row],[ProductID]],Products!A:A,Products!C:C)</f>
        <v>Men</v>
      </c>
      <c r="J197">
        <v>3</v>
      </c>
      <c r="K197" s="5">
        <f>_xlfn.XLOOKUP(Table1[[#This Row],[ProductID]],Products!A:A,Products!E:E)</f>
        <v>185.69</v>
      </c>
      <c r="L197" s="5">
        <v>228.58</v>
      </c>
      <c r="M197" s="6">
        <v>0.21</v>
      </c>
      <c r="N197" t="s">
        <v>11</v>
      </c>
      <c r="O197" s="5">
        <f t="shared" si="15"/>
        <v>180.57820000000001</v>
      </c>
      <c r="P197" s="5">
        <f t="shared" si="16"/>
        <v>541.7346</v>
      </c>
      <c r="Q197" s="5">
        <f>Table1[[#This Row],[Quantity]]*(Table1[[#This Row],[Saleprice]]-Table1[[#This Row],[Costprice]])</f>
        <v>-15.335399999999964</v>
      </c>
      <c r="R197">
        <f t="shared" si="17"/>
        <v>2022</v>
      </c>
      <c r="S197">
        <f t="shared" si="18"/>
        <v>2</v>
      </c>
      <c r="T197" t="str">
        <f t="shared" si="19"/>
        <v>February</v>
      </c>
    </row>
    <row r="198" spans="1:20" x14ac:dyDescent="0.3">
      <c r="A198" s="3">
        <v>44615</v>
      </c>
      <c r="B198">
        <v>104</v>
      </c>
      <c r="C198" s="3">
        <f>_xlfn.XLOOKUP(B198,Stores!A:A,Stores!E:E)</f>
        <v>44297</v>
      </c>
      <c r="D198">
        <v>202</v>
      </c>
      <c r="E198" s="3">
        <f>_xlfn.XLOOKUP(D198,SalesReps!A:A,SalesReps!D:D)</f>
        <v>44610</v>
      </c>
      <c r="F198" s="3" t="str">
        <f>_xlfn.XLOOKUP(Table1[[#This Row],[RepID]],SalesReps!A:A,SalesReps!E:E)</f>
        <v>Active</v>
      </c>
      <c r="G198">
        <v>320</v>
      </c>
      <c r="H198" t="str">
        <f>_xlfn.XLOOKUP(Table1[[#This Row],[ProductID]],Products!A:A,Products!B:B)</f>
        <v>Toys</v>
      </c>
      <c r="I198" t="str">
        <f>_xlfn.XLOOKUP(Table1[[#This Row],[ProductID]],Products!A:A,Products!C:C)</f>
        <v>Outdoor</v>
      </c>
      <c r="J198">
        <v>6</v>
      </c>
      <c r="K198" s="5">
        <f>_xlfn.XLOOKUP(Table1[[#This Row],[ProductID]],Products!A:A,Products!E:E)</f>
        <v>304.58999999999997</v>
      </c>
      <c r="L198" s="5">
        <v>391.94</v>
      </c>
      <c r="M198" s="6">
        <v>0.22</v>
      </c>
      <c r="N198" t="s">
        <v>10</v>
      </c>
      <c r="O198" s="5">
        <f t="shared" si="15"/>
        <v>305.71320000000003</v>
      </c>
      <c r="P198" s="5">
        <f t="shared" si="16"/>
        <v>1834.2792000000002</v>
      </c>
      <c r="Q198" s="5">
        <f>Table1[[#This Row],[Quantity]]*(Table1[[#This Row],[Saleprice]]-Table1[[#This Row],[Costprice]])</f>
        <v>6.7392000000003236</v>
      </c>
      <c r="R198">
        <f t="shared" si="17"/>
        <v>2022</v>
      </c>
      <c r="S198">
        <f t="shared" si="18"/>
        <v>2</v>
      </c>
      <c r="T198" t="str">
        <f t="shared" si="19"/>
        <v>February</v>
      </c>
    </row>
    <row r="199" spans="1:20" x14ac:dyDescent="0.3">
      <c r="A199" s="3">
        <v>44615</v>
      </c>
      <c r="B199">
        <v>104</v>
      </c>
      <c r="C199" s="3">
        <f>_xlfn.XLOOKUP(B199,Stores!A:A,Stores!E:E)</f>
        <v>44297</v>
      </c>
      <c r="D199">
        <v>202</v>
      </c>
      <c r="E199" s="3">
        <f>_xlfn.XLOOKUP(D199,SalesReps!A:A,SalesReps!D:D)</f>
        <v>44610</v>
      </c>
      <c r="F199" s="3" t="str">
        <f>_xlfn.XLOOKUP(Table1[[#This Row],[RepID]],SalesReps!A:A,SalesReps!E:E)</f>
        <v>Active</v>
      </c>
      <c r="G199">
        <v>306</v>
      </c>
      <c r="H199" t="str">
        <f>_xlfn.XLOOKUP(Table1[[#This Row],[ProductID]],Products!A:A,Products!B:B)</f>
        <v>Clothing</v>
      </c>
      <c r="I199" t="str">
        <f>_xlfn.XLOOKUP(Table1[[#This Row],[ProductID]],Products!A:A,Products!C:C)</f>
        <v>Men</v>
      </c>
      <c r="J199">
        <v>9</v>
      </c>
      <c r="K199" s="5">
        <f>_xlfn.XLOOKUP(Table1[[#This Row],[ProductID]],Products!A:A,Products!E:E)</f>
        <v>185.69</v>
      </c>
      <c r="L199" s="5">
        <v>241.13</v>
      </c>
      <c r="M199" s="6">
        <v>0.14000000000000001</v>
      </c>
      <c r="N199" t="s">
        <v>10</v>
      </c>
      <c r="O199" s="5">
        <f t="shared" si="15"/>
        <v>207.37179999999998</v>
      </c>
      <c r="P199" s="5">
        <f t="shared" si="16"/>
        <v>1866.3461999999997</v>
      </c>
      <c r="Q199" s="5">
        <f>Table1[[#This Row],[Quantity]]*(Table1[[#This Row],[Saleprice]]-Table1[[#This Row],[Costprice]])</f>
        <v>195.13619999999983</v>
      </c>
      <c r="R199">
        <f t="shared" si="17"/>
        <v>2022</v>
      </c>
      <c r="S199">
        <f t="shared" si="18"/>
        <v>2</v>
      </c>
      <c r="T199" t="str">
        <f t="shared" si="19"/>
        <v>February</v>
      </c>
    </row>
    <row r="200" spans="1:20" x14ac:dyDescent="0.3">
      <c r="A200" s="3">
        <v>44615</v>
      </c>
      <c r="B200">
        <v>109</v>
      </c>
      <c r="C200" s="3">
        <f>_xlfn.XLOOKUP(B200,Stores!A:A,Stores!E:E)</f>
        <v>44600</v>
      </c>
      <c r="D200">
        <v>204</v>
      </c>
      <c r="E200" s="3">
        <f>_xlfn.XLOOKUP(D200,SalesReps!A:A,SalesReps!D:D)</f>
        <v>44388</v>
      </c>
      <c r="F200" s="3" t="str">
        <f>_xlfn.XLOOKUP(Table1[[#This Row],[RepID]],SalesReps!A:A,SalesReps!E:E)</f>
        <v>Active</v>
      </c>
      <c r="G200">
        <v>305</v>
      </c>
      <c r="H200" t="str">
        <f>_xlfn.XLOOKUP(Table1[[#This Row],[ProductID]],Products!A:A,Products!B:B)</f>
        <v>Electronics</v>
      </c>
      <c r="I200" t="str">
        <f>_xlfn.XLOOKUP(Table1[[#This Row],[ProductID]],Products!A:A,Products!C:C)</f>
        <v>Accessories</v>
      </c>
      <c r="J200">
        <v>1</v>
      </c>
      <c r="K200" s="5">
        <f>_xlfn.XLOOKUP(Table1[[#This Row],[ProductID]],Products!A:A,Products!E:E)</f>
        <v>275.32</v>
      </c>
      <c r="L200" s="5">
        <v>347.99</v>
      </c>
      <c r="M200" s="6">
        <v>0.08</v>
      </c>
      <c r="N200" t="s">
        <v>11</v>
      </c>
      <c r="O200" s="5">
        <f t="shared" si="15"/>
        <v>320.1508</v>
      </c>
      <c r="P200" s="5">
        <f t="shared" si="16"/>
        <v>320.1508</v>
      </c>
      <c r="Q200" s="5">
        <f>Table1[[#This Row],[Quantity]]*(Table1[[#This Row],[Saleprice]]-Table1[[#This Row],[Costprice]])</f>
        <v>44.830800000000011</v>
      </c>
      <c r="R200">
        <f t="shared" si="17"/>
        <v>2022</v>
      </c>
      <c r="S200">
        <f t="shared" si="18"/>
        <v>2</v>
      </c>
      <c r="T200" t="str">
        <f t="shared" si="19"/>
        <v>February</v>
      </c>
    </row>
    <row r="201" spans="1:20" x14ac:dyDescent="0.3">
      <c r="A201" s="3">
        <v>44619</v>
      </c>
      <c r="B201">
        <v>104</v>
      </c>
      <c r="C201" s="3">
        <f>_xlfn.XLOOKUP(B201,Stores!A:A,Stores!E:E)</f>
        <v>44297</v>
      </c>
      <c r="D201">
        <v>202</v>
      </c>
      <c r="E201" s="3">
        <f>_xlfn.XLOOKUP(D201,SalesReps!A:A,SalesReps!D:D)</f>
        <v>44610</v>
      </c>
      <c r="F201" s="3" t="str">
        <f>_xlfn.XLOOKUP(Table1[[#This Row],[RepID]],SalesReps!A:A,SalesReps!E:E)</f>
        <v>Active</v>
      </c>
      <c r="G201">
        <v>301</v>
      </c>
      <c r="H201" t="str">
        <f>_xlfn.XLOOKUP(Table1[[#This Row],[ProductID]],Products!A:A,Products!B:B)</f>
        <v>Electronics</v>
      </c>
      <c r="I201" t="str">
        <f>_xlfn.XLOOKUP(Table1[[#This Row],[ProductID]],Products!A:A,Products!C:C)</f>
        <v>Mobiles</v>
      </c>
      <c r="J201">
        <v>4</v>
      </c>
      <c r="K201" s="5">
        <f>_xlfn.XLOOKUP(Table1[[#This Row],[ProductID]],Products!A:A,Products!E:E)</f>
        <v>159.16</v>
      </c>
      <c r="L201" s="5">
        <v>201.7</v>
      </c>
      <c r="M201" s="6">
        <v>0.24</v>
      </c>
      <c r="N201" t="s">
        <v>10</v>
      </c>
      <c r="O201" s="5">
        <f t="shared" si="15"/>
        <v>153.292</v>
      </c>
      <c r="P201" s="5">
        <f t="shared" si="16"/>
        <v>613.16800000000001</v>
      </c>
      <c r="Q201" s="5">
        <f>Table1[[#This Row],[Quantity]]*(Table1[[#This Row],[Saleprice]]-Table1[[#This Row],[Costprice]])</f>
        <v>-23.47199999999998</v>
      </c>
      <c r="R201">
        <f t="shared" si="17"/>
        <v>2022</v>
      </c>
      <c r="S201">
        <f t="shared" si="18"/>
        <v>2</v>
      </c>
      <c r="T201" t="str">
        <f t="shared" si="19"/>
        <v>February</v>
      </c>
    </row>
    <row r="202" spans="1:20" x14ac:dyDescent="0.3">
      <c r="A202" s="3">
        <v>44620</v>
      </c>
      <c r="B202">
        <v>109</v>
      </c>
      <c r="C202" s="3">
        <f>_xlfn.XLOOKUP(B202,Stores!A:A,Stores!E:E)</f>
        <v>44600</v>
      </c>
      <c r="D202">
        <v>204</v>
      </c>
      <c r="E202" s="3">
        <f>_xlfn.XLOOKUP(D202,SalesReps!A:A,SalesReps!D:D)</f>
        <v>44388</v>
      </c>
      <c r="F202" s="3" t="str">
        <f>_xlfn.XLOOKUP(Table1[[#This Row],[RepID]],SalesReps!A:A,SalesReps!E:E)</f>
        <v>Active</v>
      </c>
      <c r="G202">
        <v>301</v>
      </c>
      <c r="H202" t="str">
        <f>_xlfn.XLOOKUP(Table1[[#This Row],[ProductID]],Products!A:A,Products!B:B)</f>
        <v>Electronics</v>
      </c>
      <c r="I202" t="str">
        <f>_xlfn.XLOOKUP(Table1[[#This Row],[ProductID]],Products!A:A,Products!C:C)</f>
        <v>Mobiles</v>
      </c>
      <c r="J202">
        <v>2</v>
      </c>
      <c r="K202" s="5">
        <f>_xlfn.XLOOKUP(Table1[[#This Row],[ProductID]],Products!A:A,Products!E:E)</f>
        <v>159.16</v>
      </c>
      <c r="L202" s="5">
        <v>219.9</v>
      </c>
      <c r="M202" s="6">
        <v>0.24</v>
      </c>
      <c r="N202" t="s">
        <v>11</v>
      </c>
      <c r="O202" s="5">
        <f t="shared" si="15"/>
        <v>167.124</v>
      </c>
      <c r="P202" s="5">
        <f t="shared" si="16"/>
        <v>334.24799999999999</v>
      </c>
      <c r="Q202" s="5">
        <f>Table1[[#This Row],[Quantity]]*(Table1[[#This Row],[Saleprice]]-Table1[[#This Row],[Costprice]])</f>
        <v>15.927999999999997</v>
      </c>
      <c r="R202">
        <f t="shared" si="17"/>
        <v>2022</v>
      </c>
      <c r="S202">
        <f t="shared" si="18"/>
        <v>2</v>
      </c>
      <c r="T202" t="str">
        <f t="shared" si="19"/>
        <v>February</v>
      </c>
    </row>
    <row r="203" spans="1:20" x14ac:dyDescent="0.3">
      <c r="A203" s="3">
        <v>44621</v>
      </c>
      <c r="B203">
        <v>109</v>
      </c>
      <c r="C203" s="3">
        <f>_xlfn.XLOOKUP(B203,Stores!A:A,Stores!E:E)</f>
        <v>44600</v>
      </c>
      <c r="D203">
        <v>204</v>
      </c>
      <c r="E203" s="3">
        <f>_xlfn.XLOOKUP(D203,SalesReps!A:A,SalesReps!D:D)</f>
        <v>44388</v>
      </c>
      <c r="F203" s="3" t="str">
        <f>_xlfn.XLOOKUP(Table1[[#This Row],[RepID]],SalesReps!A:A,SalesReps!E:E)</f>
        <v>Active</v>
      </c>
      <c r="G203">
        <v>316</v>
      </c>
      <c r="H203" t="str">
        <f>_xlfn.XLOOKUP(Table1[[#This Row],[ProductID]],Products!A:A,Products!B:B)</f>
        <v>Home &amp; Kitchen</v>
      </c>
      <c r="I203" t="str">
        <f>_xlfn.XLOOKUP(Table1[[#This Row],[ProductID]],Products!A:A,Products!C:C)</f>
        <v>Furniture</v>
      </c>
      <c r="J203">
        <v>5</v>
      </c>
      <c r="K203" s="5">
        <f>_xlfn.XLOOKUP(Table1[[#This Row],[ProductID]],Products!A:A,Products!E:E)</f>
        <v>334.95</v>
      </c>
      <c r="L203" s="5">
        <v>417.01</v>
      </c>
      <c r="M203" s="6">
        <v>0.21</v>
      </c>
      <c r="N203" t="s">
        <v>11</v>
      </c>
      <c r="O203" s="5">
        <f t="shared" si="15"/>
        <v>329.43790000000001</v>
      </c>
      <c r="P203" s="5">
        <f t="shared" si="16"/>
        <v>1647.1895</v>
      </c>
      <c r="Q203" s="5">
        <f>Table1[[#This Row],[Quantity]]*(Table1[[#This Row],[Saleprice]]-Table1[[#This Row],[Costprice]])</f>
        <v>-27.560499999999877</v>
      </c>
      <c r="R203">
        <f t="shared" si="17"/>
        <v>2022</v>
      </c>
      <c r="S203">
        <f t="shared" si="18"/>
        <v>3</v>
      </c>
      <c r="T203" t="str">
        <f t="shared" si="19"/>
        <v>March</v>
      </c>
    </row>
    <row r="204" spans="1:20" x14ac:dyDescent="0.3">
      <c r="A204" s="3">
        <v>44621</v>
      </c>
      <c r="B204">
        <v>109</v>
      </c>
      <c r="C204" s="3">
        <f>_xlfn.XLOOKUP(B204,Stores!A:A,Stores!E:E)</f>
        <v>44600</v>
      </c>
      <c r="D204">
        <v>204</v>
      </c>
      <c r="E204" s="3">
        <f>_xlfn.XLOOKUP(D204,SalesReps!A:A,SalesReps!D:D)</f>
        <v>44388</v>
      </c>
      <c r="F204" s="3" t="str">
        <f>_xlfn.XLOOKUP(Table1[[#This Row],[RepID]],SalesReps!A:A,SalesReps!E:E)</f>
        <v>Active</v>
      </c>
      <c r="G204">
        <v>310</v>
      </c>
      <c r="H204" t="str">
        <f>_xlfn.XLOOKUP(Table1[[#This Row],[ProductID]],Products!A:A,Products!B:B)</f>
        <v>Home &amp; Kitchen</v>
      </c>
      <c r="I204" t="str">
        <f>_xlfn.XLOOKUP(Table1[[#This Row],[ProductID]],Products!A:A,Products!C:C)</f>
        <v>Furniture</v>
      </c>
      <c r="J204">
        <v>8</v>
      </c>
      <c r="K204" s="5">
        <f>_xlfn.XLOOKUP(Table1[[#This Row],[ProductID]],Products!A:A,Products!E:E)</f>
        <v>160.31</v>
      </c>
      <c r="L204" s="5">
        <v>249.24</v>
      </c>
      <c r="M204" s="6">
        <v>0.2</v>
      </c>
      <c r="N204" t="s">
        <v>11</v>
      </c>
      <c r="O204" s="5">
        <f t="shared" si="15"/>
        <v>199.39200000000002</v>
      </c>
      <c r="P204" s="5">
        <f t="shared" si="16"/>
        <v>1595.1360000000002</v>
      </c>
      <c r="Q204" s="5">
        <f>Table1[[#This Row],[Quantity]]*(Table1[[#This Row],[Saleprice]]-Table1[[#This Row],[Costprice]])</f>
        <v>312.65600000000018</v>
      </c>
      <c r="R204">
        <f t="shared" si="17"/>
        <v>2022</v>
      </c>
      <c r="S204">
        <f t="shared" si="18"/>
        <v>3</v>
      </c>
      <c r="T204" t="str">
        <f t="shared" si="19"/>
        <v>March</v>
      </c>
    </row>
    <row r="205" spans="1:20" x14ac:dyDescent="0.3">
      <c r="A205" s="3">
        <v>44623</v>
      </c>
      <c r="B205">
        <v>104</v>
      </c>
      <c r="C205" s="3">
        <f>_xlfn.XLOOKUP(B205,Stores!A:A,Stores!E:E)</f>
        <v>44297</v>
      </c>
      <c r="D205">
        <v>202</v>
      </c>
      <c r="E205" s="3">
        <f>_xlfn.XLOOKUP(D205,SalesReps!A:A,SalesReps!D:D)</f>
        <v>44610</v>
      </c>
      <c r="F205" s="3" t="str">
        <f>_xlfn.XLOOKUP(Table1[[#This Row],[RepID]],SalesReps!A:A,SalesReps!E:E)</f>
        <v>Active</v>
      </c>
      <c r="G205">
        <v>309</v>
      </c>
      <c r="H205" t="str">
        <f>_xlfn.XLOOKUP(Table1[[#This Row],[ProductID]],Products!A:A,Products!B:B)</f>
        <v>Electronics</v>
      </c>
      <c r="I205" t="str">
        <f>_xlfn.XLOOKUP(Table1[[#This Row],[ProductID]],Products!A:A,Products!C:C)</f>
        <v>Laptops</v>
      </c>
      <c r="J205">
        <v>2</v>
      </c>
      <c r="K205" s="5">
        <f>_xlfn.XLOOKUP(Table1[[#This Row],[ProductID]],Products!A:A,Products!E:E)</f>
        <v>229.68</v>
      </c>
      <c r="L205" s="5">
        <v>329.15</v>
      </c>
      <c r="M205" s="6">
        <v>0.09</v>
      </c>
      <c r="N205" t="s">
        <v>10</v>
      </c>
      <c r="O205" s="5">
        <f t="shared" si="15"/>
        <v>299.5265</v>
      </c>
      <c r="P205" s="5">
        <f t="shared" si="16"/>
        <v>599.053</v>
      </c>
      <c r="Q205" s="5">
        <f>Table1[[#This Row],[Quantity]]*(Table1[[#This Row],[Saleprice]]-Table1[[#This Row],[Costprice]])</f>
        <v>139.69299999999998</v>
      </c>
      <c r="R205">
        <f t="shared" si="17"/>
        <v>2022</v>
      </c>
      <c r="S205">
        <f t="shared" si="18"/>
        <v>3</v>
      </c>
      <c r="T205" t="str">
        <f t="shared" si="19"/>
        <v>March</v>
      </c>
    </row>
    <row r="206" spans="1:20" x14ac:dyDescent="0.3">
      <c r="A206" s="3">
        <v>44624</v>
      </c>
      <c r="B206">
        <v>109</v>
      </c>
      <c r="C206" s="3">
        <f>_xlfn.XLOOKUP(B206,Stores!A:A,Stores!E:E)</f>
        <v>44600</v>
      </c>
      <c r="D206">
        <v>204</v>
      </c>
      <c r="E206" s="3">
        <f>_xlfn.XLOOKUP(D206,SalesReps!A:A,SalesReps!D:D)</f>
        <v>44388</v>
      </c>
      <c r="F206" s="3" t="str">
        <f>_xlfn.XLOOKUP(Table1[[#This Row],[RepID]],SalesReps!A:A,SalesReps!E:E)</f>
        <v>Active</v>
      </c>
      <c r="G206">
        <v>313</v>
      </c>
      <c r="H206" t="str">
        <f>_xlfn.XLOOKUP(Table1[[#This Row],[ProductID]],Products!A:A,Products!B:B)</f>
        <v>Clothing</v>
      </c>
      <c r="I206" t="str">
        <f>_xlfn.XLOOKUP(Table1[[#This Row],[ProductID]],Products!A:A,Products!C:C)</f>
        <v>Women</v>
      </c>
      <c r="J206">
        <v>3</v>
      </c>
      <c r="K206" s="5">
        <f>_xlfn.XLOOKUP(Table1[[#This Row],[ProductID]],Products!A:A,Products!E:E)</f>
        <v>104</v>
      </c>
      <c r="L206" s="5">
        <v>175.45</v>
      </c>
      <c r="M206" s="6">
        <v>0.08</v>
      </c>
      <c r="N206" t="s">
        <v>11</v>
      </c>
      <c r="O206" s="5">
        <f t="shared" si="15"/>
        <v>161.41399999999999</v>
      </c>
      <c r="P206" s="5">
        <f t="shared" si="16"/>
        <v>484.24199999999996</v>
      </c>
      <c r="Q206" s="5">
        <f>Table1[[#This Row],[Quantity]]*(Table1[[#This Row],[Saleprice]]-Table1[[#This Row],[Costprice]])</f>
        <v>172.24199999999996</v>
      </c>
      <c r="R206">
        <f t="shared" si="17"/>
        <v>2022</v>
      </c>
      <c r="S206">
        <f t="shared" si="18"/>
        <v>3</v>
      </c>
      <c r="T206" t="str">
        <f t="shared" si="19"/>
        <v>March</v>
      </c>
    </row>
    <row r="207" spans="1:20" x14ac:dyDescent="0.3">
      <c r="A207" s="3">
        <v>44624</v>
      </c>
      <c r="B207">
        <v>104</v>
      </c>
      <c r="C207" s="3">
        <f>_xlfn.XLOOKUP(B207,Stores!A:A,Stores!E:E)</f>
        <v>44297</v>
      </c>
      <c r="D207">
        <v>202</v>
      </c>
      <c r="E207" s="3">
        <f>_xlfn.XLOOKUP(D207,SalesReps!A:A,SalesReps!D:D)</f>
        <v>44610</v>
      </c>
      <c r="F207" s="3" t="str">
        <f>_xlfn.XLOOKUP(Table1[[#This Row],[RepID]],SalesReps!A:A,SalesReps!E:E)</f>
        <v>Active</v>
      </c>
      <c r="G207">
        <v>320</v>
      </c>
      <c r="H207" t="str">
        <f>_xlfn.XLOOKUP(Table1[[#This Row],[ProductID]],Products!A:A,Products!B:B)</f>
        <v>Toys</v>
      </c>
      <c r="I207" t="str">
        <f>_xlfn.XLOOKUP(Table1[[#This Row],[ProductID]],Products!A:A,Products!C:C)</f>
        <v>Outdoor</v>
      </c>
      <c r="J207">
        <v>7</v>
      </c>
      <c r="K207" s="5">
        <f>_xlfn.XLOOKUP(Table1[[#This Row],[ProductID]],Products!A:A,Products!E:E)</f>
        <v>304.58999999999997</v>
      </c>
      <c r="L207" s="5">
        <v>391.94</v>
      </c>
      <c r="M207" s="6">
        <v>0.22</v>
      </c>
      <c r="N207" t="s">
        <v>10</v>
      </c>
      <c r="O207" s="5">
        <f t="shared" si="15"/>
        <v>305.71320000000003</v>
      </c>
      <c r="P207" s="5">
        <f t="shared" si="16"/>
        <v>2139.9924000000001</v>
      </c>
      <c r="Q207" s="5">
        <f>Table1[[#This Row],[Quantity]]*(Table1[[#This Row],[Saleprice]]-Table1[[#This Row],[Costprice]])</f>
        <v>7.8624000000003775</v>
      </c>
      <c r="R207">
        <f t="shared" si="17"/>
        <v>2022</v>
      </c>
      <c r="S207">
        <f t="shared" si="18"/>
        <v>3</v>
      </c>
      <c r="T207" t="str">
        <f t="shared" si="19"/>
        <v>March</v>
      </c>
    </row>
    <row r="208" spans="1:20" x14ac:dyDescent="0.3">
      <c r="A208" s="3">
        <v>44625</v>
      </c>
      <c r="B208">
        <v>104</v>
      </c>
      <c r="C208" s="3">
        <f>_xlfn.XLOOKUP(B208,Stores!A:A,Stores!E:E)</f>
        <v>44297</v>
      </c>
      <c r="D208">
        <v>202</v>
      </c>
      <c r="E208" s="3">
        <f>_xlfn.XLOOKUP(D208,SalesReps!A:A,SalesReps!D:D)</f>
        <v>44610</v>
      </c>
      <c r="F208" s="3" t="str">
        <f>_xlfn.XLOOKUP(Table1[[#This Row],[RepID]],SalesReps!A:A,SalesReps!E:E)</f>
        <v>Active</v>
      </c>
      <c r="G208">
        <v>314</v>
      </c>
      <c r="H208" t="str">
        <f>_xlfn.XLOOKUP(Table1[[#This Row],[ProductID]],Products!A:A,Products!B:B)</f>
        <v>Clothing</v>
      </c>
      <c r="I208" t="str">
        <f>_xlfn.XLOOKUP(Table1[[#This Row],[ProductID]],Products!A:A,Products!C:C)</f>
        <v>Kids</v>
      </c>
      <c r="J208">
        <v>5</v>
      </c>
      <c r="K208" s="5">
        <f>_xlfn.XLOOKUP(Table1[[#This Row],[ProductID]],Products!A:A,Products!E:E)</f>
        <v>276.47000000000003</v>
      </c>
      <c r="L208" s="5">
        <v>298.98</v>
      </c>
      <c r="M208" s="6">
        <v>7.0000000000000007E-2</v>
      </c>
      <c r="N208" t="s">
        <v>10</v>
      </c>
      <c r="O208" s="5">
        <f t="shared" si="15"/>
        <v>278.0514</v>
      </c>
      <c r="P208" s="5">
        <f t="shared" si="16"/>
        <v>1390.2570000000001</v>
      </c>
      <c r="Q208" s="5">
        <f>Table1[[#This Row],[Quantity]]*(Table1[[#This Row],[Saleprice]]-Table1[[#This Row],[Costprice]])</f>
        <v>7.9069999999998686</v>
      </c>
      <c r="R208">
        <f t="shared" si="17"/>
        <v>2022</v>
      </c>
      <c r="S208">
        <f t="shared" si="18"/>
        <v>3</v>
      </c>
      <c r="T208" t="str">
        <f t="shared" si="19"/>
        <v>March</v>
      </c>
    </row>
    <row r="209" spans="1:20" x14ac:dyDescent="0.3">
      <c r="A209" s="3">
        <v>44627</v>
      </c>
      <c r="B209">
        <v>104</v>
      </c>
      <c r="C209" s="3">
        <f>_xlfn.XLOOKUP(B209,Stores!A:A,Stores!E:E)</f>
        <v>44297</v>
      </c>
      <c r="D209">
        <v>202</v>
      </c>
      <c r="E209" s="3">
        <f>_xlfn.XLOOKUP(D209,SalesReps!A:A,SalesReps!D:D)</f>
        <v>44610</v>
      </c>
      <c r="F209" s="3" t="str">
        <f>_xlfn.XLOOKUP(Table1[[#This Row],[RepID]],SalesReps!A:A,SalesReps!E:E)</f>
        <v>Active</v>
      </c>
      <c r="G209">
        <v>309</v>
      </c>
      <c r="H209" t="str">
        <f>_xlfn.XLOOKUP(Table1[[#This Row],[ProductID]],Products!A:A,Products!B:B)</f>
        <v>Electronics</v>
      </c>
      <c r="I209" t="str">
        <f>_xlfn.XLOOKUP(Table1[[#This Row],[ProductID]],Products!A:A,Products!C:C)</f>
        <v>Laptops</v>
      </c>
      <c r="J209">
        <v>3</v>
      </c>
      <c r="K209" s="5">
        <f>_xlfn.XLOOKUP(Table1[[#This Row],[ProductID]],Products!A:A,Products!E:E)</f>
        <v>229.68</v>
      </c>
      <c r="L209" s="5">
        <v>329.15</v>
      </c>
      <c r="M209" s="6">
        <v>0.09</v>
      </c>
      <c r="N209" t="s">
        <v>10</v>
      </c>
      <c r="O209" s="5">
        <f t="shared" si="15"/>
        <v>299.5265</v>
      </c>
      <c r="P209" s="5">
        <f t="shared" si="16"/>
        <v>898.57950000000005</v>
      </c>
      <c r="Q209" s="5">
        <f>Table1[[#This Row],[Quantity]]*(Table1[[#This Row],[Saleprice]]-Table1[[#This Row],[Costprice]])</f>
        <v>209.53949999999998</v>
      </c>
      <c r="R209">
        <f t="shared" si="17"/>
        <v>2022</v>
      </c>
      <c r="S209">
        <f t="shared" si="18"/>
        <v>3</v>
      </c>
      <c r="T209" t="str">
        <f t="shared" si="19"/>
        <v>March</v>
      </c>
    </row>
    <row r="210" spans="1:20" x14ac:dyDescent="0.3">
      <c r="A210" s="3">
        <v>44629</v>
      </c>
      <c r="B210">
        <v>104</v>
      </c>
      <c r="C210" s="3">
        <f>_xlfn.XLOOKUP(B210,Stores!A:A,Stores!E:E)</f>
        <v>44297</v>
      </c>
      <c r="D210">
        <v>202</v>
      </c>
      <c r="E210" s="3">
        <f>_xlfn.XLOOKUP(D210,SalesReps!A:A,SalesReps!D:D)</f>
        <v>44610</v>
      </c>
      <c r="F210" s="3" t="str">
        <f>_xlfn.XLOOKUP(Table1[[#This Row],[RepID]],SalesReps!A:A,SalesReps!E:E)</f>
        <v>Active</v>
      </c>
      <c r="G210">
        <v>304</v>
      </c>
      <c r="H210" t="str">
        <f>_xlfn.XLOOKUP(Table1[[#This Row],[ProductID]],Products!A:A,Products!B:B)</f>
        <v>Home &amp; Kitchen</v>
      </c>
      <c r="I210" t="str">
        <f>_xlfn.XLOOKUP(Table1[[#This Row],[ProductID]],Products!A:A,Products!C:C)</f>
        <v>Furniture</v>
      </c>
      <c r="J210">
        <v>1</v>
      </c>
      <c r="K210" s="5">
        <f>_xlfn.XLOOKUP(Table1[[#This Row],[ProductID]],Products!A:A,Products!E:E)</f>
        <v>345.38</v>
      </c>
      <c r="L210" s="5">
        <v>409.69</v>
      </c>
      <c r="M210" s="6">
        <v>0.11</v>
      </c>
      <c r="N210" t="s">
        <v>10</v>
      </c>
      <c r="O210" s="5">
        <f t="shared" si="15"/>
        <v>364.6241</v>
      </c>
      <c r="P210" s="5">
        <f t="shared" si="16"/>
        <v>364.6241</v>
      </c>
      <c r="Q210" s="5">
        <f>Table1[[#This Row],[Quantity]]*(Table1[[#This Row],[Saleprice]]-Table1[[#This Row],[Costprice]])</f>
        <v>19.244100000000003</v>
      </c>
      <c r="R210">
        <f t="shared" si="17"/>
        <v>2022</v>
      </c>
      <c r="S210">
        <f t="shared" si="18"/>
        <v>3</v>
      </c>
      <c r="T210" t="str">
        <f t="shared" si="19"/>
        <v>March</v>
      </c>
    </row>
    <row r="211" spans="1:20" x14ac:dyDescent="0.3">
      <c r="A211" s="3">
        <v>44630</v>
      </c>
      <c r="B211">
        <v>109</v>
      </c>
      <c r="C211" s="3">
        <f>_xlfn.XLOOKUP(B211,Stores!A:A,Stores!E:E)</f>
        <v>44600</v>
      </c>
      <c r="D211">
        <v>204</v>
      </c>
      <c r="E211" s="3">
        <f>_xlfn.XLOOKUP(D211,SalesReps!A:A,SalesReps!D:D)</f>
        <v>44388</v>
      </c>
      <c r="F211" s="3" t="str">
        <f>_xlfn.XLOOKUP(Table1[[#This Row],[RepID]],SalesReps!A:A,SalesReps!E:E)</f>
        <v>Active</v>
      </c>
      <c r="G211">
        <v>317</v>
      </c>
      <c r="H211" t="str">
        <f>_xlfn.XLOOKUP(Table1[[#This Row],[ProductID]],Products!A:A,Products!B:B)</f>
        <v>Toys</v>
      </c>
      <c r="I211" t="str">
        <f>_xlfn.XLOOKUP(Table1[[#This Row],[ProductID]],Products!A:A,Products!C:C)</f>
        <v>Educational</v>
      </c>
      <c r="J211">
        <v>6</v>
      </c>
      <c r="K211" s="5">
        <f>_xlfn.XLOOKUP(Table1[[#This Row],[ProductID]],Products!A:A,Products!E:E)</f>
        <v>77.61</v>
      </c>
      <c r="L211" s="5">
        <v>171.59</v>
      </c>
      <c r="M211" s="6">
        <v>0.06</v>
      </c>
      <c r="N211" t="s">
        <v>11</v>
      </c>
      <c r="O211" s="5">
        <f t="shared" si="15"/>
        <v>161.2946</v>
      </c>
      <c r="P211" s="5">
        <f t="shared" si="16"/>
        <v>967.76760000000002</v>
      </c>
      <c r="Q211" s="5">
        <f>Table1[[#This Row],[Quantity]]*(Table1[[#This Row],[Saleprice]]-Table1[[#This Row],[Costprice]])</f>
        <v>502.10760000000005</v>
      </c>
      <c r="R211">
        <f t="shared" si="17"/>
        <v>2022</v>
      </c>
      <c r="S211">
        <f t="shared" si="18"/>
        <v>3</v>
      </c>
      <c r="T211" t="str">
        <f t="shared" si="19"/>
        <v>March</v>
      </c>
    </row>
    <row r="212" spans="1:20" x14ac:dyDescent="0.3">
      <c r="A212" s="3">
        <v>44630</v>
      </c>
      <c r="B212">
        <v>104</v>
      </c>
      <c r="C212" s="3">
        <f>_xlfn.XLOOKUP(B212,Stores!A:A,Stores!E:E)</f>
        <v>44297</v>
      </c>
      <c r="D212">
        <v>202</v>
      </c>
      <c r="E212" s="3">
        <f>_xlfn.XLOOKUP(D212,SalesReps!A:A,SalesReps!D:D)</f>
        <v>44610</v>
      </c>
      <c r="F212" s="3" t="str">
        <f>_xlfn.XLOOKUP(Table1[[#This Row],[RepID]],SalesReps!A:A,SalesReps!E:E)</f>
        <v>Active</v>
      </c>
      <c r="G212">
        <v>319</v>
      </c>
      <c r="H212" t="str">
        <f>_xlfn.XLOOKUP(Table1[[#This Row],[ProductID]],Products!A:A,Products!B:B)</f>
        <v>Toys</v>
      </c>
      <c r="I212" t="str">
        <f>_xlfn.XLOOKUP(Table1[[#This Row],[ProductID]],Products!A:A,Products!C:C)</f>
        <v>Board Games</v>
      </c>
      <c r="J212">
        <v>6</v>
      </c>
      <c r="K212" s="5">
        <f>_xlfn.XLOOKUP(Table1[[#This Row],[ProductID]],Products!A:A,Products!E:E)</f>
        <v>81.069999999999993</v>
      </c>
      <c r="L212" s="5">
        <v>131.91</v>
      </c>
      <c r="M212" s="6">
        <v>0.15</v>
      </c>
      <c r="N212" t="s">
        <v>10</v>
      </c>
      <c r="O212" s="5">
        <f t="shared" si="15"/>
        <v>112.12349999999999</v>
      </c>
      <c r="P212" s="5">
        <f t="shared" si="16"/>
        <v>672.74099999999999</v>
      </c>
      <c r="Q212" s="5">
        <f>Table1[[#This Row],[Quantity]]*(Table1[[#This Row],[Saleprice]]-Table1[[#This Row],[Costprice]])</f>
        <v>186.321</v>
      </c>
      <c r="R212">
        <f t="shared" si="17"/>
        <v>2022</v>
      </c>
      <c r="S212">
        <f t="shared" si="18"/>
        <v>3</v>
      </c>
      <c r="T212" t="str">
        <f t="shared" si="19"/>
        <v>March</v>
      </c>
    </row>
    <row r="213" spans="1:20" x14ac:dyDescent="0.3">
      <c r="A213" s="3">
        <v>44630</v>
      </c>
      <c r="B213">
        <v>109</v>
      </c>
      <c r="C213" s="3">
        <f>_xlfn.XLOOKUP(B213,Stores!A:A,Stores!E:E)</f>
        <v>44600</v>
      </c>
      <c r="D213">
        <v>204</v>
      </c>
      <c r="E213" s="3">
        <f>_xlfn.XLOOKUP(D213,SalesReps!A:A,SalesReps!D:D)</f>
        <v>44388</v>
      </c>
      <c r="F213" s="3" t="str">
        <f>_xlfn.XLOOKUP(Table1[[#This Row],[RepID]],SalesReps!A:A,SalesReps!E:E)</f>
        <v>Active</v>
      </c>
      <c r="G213">
        <v>320</v>
      </c>
      <c r="H213" t="str">
        <f>_xlfn.XLOOKUP(Table1[[#This Row],[ProductID]],Products!A:A,Products!B:B)</f>
        <v>Toys</v>
      </c>
      <c r="I213" t="str">
        <f>_xlfn.XLOOKUP(Table1[[#This Row],[ProductID]],Products!A:A,Products!C:C)</f>
        <v>Outdoor</v>
      </c>
      <c r="J213">
        <v>8</v>
      </c>
      <c r="K213" s="5">
        <f>_xlfn.XLOOKUP(Table1[[#This Row],[ProductID]],Products!A:A,Products!E:E)</f>
        <v>304.58999999999997</v>
      </c>
      <c r="L213" s="5">
        <v>391.59</v>
      </c>
      <c r="M213" s="6">
        <v>0.23</v>
      </c>
      <c r="N213" t="s">
        <v>11</v>
      </c>
      <c r="O213" s="5">
        <f t="shared" si="15"/>
        <v>301.52429999999998</v>
      </c>
      <c r="P213" s="5">
        <f t="shared" si="16"/>
        <v>2412.1943999999999</v>
      </c>
      <c r="Q213" s="5">
        <f>Table1[[#This Row],[Quantity]]*(Table1[[#This Row],[Saleprice]]-Table1[[#This Row],[Costprice]])</f>
        <v>-24.52559999999994</v>
      </c>
      <c r="R213">
        <f t="shared" si="17"/>
        <v>2022</v>
      </c>
      <c r="S213">
        <f t="shared" si="18"/>
        <v>3</v>
      </c>
      <c r="T213" t="str">
        <f t="shared" si="19"/>
        <v>March</v>
      </c>
    </row>
    <row r="214" spans="1:20" x14ac:dyDescent="0.3">
      <c r="A214" s="3">
        <v>44630</v>
      </c>
      <c r="B214">
        <v>104</v>
      </c>
      <c r="C214" s="3">
        <f>_xlfn.XLOOKUP(B214,Stores!A:A,Stores!E:E)</f>
        <v>44297</v>
      </c>
      <c r="D214">
        <v>202</v>
      </c>
      <c r="E214" s="3">
        <f>_xlfn.XLOOKUP(D214,SalesReps!A:A,SalesReps!D:D)</f>
        <v>44610</v>
      </c>
      <c r="F214" s="3" t="str">
        <f>_xlfn.XLOOKUP(Table1[[#This Row],[RepID]],SalesReps!A:A,SalesReps!E:E)</f>
        <v>Active</v>
      </c>
      <c r="G214">
        <v>310</v>
      </c>
      <c r="H214" t="str">
        <f>_xlfn.XLOOKUP(Table1[[#This Row],[ProductID]],Products!A:A,Products!B:B)</f>
        <v>Home &amp; Kitchen</v>
      </c>
      <c r="I214" t="str">
        <f>_xlfn.XLOOKUP(Table1[[#This Row],[ProductID]],Products!A:A,Products!C:C)</f>
        <v>Furniture</v>
      </c>
      <c r="J214">
        <v>3</v>
      </c>
      <c r="K214" s="5">
        <f>_xlfn.XLOOKUP(Table1[[#This Row],[ProductID]],Products!A:A,Products!E:E)</f>
        <v>160.31</v>
      </c>
      <c r="L214" s="5">
        <v>228.86</v>
      </c>
      <c r="M214" s="6">
        <v>0.22</v>
      </c>
      <c r="N214" t="s">
        <v>10</v>
      </c>
      <c r="O214" s="5">
        <f t="shared" si="15"/>
        <v>178.51080000000002</v>
      </c>
      <c r="P214" s="5">
        <f t="shared" si="16"/>
        <v>535.53240000000005</v>
      </c>
      <c r="Q214" s="5">
        <f>Table1[[#This Row],[Quantity]]*(Table1[[#This Row],[Saleprice]]-Table1[[#This Row],[Costprice]])</f>
        <v>54.602400000000046</v>
      </c>
      <c r="R214">
        <f t="shared" si="17"/>
        <v>2022</v>
      </c>
      <c r="S214">
        <f t="shared" si="18"/>
        <v>3</v>
      </c>
      <c r="T214" t="str">
        <f t="shared" si="19"/>
        <v>March</v>
      </c>
    </row>
    <row r="215" spans="1:20" x14ac:dyDescent="0.3">
      <c r="A215" s="3">
        <v>44631</v>
      </c>
      <c r="B215">
        <v>104</v>
      </c>
      <c r="C215" s="3">
        <f>_xlfn.XLOOKUP(B215,Stores!A:A,Stores!E:E)</f>
        <v>44297</v>
      </c>
      <c r="D215">
        <v>202</v>
      </c>
      <c r="E215" s="3">
        <f>_xlfn.XLOOKUP(D215,SalesReps!A:A,SalesReps!D:D)</f>
        <v>44610</v>
      </c>
      <c r="F215" s="3" t="str">
        <f>_xlfn.XLOOKUP(Table1[[#This Row],[RepID]],SalesReps!A:A,SalesReps!E:E)</f>
        <v>Active</v>
      </c>
      <c r="G215">
        <v>314</v>
      </c>
      <c r="H215" t="str">
        <f>_xlfn.XLOOKUP(Table1[[#This Row],[ProductID]],Products!A:A,Products!B:B)</f>
        <v>Clothing</v>
      </c>
      <c r="I215" t="str">
        <f>_xlfn.XLOOKUP(Table1[[#This Row],[ProductID]],Products!A:A,Products!C:C)</f>
        <v>Kids</v>
      </c>
      <c r="J215">
        <v>1</v>
      </c>
      <c r="K215" s="5">
        <f>_xlfn.XLOOKUP(Table1[[#This Row],[ProductID]],Products!A:A,Products!E:E)</f>
        <v>276.47000000000003</v>
      </c>
      <c r="L215" s="5">
        <v>298.98</v>
      </c>
      <c r="M215" s="6">
        <v>7.0000000000000007E-2</v>
      </c>
      <c r="N215" t="s">
        <v>10</v>
      </c>
      <c r="O215" s="5">
        <f t="shared" si="15"/>
        <v>278.0514</v>
      </c>
      <c r="P215" s="5">
        <f t="shared" si="16"/>
        <v>278.0514</v>
      </c>
      <c r="Q215" s="5">
        <f>Table1[[#This Row],[Quantity]]*(Table1[[#This Row],[Saleprice]]-Table1[[#This Row],[Costprice]])</f>
        <v>1.5813999999999737</v>
      </c>
      <c r="R215">
        <f t="shared" si="17"/>
        <v>2022</v>
      </c>
      <c r="S215">
        <f t="shared" si="18"/>
        <v>3</v>
      </c>
      <c r="T215" t="str">
        <f t="shared" si="19"/>
        <v>March</v>
      </c>
    </row>
    <row r="216" spans="1:20" x14ac:dyDescent="0.3">
      <c r="A216" s="3">
        <v>44631</v>
      </c>
      <c r="B216">
        <v>109</v>
      </c>
      <c r="C216" s="3">
        <f>_xlfn.XLOOKUP(B216,Stores!A:A,Stores!E:E)</f>
        <v>44600</v>
      </c>
      <c r="D216">
        <v>204</v>
      </c>
      <c r="E216" s="3">
        <f>_xlfn.XLOOKUP(D216,SalesReps!A:A,SalesReps!D:D)</f>
        <v>44388</v>
      </c>
      <c r="F216" s="3" t="str">
        <f>_xlfn.XLOOKUP(Table1[[#This Row],[RepID]],SalesReps!A:A,SalesReps!E:E)</f>
        <v>Active</v>
      </c>
      <c r="G216">
        <v>302</v>
      </c>
      <c r="H216" t="str">
        <f>_xlfn.XLOOKUP(Table1[[#This Row],[ProductID]],Products!A:A,Products!B:B)</f>
        <v>Toys</v>
      </c>
      <c r="I216" t="str">
        <f>_xlfn.XLOOKUP(Table1[[#This Row],[ProductID]],Products!A:A,Products!C:C)</f>
        <v>Outdoor</v>
      </c>
      <c r="J216">
        <v>8</v>
      </c>
      <c r="K216" s="5">
        <f>_xlfn.XLOOKUP(Table1[[#This Row],[ProductID]],Products!A:A,Products!E:E)</f>
        <v>393.46</v>
      </c>
      <c r="L216" s="5">
        <v>407.52</v>
      </c>
      <c r="M216" s="6">
        <v>0.12</v>
      </c>
      <c r="N216" t="s">
        <v>11</v>
      </c>
      <c r="O216" s="5">
        <f t="shared" si="15"/>
        <v>358.61759999999998</v>
      </c>
      <c r="P216" s="5">
        <f t="shared" si="16"/>
        <v>2868.9407999999999</v>
      </c>
      <c r="Q216" s="5">
        <f>Table1[[#This Row],[Quantity]]*(Table1[[#This Row],[Saleprice]]-Table1[[#This Row],[Costprice]])</f>
        <v>-278.73919999999998</v>
      </c>
      <c r="R216">
        <f t="shared" si="17"/>
        <v>2022</v>
      </c>
      <c r="S216">
        <f t="shared" si="18"/>
        <v>3</v>
      </c>
      <c r="T216" t="str">
        <f t="shared" si="19"/>
        <v>March</v>
      </c>
    </row>
    <row r="217" spans="1:20" x14ac:dyDescent="0.3">
      <c r="A217" s="3">
        <v>44632</v>
      </c>
      <c r="B217">
        <v>104</v>
      </c>
      <c r="C217" s="3">
        <f>_xlfn.XLOOKUP(B217,Stores!A:A,Stores!E:E)</f>
        <v>44297</v>
      </c>
      <c r="D217">
        <v>202</v>
      </c>
      <c r="E217" s="3">
        <f>_xlfn.XLOOKUP(D217,SalesReps!A:A,SalesReps!D:D)</f>
        <v>44610</v>
      </c>
      <c r="F217" s="3" t="str">
        <f>_xlfn.XLOOKUP(Table1[[#This Row],[RepID]],SalesReps!A:A,SalesReps!E:E)</f>
        <v>Active</v>
      </c>
      <c r="G217">
        <v>306</v>
      </c>
      <c r="H217" t="str">
        <f>_xlfn.XLOOKUP(Table1[[#This Row],[ProductID]],Products!A:A,Products!B:B)</f>
        <v>Clothing</v>
      </c>
      <c r="I217" t="str">
        <f>_xlfn.XLOOKUP(Table1[[#This Row],[ProductID]],Products!A:A,Products!C:C)</f>
        <v>Men</v>
      </c>
      <c r="J217">
        <v>8</v>
      </c>
      <c r="K217" s="5">
        <f>_xlfn.XLOOKUP(Table1[[#This Row],[ProductID]],Products!A:A,Products!E:E)</f>
        <v>185.69</v>
      </c>
      <c r="L217" s="5">
        <v>241.13</v>
      </c>
      <c r="M217" s="6">
        <v>0.14000000000000001</v>
      </c>
      <c r="N217" t="s">
        <v>10</v>
      </c>
      <c r="O217" s="5">
        <f t="shared" si="15"/>
        <v>207.37179999999998</v>
      </c>
      <c r="P217" s="5">
        <f t="shared" si="16"/>
        <v>1658.9743999999998</v>
      </c>
      <c r="Q217" s="5">
        <f>Table1[[#This Row],[Quantity]]*(Table1[[#This Row],[Saleprice]]-Table1[[#This Row],[Costprice]])</f>
        <v>173.45439999999985</v>
      </c>
      <c r="R217">
        <f t="shared" si="17"/>
        <v>2022</v>
      </c>
      <c r="S217">
        <f t="shared" si="18"/>
        <v>3</v>
      </c>
      <c r="T217" t="str">
        <f t="shared" si="19"/>
        <v>March</v>
      </c>
    </row>
    <row r="218" spans="1:20" x14ac:dyDescent="0.3">
      <c r="A218" s="3">
        <v>44632</v>
      </c>
      <c r="B218">
        <v>104</v>
      </c>
      <c r="C218" s="3">
        <f>_xlfn.XLOOKUP(B218,Stores!A:A,Stores!E:E)</f>
        <v>44297</v>
      </c>
      <c r="D218">
        <v>202</v>
      </c>
      <c r="E218" s="3">
        <f>_xlfn.XLOOKUP(D218,SalesReps!A:A,SalesReps!D:D)</f>
        <v>44610</v>
      </c>
      <c r="F218" s="3" t="str">
        <f>_xlfn.XLOOKUP(Table1[[#This Row],[RepID]],SalesReps!A:A,SalesReps!E:E)</f>
        <v>Active</v>
      </c>
      <c r="G218">
        <v>311</v>
      </c>
      <c r="H218" t="str">
        <f>_xlfn.XLOOKUP(Table1[[#This Row],[ProductID]],Products!A:A,Products!B:B)</f>
        <v>Home &amp; Kitchen</v>
      </c>
      <c r="I218" t="str">
        <f>_xlfn.XLOOKUP(Table1[[#This Row],[ProductID]],Products!A:A,Products!C:C)</f>
        <v>Furniture</v>
      </c>
      <c r="J218">
        <v>2</v>
      </c>
      <c r="K218" s="5">
        <f>_xlfn.XLOOKUP(Table1[[#This Row],[ProductID]],Products!A:A,Products!E:E)</f>
        <v>16.23</v>
      </c>
      <c r="L218" s="5">
        <v>46.74</v>
      </c>
      <c r="M218" s="6">
        <v>0.15</v>
      </c>
      <c r="N218" t="s">
        <v>10</v>
      </c>
      <c r="O218" s="5">
        <f t="shared" si="15"/>
        <v>39.728999999999999</v>
      </c>
      <c r="P218" s="5">
        <f t="shared" si="16"/>
        <v>79.457999999999998</v>
      </c>
      <c r="Q218" s="5">
        <f>Table1[[#This Row],[Quantity]]*(Table1[[#This Row],[Saleprice]]-Table1[[#This Row],[Costprice]])</f>
        <v>46.997999999999998</v>
      </c>
      <c r="R218">
        <f t="shared" si="17"/>
        <v>2022</v>
      </c>
      <c r="S218">
        <f t="shared" si="18"/>
        <v>3</v>
      </c>
      <c r="T218" t="str">
        <f t="shared" si="19"/>
        <v>March</v>
      </c>
    </row>
    <row r="219" spans="1:20" x14ac:dyDescent="0.3">
      <c r="A219" s="3">
        <v>44633</v>
      </c>
      <c r="B219">
        <v>109</v>
      </c>
      <c r="C219" s="3">
        <f>_xlfn.XLOOKUP(B219,Stores!A:A,Stores!E:E)</f>
        <v>44600</v>
      </c>
      <c r="D219">
        <v>204</v>
      </c>
      <c r="E219" s="3">
        <f>_xlfn.XLOOKUP(D219,SalesReps!A:A,SalesReps!D:D)</f>
        <v>44388</v>
      </c>
      <c r="F219" s="3" t="str">
        <f>_xlfn.XLOOKUP(Table1[[#This Row],[RepID]],SalesReps!A:A,SalesReps!E:E)</f>
        <v>Active</v>
      </c>
      <c r="G219">
        <v>319</v>
      </c>
      <c r="H219" t="str">
        <f>_xlfn.XLOOKUP(Table1[[#This Row],[ProductID]],Products!A:A,Products!B:B)</f>
        <v>Toys</v>
      </c>
      <c r="I219" t="str">
        <f>_xlfn.XLOOKUP(Table1[[#This Row],[ProductID]],Products!A:A,Products!C:C)</f>
        <v>Board Games</v>
      </c>
      <c r="J219">
        <v>9</v>
      </c>
      <c r="K219" s="5">
        <f>_xlfn.XLOOKUP(Table1[[#This Row],[ProductID]],Products!A:A,Products!E:E)</f>
        <v>81.069999999999993</v>
      </c>
      <c r="L219" s="5">
        <v>174.51</v>
      </c>
      <c r="M219" s="6">
        <v>0.24</v>
      </c>
      <c r="N219" t="s">
        <v>11</v>
      </c>
      <c r="O219" s="5">
        <f t="shared" si="15"/>
        <v>132.6276</v>
      </c>
      <c r="P219" s="5">
        <f t="shared" si="16"/>
        <v>1193.6484</v>
      </c>
      <c r="Q219" s="5">
        <f>Table1[[#This Row],[Quantity]]*(Table1[[#This Row],[Saleprice]]-Table1[[#This Row],[Costprice]])</f>
        <v>464.01840000000004</v>
      </c>
      <c r="R219">
        <f t="shared" si="17"/>
        <v>2022</v>
      </c>
      <c r="S219">
        <f t="shared" si="18"/>
        <v>3</v>
      </c>
      <c r="T219" t="str">
        <f t="shared" si="19"/>
        <v>March</v>
      </c>
    </row>
    <row r="220" spans="1:20" x14ac:dyDescent="0.3">
      <c r="A220" s="3">
        <v>44634</v>
      </c>
      <c r="B220">
        <v>104</v>
      </c>
      <c r="C220" s="3">
        <f>_xlfn.XLOOKUP(B220,Stores!A:A,Stores!E:E)</f>
        <v>44297</v>
      </c>
      <c r="D220">
        <v>202</v>
      </c>
      <c r="E220" s="3">
        <f>_xlfn.XLOOKUP(D220,SalesReps!A:A,SalesReps!D:D)</f>
        <v>44610</v>
      </c>
      <c r="F220" s="3" t="str">
        <f>_xlfn.XLOOKUP(Table1[[#This Row],[RepID]],SalesReps!A:A,SalesReps!E:E)</f>
        <v>Active</v>
      </c>
      <c r="G220">
        <v>308</v>
      </c>
      <c r="H220" t="str">
        <f>_xlfn.XLOOKUP(Table1[[#This Row],[ProductID]],Products!A:A,Products!B:B)</f>
        <v>Home &amp; Kitchen</v>
      </c>
      <c r="I220" t="str">
        <f>_xlfn.XLOOKUP(Table1[[#This Row],[ProductID]],Products!A:A,Products!C:C)</f>
        <v>Furniture</v>
      </c>
      <c r="J220">
        <v>3</v>
      </c>
      <c r="K220" s="5">
        <f>_xlfn.XLOOKUP(Table1[[#This Row],[ProductID]],Products!A:A,Products!E:E)</f>
        <v>377.46</v>
      </c>
      <c r="L220" s="5">
        <v>466.31</v>
      </c>
      <c r="M220" s="6">
        <v>0.09</v>
      </c>
      <c r="N220" t="s">
        <v>10</v>
      </c>
      <c r="O220" s="5">
        <f t="shared" si="15"/>
        <v>424.34210000000002</v>
      </c>
      <c r="P220" s="5">
        <f t="shared" si="16"/>
        <v>1273.0263</v>
      </c>
      <c r="Q220" s="5">
        <f>Table1[[#This Row],[Quantity]]*(Table1[[#This Row],[Saleprice]]-Table1[[#This Row],[Costprice]])</f>
        <v>140.64630000000011</v>
      </c>
      <c r="R220">
        <f t="shared" si="17"/>
        <v>2022</v>
      </c>
      <c r="S220">
        <f t="shared" si="18"/>
        <v>3</v>
      </c>
      <c r="T220" t="str">
        <f t="shared" si="19"/>
        <v>March</v>
      </c>
    </row>
    <row r="221" spans="1:20" x14ac:dyDescent="0.3">
      <c r="A221" s="3">
        <v>44636</v>
      </c>
      <c r="B221">
        <v>109</v>
      </c>
      <c r="C221" s="3">
        <f>_xlfn.XLOOKUP(B221,Stores!A:A,Stores!E:E)</f>
        <v>44600</v>
      </c>
      <c r="D221">
        <v>204</v>
      </c>
      <c r="E221" s="3">
        <f>_xlfn.XLOOKUP(D221,SalesReps!A:A,SalesReps!D:D)</f>
        <v>44388</v>
      </c>
      <c r="F221" s="3" t="str">
        <f>_xlfn.XLOOKUP(Table1[[#This Row],[RepID]],SalesReps!A:A,SalesReps!E:E)</f>
        <v>Active</v>
      </c>
      <c r="G221">
        <v>307</v>
      </c>
      <c r="H221" t="str">
        <f>_xlfn.XLOOKUP(Table1[[#This Row],[ProductID]],Products!A:A,Products!B:B)</f>
        <v>Toys</v>
      </c>
      <c r="I221" t="str">
        <f>_xlfn.XLOOKUP(Table1[[#This Row],[ProductID]],Products!A:A,Products!C:C)</f>
        <v>Outdoor</v>
      </c>
      <c r="J221">
        <v>8</v>
      </c>
      <c r="K221" s="5">
        <f>_xlfn.XLOOKUP(Table1[[#This Row],[ProductID]],Products!A:A,Products!E:E)</f>
        <v>15.17</v>
      </c>
      <c r="L221" s="5">
        <v>71.61</v>
      </c>
      <c r="M221" s="6">
        <v>0.19</v>
      </c>
      <c r="N221" t="s">
        <v>11</v>
      </c>
      <c r="O221" s="5">
        <f t="shared" si="15"/>
        <v>58.004100000000001</v>
      </c>
      <c r="P221" s="5">
        <f t="shared" si="16"/>
        <v>464.03280000000001</v>
      </c>
      <c r="Q221" s="5">
        <f>Table1[[#This Row],[Quantity]]*(Table1[[#This Row],[Saleprice]]-Table1[[#This Row],[Costprice]])</f>
        <v>342.6728</v>
      </c>
      <c r="R221">
        <f t="shared" si="17"/>
        <v>2022</v>
      </c>
      <c r="S221">
        <f t="shared" si="18"/>
        <v>3</v>
      </c>
      <c r="T221" t="str">
        <f t="shared" si="19"/>
        <v>March</v>
      </c>
    </row>
    <row r="222" spans="1:20" x14ac:dyDescent="0.3">
      <c r="A222" s="3">
        <v>44636</v>
      </c>
      <c r="B222">
        <v>104</v>
      </c>
      <c r="C222" s="3">
        <f>_xlfn.XLOOKUP(B222,Stores!A:A,Stores!E:E)</f>
        <v>44297</v>
      </c>
      <c r="D222">
        <v>202</v>
      </c>
      <c r="E222" s="3">
        <f>_xlfn.XLOOKUP(D222,SalesReps!A:A,SalesReps!D:D)</f>
        <v>44610</v>
      </c>
      <c r="F222" s="3" t="str">
        <f>_xlfn.XLOOKUP(Table1[[#This Row],[RepID]],SalesReps!A:A,SalesReps!E:E)</f>
        <v>Active</v>
      </c>
      <c r="G222">
        <v>301</v>
      </c>
      <c r="H222" t="str">
        <f>_xlfn.XLOOKUP(Table1[[#This Row],[ProductID]],Products!A:A,Products!B:B)</f>
        <v>Electronics</v>
      </c>
      <c r="I222" t="str">
        <f>_xlfn.XLOOKUP(Table1[[#This Row],[ProductID]],Products!A:A,Products!C:C)</f>
        <v>Mobiles</v>
      </c>
      <c r="J222">
        <v>9</v>
      </c>
      <c r="K222" s="5">
        <f>_xlfn.XLOOKUP(Table1[[#This Row],[ProductID]],Products!A:A,Products!E:E)</f>
        <v>159.16</v>
      </c>
      <c r="L222" s="5">
        <v>201.7</v>
      </c>
      <c r="M222" s="6">
        <v>0.24</v>
      </c>
      <c r="N222" t="s">
        <v>10</v>
      </c>
      <c r="O222" s="5">
        <f t="shared" si="15"/>
        <v>153.292</v>
      </c>
      <c r="P222" s="5">
        <f t="shared" si="16"/>
        <v>1379.6279999999999</v>
      </c>
      <c r="Q222" s="5">
        <f>Table1[[#This Row],[Quantity]]*(Table1[[#This Row],[Saleprice]]-Table1[[#This Row],[Costprice]])</f>
        <v>-52.811999999999955</v>
      </c>
      <c r="R222">
        <f t="shared" si="17"/>
        <v>2022</v>
      </c>
      <c r="S222">
        <f t="shared" si="18"/>
        <v>3</v>
      </c>
      <c r="T222" t="str">
        <f t="shared" si="19"/>
        <v>March</v>
      </c>
    </row>
    <row r="223" spans="1:20" x14ac:dyDescent="0.3">
      <c r="A223" s="3">
        <v>44636</v>
      </c>
      <c r="B223">
        <v>104</v>
      </c>
      <c r="C223" s="3">
        <f>_xlfn.XLOOKUP(B223,Stores!A:A,Stores!E:E)</f>
        <v>44297</v>
      </c>
      <c r="D223">
        <v>202</v>
      </c>
      <c r="E223" s="3">
        <f>_xlfn.XLOOKUP(D223,SalesReps!A:A,SalesReps!D:D)</f>
        <v>44610</v>
      </c>
      <c r="F223" s="3" t="str">
        <f>_xlfn.XLOOKUP(Table1[[#This Row],[RepID]],SalesReps!A:A,SalesReps!E:E)</f>
        <v>Active</v>
      </c>
      <c r="G223">
        <v>308</v>
      </c>
      <c r="H223" t="str">
        <f>_xlfn.XLOOKUP(Table1[[#This Row],[ProductID]],Products!A:A,Products!B:B)</f>
        <v>Home &amp; Kitchen</v>
      </c>
      <c r="I223" t="str">
        <f>_xlfn.XLOOKUP(Table1[[#This Row],[ProductID]],Products!A:A,Products!C:C)</f>
        <v>Furniture</v>
      </c>
      <c r="J223">
        <v>4</v>
      </c>
      <c r="K223" s="5">
        <f>_xlfn.XLOOKUP(Table1[[#This Row],[ProductID]],Products!A:A,Products!E:E)</f>
        <v>377.46</v>
      </c>
      <c r="L223" s="5">
        <v>466.31</v>
      </c>
      <c r="M223" s="6">
        <v>0.09</v>
      </c>
      <c r="N223" t="s">
        <v>10</v>
      </c>
      <c r="O223" s="5">
        <f t="shared" si="15"/>
        <v>424.34210000000002</v>
      </c>
      <c r="P223" s="5">
        <f t="shared" si="16"/>
        <v>1697.3684000000001</v>
      </c>
      <c r="Q223" s="5">
        <f>Table1[[#This Row],[Quantity]]*(Table1[[#This Row],[Saleprice]]-Table1[[#This Row],[Costprice]])</f>
        <v>187.52840000000015</v>
      </c>
      <c r="R223">
        <f t="shared" si="17"/>
        <v>2022</v>
      </c>
      <c r="S223">
        <f t="shared" si="18"/>
        <v>3</v>
      </c>
      <c r="T223" t="str">
        <f t="shared" si="19"/>
        <v>March</v>
      </c>
    </row>
    <row r="224" spans="1:20" x14ac:dyDescent="0.3">
      <c r="A224" s="3">
        <v>44637</v>
      </c>
      <c r="B224">
        <v>109</v>
      </c>
      <c r="C224" s="3">
        <f>_xlfn.XLOOKUP(B224,Stores!A:A,Stores!E:E)</f>
        <v>44600</v>
      </c>
      <c r="D224">
        <v>204</v>
      </c>
      <c r="E224" s="3">
        <f>_xlfn.XLOOKUP(D224,SalesReps!A:A,SalesReps!D:D)</f>
        <v>44388</v>
      </c>
      <c r="F224" s="3" t="str">
        <f>_xlfn.XLOOKUP(Table1[[#This Row],[RepID]],SalesReps!A:A,SalesReps!E:E)</f>
        <v>Active</v>
      </c>
      <c r="G224">
        <v>303</v>
      </c>
      <c r="H224" t="str">
        <f>_xlfn.XLOOKUP(Table1[[#This Row],[ProductID]],Products!A:A,Products!B:B)</f>
        <v>Home &amp; Kitchen</v>
      </c>
      <c r="I224" t="str">
        <f>_xlfn.XLOOKUP(Table1[[#This Row],[ProductID]],Products!A:A,Products!C:C)</f>
        <v>Furniture</v>
      </c>
      <c r="J224">
        <v>2</v>
      </c>
      <c r="K224" s="5">
        <f>_xlfn.XLOOKUP(Table1[[#This Row],[ProductID]],Products!A:A,Products!E:E)</f>
        <v>192.04</v>
      </c>
      <c r="L224" s="5">
        <v>250.55</v>
      </c>
      <c r="M224" s="6">
        <v>0.19</v>
      </c>
      <c r="N224" t="s">
        <v>11</v>
      </c>
      <c r="O224" s="5">
        <f t="shared" si="15"/>
        <v>202.94550000000001</v>
      </c>
      <c r="P224" s="5">
        <f t="shared" si="16"/>
        <v>405.89100000000002</v>
      </c>
      <c r="Q224" s="5">
        <f>Table1[[#This Row],[Quantity]]*(Table1[[#This Row],[Saleprice]]-Table1[[#This Row],[Costprice]])</f>
        <v>21.811000000000035</v>
      </c>
      <c r="R224">
        <f t="shared" si="17"/>
        <v>2022</v>
      </c>
      <c r="S224">
        <f t="shared" si="18"/>
        <v>3</v>
      </c>
      <c r="T224" t="str">
        <f t="shared" si="19"/>
        <v>March</v>
      </c>
    </row>
    <row r="225" spans="1:20" x14ac:dyDescent="0.3">
      <c r="A225" s="3">
        <v>44637</v>
      </c>
      <c r="B225">
        <v>109</v>
      </c>
      <c r="C225" s="3">
        <f>_xlfn.XLOOKUP(B225,Stores!A:A,Stores!E:E)</f>
        <v>44600</v>
      </c>
      <c r="D225">
        <v>204</v>
      </c>
      <c r="E225" s="3">
        <f>_xlfn.XLOOKUP(D225,SalesReps!A:A,SalesReps!D:D)</f>
        <v>44388</v>
      </c>
      <c r="F225" s="3" t="str">
        <f>_xlfn.XLOOKUP(Table1[[#This Row],[RepID]],SalesReps!A:A,SalesReps!E:E)</f>
        <v>Active</v>
      </c>
      <c r="G225">
        <v>303</v>
      </c>
      <c r="H225" t="str">
        <f>_xlfn.XLOOKUP(Table1[[#This Row],[ProductID]],Products!A:A,Products!B:B)</f>
        <v>Home &amp; Kitchen</v>
      </c>
      <c r="I225" t="str">
        <f>_xlfn.XLOOKUP(Table1[[#This Row],[ProductID]],Products!A:A,Products!C:C)</f>
        <v>Furniture</v>
      </c>
      <c r="J225">
        <v>8</v>
      </c>
      <c r="K225" s="5">
        <f>_xlfn.XLOOKUP(Table1[[#This Row],[ProductID]],Products!A:A,Products!E:E)</f>
        <v>192.04</v>
      </c>
      <c r="L225" s="5">
        <v>250.55</v>
      </c>
      <c r="M225" s="6">
        <v>0.19</v>
      </c>
      <c r="N225" t="s">
        <v>11</v>
      </c>
      <c r="O225" s="5">
        <f t="shared" si="15"/>
        <v>202.94550000000001</v>
      </c>
      <c r="P225" s="5">
        <f t="shared" si="16"/>
        <v>1623.5640000000001</v>
      </c>
      <c r="Q225" s="5">
        <f>Table1[[#This Row],[Quantity]]*(Table1[[#This Row],[Saleprice]]-Table1[[#This Row],[Costprice]])</f>
        <v>87.244000000000142</v>
      </c>
      <c r="R225">
        <f t="shared" si="17"/>
        <v>2022</v>
      </c>
      <c r="S225">
        <f t="shared" si="18"/>
        <v>3</v>
      </c>
      <c r="T225" t="str">
        <f t="shared" si="19"/>
        <v>March</v>
      </c>
    </row>
    <row r="226" spans="1:20" x14ac:dyDescent="0.3">
      <c r="A226" s="3">
        <v>44638</v>
      </c>
      <c r="B226">
        <v>104</v>
      </c>
      <c r="C226" s="3">
        <f>_xlfn.XLOOKUP(B226,Stores!A:A,Stores!E:E)</f>
        <v>44297</v>
      </c>
      <c r="D226">
        <v>202</v>
      </c>
      <c r="E226" s="3">
        <f>_xlfn.XLOOKUP(D226,SalesReps!A:A,SalesReps!D:D)</f>
        <v>44610</v>
      </c>
      <c r="F226" s="3" t="str">
        <f>_xlfn.XLOOKUP(Table1[[#This Row],[RepID]],SalesReps!A:A,SalesReps!E:E)</f>
        <v>Active</v>
      </c>
      <c r="G226">
        <v>306</v>
      </c>
      <c r="H226" t="str">
        <f>_xlfn.XLOOKUP(Table1[[#This Row],[ProductID]],Products!A:A,Products!B:B)</f>
        <v>Clothing</v>
      </c>
      <c r="I226" t="str">
        <f>_xlfn.XLOOKUP(Table1[[#This Row],[ProductID]],Products!A:A,Products!C:C)</f>
        <v>Men</v>
      </c>
      <c r="J226">
        <v>8</v>
      </c>
      <c r="K226" s="5">
        <f>_xlfn.XLOOKUP(Table1[[#This Row],[ProductID]],Products!A:A,Products!E:E)</f>
        <v>185.69</v>
      </c>
      <c r="L226" s="5">
        <v>241.13</v>
      </c>
      <c r="M226" s="6">
        <v>0.14000000000000001</v>
      </c>
      <c r="N226" t="s">
        <v>10</v>
      </c>
      <c r="O226" s="5">
        <f t="shared" si="15"/>
        <v>207.37179999999998</v>
      </c>
      <c r="P226" s="5">
        <f t="shared" si="16"/>
        <v>1658.9743999999998</v>
      </c>
      <c r="Q226" s="5">
        <f>Table1[[#This Row],[Quantity]]*(Table1[[#This Row],[Saleprice]]-Table1[[#This Row],[Costprice]])</f>
        <v>173.45439999999985</v>
      </c>
      <c r="R226">
        <f t="shared" si="17"/>
        <v>2022</v>
      </c>
      <c r="S226">
        <f t="shared" si="18"/>
        <v>3</v>
      </c>
      <c r="T226" t="str">
        <f t="shared" si="19"/>
        <v>March</v>
      </c>
    </row>
    <row r="227" spans="1:20" x14ac:dyDescent="0.3">
      <c r="A227" s="3">
        <v>44639</v>
      </c>
      <c r="B227">
        <v>104</v>
      </c>
      <c r="C227" s="3">
        <f>_xlfn.XLOOKUP(B227,Stores!A:A,Stores!E:E)</f>
        <v>44297</v>
      </c>
      <c r="D227">
        <v>202</v>
      </c>
      <c r="E227" s="3">
        <f>_xlfn.XLOOKUP(D227,SalesReps!A:A,SalesReps!D:D)</f>
        <v>44610</v>
      </c>
      <c r="F227" s="3" t="str">
        <f>_xlfn.XLOOKUP(Table1[[#This Row],[RepID]],SalesReps!A:A,SalesReps!E:E)</f>
        <v>Active</v>
      </c>
      <c r="G227">
        <v>304</v>
      </c>
      <c r="H227" t="str">
        <f>_xlfn.XLOOKUP(Table1[[#This Row],[ProductID]],Products!A:A,Products!B:B)</f>
        <v>Home &amp; Kitchen</v>
      </c>
      <c r="I227" t="str">
        <f>_xlfn.XLOOKUP(Table1[[#This Row],[ProductID]],Products!A:A,Products!C:C)</f>
        <v>Furniture</v>
      </c>
      <c r="J227">
        <v>7</v>
      </c>
      <c r="K227" s="5">
        <f>_xlfn.XLOOKUP(Table1[[#This Row],[ProductID]],Products!A:A,Products!E:E)</f>
        <v>345.38</v>
      </c>
      <c r="L227" s="5">
        <v>409.69</v>
      </c>
      <c r="M227" s="6">
        <v>0.11</v>
      </c>
      <c r="N227" t="s">
        <v>10</v>
      </c>
      <c r="O227" s="5">
        <f t="shared" si="15"/>
        <v>364.6241</v>
      </c>
      <c r="P227" s="5">
        <f t="shared" si="16"/>
        <v>2552.3687</v>
      </c>
      <c r="Q227" s="5">
        <f>Table1[[#This Row],[Quantity]]*(Table1[[#This Row],[Saleprice]]-Table1[[#This Row],[Costprice]])</f>
        <v>134.70870000000002</v>
      </c>
      <c r="R227">
        <f t="shared" si="17"/>
        <v>2022</v>
      </c>
      <c r="S227">
        <f t="shared" si="18"/>
        <v>3</v>
      </c>
      <c r="T227" t="str">
        <f t="shared" si="19"/>
        <v>March</v>
      </c>
    </row>
    <row r="228" spans="1:20" x14ac:dyDescent="0.3">
      <c r="A228" s="3">
        <v>44640</v>
      </c>
      <c r="B228">
        <v>109</v>
      </c>
      <c r="C228" s="3">
        <f>_xlfn.XLOOKUP(B228,Stores!A:A,Stores!E:E)</f>
        <v>44600</v>
      </c>
      <c r="D228">
        <v>204</v>
      </c>
      <c r="E228" s="3">
        <f>_xlfn.XLOOKUP(D228,SalesReps!A:A,SalesReps!D:D)</f>
        <v>44388</v>
      </c>
      <c r="F228" s="3" t="str">
        <f>_xlfn.XLOOKUP(Table1[[#This Row],[RepID]],SalesReps!A:A,SalesReps!E:E)</f>
        <v>Active</v>
      </c>
      <c r="G228">
        <v>313</v>
      </c>
      <c r="H228" t="str">
        <f>_xlfn.XLOOKUP(Table1[[#This Row],[ProductID]],Products!A:A,Products!B:B)</f>
        <v>Clothing</v>
      </c>
      <c r="I228" t="str">
        <f>_xlfn.XLOOKUP(Table1[[#This Row],[ProductID]],Products!A:A,Products!C:C)</f>
        <v>Women</v>
      </c>
      <c r="J228">
        <v>4</v>
      </c>
      <c r="K228" s="5">
        <f>_xlfn.XLOOKUP(Table1[[#This Row],[ProductID]],Products!A:A,Products!E:E)</f>
        <v>104</v>
      </c>
      <c r="L228" s="5">
        <v>175.45</v>
      </c>
      <c r="M228" s="6">
        <v>0.08</v>
      </c>
      <c r="N228" t="s">
        <v>11</v>
      </c>
      <c r="O228" s="5">
        <f t="shared" si="15"/>
        <v>161.41399999999999</v>
      </c>
      <c r="P228" s="5">
        <f t="shared" si="16"/>
        <v>645.65599999999995</v>
      </c>
      <c r="Q228" s="5">
        <f>Table1[[#This Row],[Quantity]]*(Table1[[#This Row],[Saleprice]]-Table1[[#This Row],[Costprice]])</f>
        <v>229.65599999999995</v>
      </c>
      <c r="R228">
        <f t="shared" si="17"/>
        <v>2022</v>
      </c>
      <c r="S228">
        <f t="shared" si="18"/>
        <v>3</v>
      </c>
      <c r="T228" t="str">
        <f t="shared" si="19"/>
        <v>March</v>
      </c>
    </row>
    <row r="229" spans="1:20" x14ac:dyDescent="0.3">
      <c r="A229" s="3">
        <v>44642</v>
      </c>
      <c r="B229">
        <v>109</v>
      </c>
      <c r="C229" s="3">
        <f>_xlfn.XLOOKUP(B229,Stores!A:A,Stores!E:E)</f>
        <v>44600</v>
      </c>
      <c r="D229">
        <v>204</v>
      </c>
      <c r="E229" s="3">
        <f>_xlfn.XLOOKUP(D229,SalesReps!A:A,SalesReps!D:D)</f>
        <v>44388</v>
      </c>
      <c r="F229" s="3" t="str">
        <f>_xlfn.XLOOKUP(Table1[[#This Row],[RepID]],SalesReps!A:A,SalesReps!E:E)</f>
        <v>Active</v>
      </c>
      <c r="G229">
        <v>301</v>
      </c>
      <c r="H229" t="str">
        <f>_xlfn.XLOOKUP(Table1[[#This Row],[ProductID]],Products!A:A,Products!B:B)</f>
        <v>Electronics</v>
      </c>
      <c r="I229" t="str">
        <f>_xlfn.XLOOKUP(Table1[[#This Row],[ProductID]],Products!A:A,Products!C:C)</f>
        <v>Mobiles</v>
      </c>
      <c r="J229">
        <v>7</v>
      </c>
      <c r="K229" s="5">
        <f>_xlfn.XLOOKUP(Table1[[#This Row],[ProductID]],Products!A:A,Products!E:E)</f>
        <v>159.16</v>
      </c>
      <c r="L229" s="5">
        <v>219.9</v>
      </c>
      <c r="M229" s="6">
        <v>0.24</v>
      </c>
      <c r="N229" t="s">
        <v>11</v>
      </c>
      <c r="O229" s="5">
        <f t="shared" si="15"/>
        <v>167.124</v>
      </c>
      <c r="P229" s="5">
        <f t="shared" si="16"/>
        <v>1169.8679999999999</v>
      </c>
      <c r="Q229" s="5">
        <f>Table1[[#This Row],[Quantity]]*(Table1[[#This Row],[Saleprice]]-Table1[[#This Row],[Costprice]])</f>
        <v>55.74799999999999</v>
      </c>
      <c r="R229">
        <f t="shared" si="17"/>
        <v>2022</v>
      </c>
      <c r="S229">
        <f t="shared" si="18"/>
        <v>3</v>
      </c>
      <c r="T229" t="str">
        <f t="shared" si="19"/>
        <v>March</v>
      </c>
    </row>
    <row r="230" spans="1:20" x14ac:dyDescent="0.3">
      <c r="A230" s="3">
        <v>44644</v>
      </c>
      <c r="B230">
        <v>104</v>
      </c>
      <c r="C230" s="3">
        <f>_xlfn.XLOOKUP(B230,Stores!A:A,Stores!E:E)</f>
        <v>44297</v>
      </c>
      <c r="D230">
        <v>202</v>
      </c>
      <c r="E230" s="3">
        <f>_xlfn.XLOOKUP(D230,SalesReps!A:A,SalesReps!D:D)</f>
        <v>44610</v>
      </c>
      <c r="F230" s="3" t="str">
        <f>_xlfn.XLOOKUP(Table1[[#This Row],[RepID]],SalesReps!A:A,SalesReps!E:E)</f>
        <v>Active</v>
      </c>
      <c r="G230">
        <v>301</v>
      </c>
      <c r="H230" t="str">
        <f>_xlfn.XLOOKUP(Table1[[#This Row],[ProductID]],Products!A:A,Products!B:B)</f>
        <v>Electronics</v>
      </c>
      <c r="I230" t="str">
        <f>_xlfn.XLOOKUP(Table1[[#This Row],[ProductID]],Products!A:A,Products!C:C)</f>
        <v>Mobiles</v>
      </c>
      <c r="J230">
        <v>3</v>
      </c>
      <c r="K230" s="5">
        <f>_xlfn.XLOOKUP(Table1[[#This Row],[ProductID]],Products!A:A,Products!E:E)</f>
        <v>159.16</v>
      </c>
      <c r="L230" s="5">
        <v>201.7</v>
      </c>
      <c r="M230" s="6">
        <v>0.24</v>
      </c>
      <c r="N230" t="s">
        <v>10</v>
      </c>
      <c r="O230" s="5">
        <f t="shared" si="15"/>
        <v>153.292</v>
      </c>
      <c r="P230" s="5">
        <f t="shared" si="16"/>
        <v>459.87599999999998</v>
      </c>
      <c r="Q230" s="5">
        <f>Table1[[#This Row],[Quantity]]*(Table1[[#This Row],[Saleprice]]-Table1[[#This Row],[Costprice]])</f>
        <v>-17.603999999999985</v>
      </c>
      <c r="R230">
        <f t="shared" si="17"/>
        <v>2022</v>
      </c>
      <c r="S230">
        <f t="shared" si="18"/>
        <v>3</v>
      </c>
      <c r="T230" t="str">
        <f t="shared" si="19"/>
        <v>March</v>
      </c>
    </row>
    <row r="231" spans="1:20" x14ac:dyDescent="0.3">
      <c r="A231" s="3">
        <v>44645</v>
      </c>
      <c r="B231">
        <v>109</v>
      </c>
      <c r="C231" s="3">
        <f>_xlfn.XLOOKUP(B231,Stores!A:A,Stores!E:E)</f>
        <v>44600</v>
      </c>
      <c r="D231">
        <v>204</v>
      </c>
      <c r="E231" s="3">
        <f>_xlfn.XLOOKUP(D231,SalesReps!A:A,SalesReps!D:D)</f>
        <v>44388</v>
      </c>
      <c r="F231" s="3" t="str">
        <f>_xlfn.XLOOKUP(Table1[[#This Row],[RepID]],SalesReps!A:A,SalesReps!E:E)</f>
        <v>Active</v>
      </c>
      <c r="G231">
        <v>308</v>
      </c>
      <c r="H231" t="str">
        <f>_xlfn.XLOOKUP(Table1[[#This Row],[ProductID]],Products!A:A,Products!B:B)</f>
        <v>Home &amp; Kitchen</v>
      </c>
      <c r="I231" t="str">
        <f>_xlfn.XLOOKUP(Table1[[#This Row],[ProductID]],Products!A:A,Products!C:C)</f>
        <v>Furniture</v>
      </c>
      <c r="J231">
        <v>6</v>
      </c>
      <c r="K231" s="5">
        <f>_xlfn.XLOOKUP(Table1[[#This Row],[ProductID]],Products!A:A,Products!E:E)</f>
        <v>377.46</v>
      </c>
      <c r="L231" s="5">
        <v>457.07</v>
      </c>
      <c r="M231" s="6">
        <v>0.18</v>
      </c>
      <c r="N231" t="s">
        <v>11</v>
      </c>
      <c r="O231" s="5">
        <f t="shared" si="15"/>
        <v>374.79740000000004</v>
      </c>
      <c r="P231" s="5">
        <f t="shared" si="16"/>
        <v>2248.7844000000005</v>
      </c>
      <c r="Q231" s="5">
        <f>Table1[[#This Row],[Quantity]]*(Table1[[#This Row],[Saleprice]]-Table1[[#This Row],[Costprice]])</f>
        <v>-15.975599999999645</v>
      </c>
      <c r="R231">
        <f t="shared" si="17"/>
        <v>2022</v>
      </c>
      <c r="S231">
        <f t="shared" si="18"/>
        <v>3</v>
      </c>
      <c r="T231" t="str">
        <f t="shared" si="19"/>
        <v>March</v>
      </c>
    </row>
    <row r="232" spans="1:20" x14ac:dyDescent="0.3">
      <c r="A232" s="3">
        <v>44645</v>
      </c>
      <c r="B232">
        <v>109</v>
      </c>
      <c r="C232" s="3">
        <f>_xlfn.XLOOKUP(B232,Stores!A:A,Stores!E:E)</f>
        <v>44600</v>
      </c>
      <c r="D232">
        <v>204</v>
      </c>
      <c r="E232" s="3">
        <f>_xlfn.XLOOKUP(D232,SalesReps!A:A,SalesReps!D:D)</f>
        <v>44388</v>
      </c>
      <c r="F232" s="3" t="str">
        <f>_xlfn.XLOOKUP(Table1[[#This Row],[RepID]],SalesReps!A:A,SalesReps!E:E)</f>
        <v>Active</v>
      </c>
      <c r="G232">
        <v>319</v>
      </c>
      <c r="H232" t="str">
        <f>_xlfn.XLOOKUP(Table1[[#This Row],[ProductID]],Products!A:A,Products!B:B)</f>
        <v>Toys</v>
      </c>
      <c r="I232" t="str">
        <f>_xlfn.XLOOKUP(Table1[[#This Row],[ProductID]],Products!A:A,Products!C:C)</f>
        <v>Board Games</v>
      </c>
      <c r="J232">
        <v>5</v>
      </c>
      <c r="K232" s="5">
        <f>_xlfn.XLOOKUP(Table1[[#This Row],[ProductID]],Products!A:A,Products!E:E)</f>
        <v>81.069999999999993</v>
      </c>
      <c r="L232" s="5">
        <v>174.51</v>
      </c>
      <c r="M232" s="6">
        <v>0.24</v>
      </c>
      <c r="N232" t="s">
        <v>11</v>
      </c>
      <c r="O232" s="5">
        <f t="shared" si="15"/>
        <v>132.6276</v>
      </c>
      <c r="P232" s="5">
        <f t="shared" si="16"/>
        <v>663.13800000000003</v>
      </c>
      <c r="Q232" s="5">
        <f>Table1[[#This Row],[Quantity]]*(Table1[[#This Row],[Saleprice]]-Table1[[#This Row],[Costprice]])</f>
        <v>257.78800000000001</v>
      </c>
      <c r="R232">
        <f t="shared" si="17"/>
        <v>2022</v>
      </c>
      <c r="S232">
        <f t="shared" si="18"/>
        <v>3</v>
      </c>
      <c r="T232" t="str">
        <f t="shared" si="19"/>
        <v>March</v>
      </c>
    </row>
    <row r="233" spans="1:20" x14ac:dyDescent="0.3">
      <c r="A233" s="3">
        <v>44646</v>
      </c>
      <c r="B233">
        <v>109</v>
      </c>
      <c r="C233" s="3">
        <f>_xlfn.XLOOKUP(B233,Stores!A:A,Stores!E:E)</f>
        <v>44600</v>
      </c>
      <c r="D233">
        <v>204</v>
      </c>
      <c r="E233" s="3">
        <f>_xlfn.XLOOKUP(D233,SalesReps!A:A,SalesReps!D:D)</f>
        <v>44388</v>
      </c>
      <c r="F233" s="3" t="str">
        <f>_xlfn.XLOOKUP(Table1[[#This Row],[RepID]],SalesReps!A:A,SalesReps!E:E)</f>
        <v>Active</v>
      </c>
      <c r="G233">
        <v>310</v>
      </c>
      <c r="H233" t="str">
        <f>_xlfn.XLOOKUP(Table1[[#This Row],[ProductID]],Products!A:A,Products!B:B)</f>
        <v>Home &amp; Kitchen</v>
      </c>
      <c r="I233" t="str">
        <f>_xlfn.XLOOKUP(Table1[[#This Row],[ProductID]],Products!A:A,Products!C:C)</f>
        <v>Furniture</v>
      </c>
      <c r="J233">
        <v>2</v>
      </c>
      <c r="K233" s="5">
        <f>_xlfn.XLOOKUP(Table1[[#This Row],[ProductID]],Products!A:A,Products!E:E)</f>
        <v>160.31</v>
      </c>
      <c r="L233" s="5">
        <v>249.24</v>
      </c>
      <c r="M233" s="6">
        <v>0.2</v>
      </c>
      <c r="N233" t="s">
        <v>11</v>
      </c>
      <c r="O233" s="5">
        <f t="shared" si="15"/>
        <v>199.39200000000002</v>
      </c>
      <c r="P233" s="5">
        <f t="shared" si="16"/>
        <v>398.78400000000005</v>
      </c>
      <c r="Q233" s="5">
        <f>Table1[[#This Row],[Quantity]]*(Table1[[#This Row],[Saleprice]]-Table1[[#This Row],[Costprice]])</f>
        <v>78.164000000000044</v>
      </c>
      <c r="R233">
        <f t="shared" si="17"/>
        <v>2022</v>
      </c>
      <c r="S233">
        <f t="shared" si="18"/>
        <v>3</v>
      </c>
      <c r="T233" t="str">
        <f t="shared" si="19"/>
        <v>March</v>
      </c>
    </row>
    <row r="234" spans="1:20" x14ac:dyDescent="0.3">
      <c r="A234" s="3">
        <v>44646</v>
      </c>
      <c r="B234">
        <v>104</v>
      </c>
      <c r="C234" s="3">
        <f>_xlfn.XLOOKUP(B234,Stores!A:A,Stores!E:E)</f>
        <v>44297</v>
      </c>
      <c r="D234">
        <v>202</v>
      </c>
      <c r="E234" s="3">
        <f>_xlfn.XLOOKUP(D234,SalesReps!A:A,SalesReps!D:D)</f>
        <v>44610</v>
      </c>
      <c r="F234" s="3" t="str">
        <f>_xlfn.XLOOKUP(Table1[[#This Row],[RepID]],SalesReps!A:A,SalesReps!E:E)</f>
        <v>Active</v>
      </c>
      <c r="G234">
        <v>310</v>
      </c>
      <c r="H234" t="str">
        <f>_xlfn.XLOOKUP(Table1[[#This Row],[ProductID]],Products!A:A,Products!B:B)</f>
        <v>Home &amp; Kitchen</v>
      </c>
      <c r="I234" t="str">
        <f>_xlfn.XLOOKUP(Table1[[#This Row],[ProductID]],Products!A:A,Products!C:C)</f>
        <v>Furniture</v>
      </c>
      <c r="J234">
        <v>6</v>
      </c>
      <c r="K234" s="5">
        <f>_xlfn.XLOOKUP(Table1[[#This Row],[ProductID]],Products!A:A,Products!E:E)</f>
        <v>160.31</v>
      </c>
      <c r="L234" s="5">
        <v>228.86</v>
      </c>
      <c r="M234" s="6">
        <v>0.22</v>
      </c>
      <c r="N234" t="s">
        <v>10</v>
      </c>
      <c r="O234" s="5">
        <f t="shared" si="15"/>
        <v>178.51080000000002</v>
      </c>
      <c r="P234" s="5">
        <f t="shared" si="16"/>
        <v>1071.0648000000001</v>
      </c>
      <c r="Q234" s="5">
        <f>Table1[[#This Row],[Quantity]]*(Table1[[#This Row],[Saleprice]]-Table1[[#This Row],[Costprice]])</f>
        <v>109.20480000000009</v>
      </c>
      <c r="R234">
        <f t="shared" si="17"/>
        <v>2022</v>
      </c>
      <c r="S234">
        <f t="shared" si="18"/>
        <v>3</v>
      </c>
      <c r="T234" t="str">
        <f t="shared" si="19"/>
        <v>March</v>
      </c>
    </row>
    <row r="235" spans="1:20" x14ac:dyDescent="0.3">
      <c r="A235" s="3">
        <v>44648</v>
      </c>
      <c r="B235">
        <v>109</v>
      </c>
      <c r="C235" s="3">
        <f>_xlfn.XLOOKUP(B235,Stores!A:A,Stores!E:E)</f>
        <v>44600</v>
      </c>
      <c r="D235">
        <v>204</v>
      </c>
      <c r="E235" s="3">
        <f>_xlfn.XLOOKUP(D235,SalesReps!A:A,SalesReps!D:D)</f>
        <v>44388</v>
      </c>
      <c r="F235" s="3" t="str">
        <f>_xlfn.XLOOKUP(Table1[[#This Row],[RepID]],SalesReps!A:A,SalesReps!E:E)</f>
        <v>Active</v>
      </c>
      <c r="G235">
        <v>308</v>
      </c>
      <c r="H235" t="str">
        <f>_xlfn.XLOOKUP(Table1[[#This Row],[ProductID]],Products!A:A,Products!B:B)</f>
        <v>Home &amp; Kitchen</v>
      </c>
      <c r="I235" t="str">
        <f>_xlfn.XLOOKUP(Table1[[#This Row],[ProductID]],Products!A:A,Products!C:C)</f>
        <v>Furniture</v>
      </c>
      <c r="J235">
        <v>7</v>
      </c>
      <c r="K235" s="5">
        <f>_xlfn.XLOOKUP(Table1[[#This Row],[ProductID]],Products!A:A,Products!E:E)</f>
        <v>377.46</v>
      </c>
      <c r="L235" s="5">
        <v>457.07</v>
      </c>
      <c r="M235" s="6">
        <v>0.18</v>
      </c>
      <c r="N235" t="s">
        <v>11</v>
      </c>
      <c r="O235" s="5">
        <f t="shared" si="15"/>
        <v>374.79740000000004</v>
      </c>
      <c r="P235" s="5">
        <f t="shared" si="16"/>
        <v>2623.5818000000004</v>
      </c>
      <c r="Q235" s="5">
        <f>Table1[[#This Row],[Quantity]]*(Table1[[#This Row],[Saleprice]]-Table1[[#This Row],[Costprice]])</f>
        <v>-18.638199999999586</v>
      </c>
      <c r="R235">
        <f t="shared" si="17"/>
        <v>2022</v>
      </c>
      <c r="S235">
        <f t="shared" si="18"/>
        <v>3</v>
      </c>
      <c r="T235" t="str">
        <f t="shared" si="19"/>
        <v>March</v>
      </c>
    </row>
    <row r="236" spans="1:20" x14ac:dyDescent="0.3">
      <c r="A236" s="3">
        <v>44648</v>
      </c>
      <c r="B236">
        <v>104</v>
      </c>
      <c r="C236" s="3">
        <f>_xlfn.XLOOKUP(B236,Stores!A:A,Stores!E:E)</f>
        <v>44297</v>
      </c>
      <c r="D236">
        <v>202</v>
      </c>
      <c r="E236" s="3">
        <f>_xlfn.XLOOKUP(D236,SalesReps!A:A,SalesReps!D:D)</f>
        <v>44610</v>
      </c>
      <c r="F236" s="3" t="str">
        <f>_xlfn.XLOOKUP(Table1[[#This Row],[RepID]],SalesReps!A:A,SalesReps!E:E)</f>
        <v>Active</v>
      </c>
      <c r="G236">
        <v>316</v>
      </c>
      <c r="H236" t="str">
        <f>_xlfn.XLOOKUP(Table1[[#This Row],[ProductID]],Products!A:A,Products!B:B)</f>
        <v>Home &amp; Kitchen</v>
      </c>
      <c r="I236" t="str">
        <f>_xlfn.XLOOKUP(Table1[[#This Row],[ProductID]],Products!A:A,Products!C:C)</f>
        <v>Furniture</v>
      </c>
      <c r="J236">
        <v>9</v>
      </c>
      <c r="K236" s="5">
        <f>_xlfn.XLOOKUP(Table1[[#This Row],[ProductID]],Products!A:A,Products!E:E)</f>
        <v>334.95</v>
      </c>
      <c r="L236" s="5">
        <v>404.93</v>
      </c>
      <c r="M236" s="6">
        <v>0.17</v>
      </c>
      <c r="N236" t="s">
        <v>10</v>
      </c>
      <c r="O236" s="5">
        <f t="shared" si="15"/>
        <v>336.09190000000001</v>
      </c>
      <c r="P236" s="5">
        <f t="shared" si="16"/>
        <v>3024.8271</v>
      </c>
      <c r="Q236" s="5">
        <f>Table1[[#This Row],[Quantity]]*(Table1[[#This Row],[Saleprice]]-Table1[[#This Row],[Costprice]])</f>
        <v>10.277100000000189</v>
      </c>
      <c r="R236">
        <f t="shared" si="17"/>
        <v>2022</v>
      </c>
      <c r="S236">
        <f t="shared" si="18"/>
        <v>3</v>
      </c>
      <c r="T236" t="str">
        <f t="shared" si="19"/>
        <v>March</v>
      </c>
    </row>
    <row r="237" spans="1:20" x14ac:dyDescent="0.3">
      <c r="A237" s="3">
        <v>44649</v>
      </c>
      <c r="B237">
        <v>104</v>
      </c>
      <c r="C237" s="3">
        <f>_xlfn.XLOOKUP(B237,Stores!A:A,Stores!E:E)</f>
        <v>44297</v>
      </c>
      <c r="D237">
        <v>202</v>
      </c>
      <c r="E237" s="3">
        <f>_xlfn.XLOOKUP(D237,SalesReps!A:A,SalesReps!D:D)</f>
        <v>44610</v>
      </c>
      <c r="F237" s="3" t="str">
        <f>_xlfn.XLOOKUP(Table1[[#This Row],[RepID]],SalesReps!A:A,SalesReps!E:E)</f>
        <v>Active</v>
      </c>
      <c r="G237">
        <v>312</v>
      </c>
      <c r="H237" t="str">
        <f>_xlfn.XLOOKUP(Table1[[#This Row],[ProductID]],Products!A:A,Products!B:B)</f>
        <v>Toys</v>
      </c>
      <c r="I237" t="str">
        <f>_xlfn.XLOOKUP(Table1[[#This Row],[ProductID]],Products!A:A,Products!C:C)</f>
        <v>Board Games</v>
      </c>
      <c r="J237">
        <v>7</v>
      </c>
      <c r="K237" s="5">
        <f>_xlfn.XLOOKUP(Table1[[#This Row],[ProductID]],Products!A:A,Products!E:E)</f>
        <v>100.05</v>
      </c>
      <c r="L237" s="5">
        <v>163.13999999999999</v>
      </c>
      <c r="M237" s="6">
        <v>7.0000000000000007E-2</v>
      </c>
      <c r="N237" t="s">
        <v>10</v>
      </c>
      <c r="O237" s="5">
        <f t="shared" si="15"/>
        <v>151.72019999999998</v>
      </c>
      <c r="P237" s="5">
        <f t="shared" si="16"/>
        <v>1062.0413999999998</v>
      </c>
      <c r="Q237" s="5">
        <f>Table1[[#This Row],[Quantity]]*(Table1[[#This Row],[Saleprice]]-Table1[[#This Row],[Costprice]])</f>
        <v>361.69139999999987</v>
      </c>
      <c r="R237">
        <f t="shared" si="17"/>
        <v>2022</v>
      </c>
      <c r="S237">
        <f t="shared" si="18"/>
        <v>3</v>
      </c>
      <c r="T237" t="str">
        <f t="shared" si="19"/>
        <v>March</v>
      </c>
    </row>
    <row r="238" spans="1:20" x14ac:dyDescent="0.3">
      <c r="A238" s="3">
        <v>44649</v>
      </c>
      <c r="B238">
        <v>109</v>
      </c>
      <c r="C238" s="3">
        <f>_xlfn.XLOOKUP(B238,Stores!A:A,Stores!E:E)</f>
        <v>44600</v>
      </c>
      <c r="D238">
        <v>204</v>
      </c>
      <c r="E238" s="3">
        <f>_xlfn.XLOOKUP(D238,SalesReps!A:A,SalesReps!D:D)</f>
        <v>44388</v>
      </c>
      <c r="F238" s="3" t="str">
        <f>_xlfn.XLOOKUP(Table1[[#This Row],[RepID]],SalesReps!A:A,SalesReps!E:E)</f>
        <v>Active</v>
      </c>
      <c r="G238">
        <v>307</v>
      </c>
      <c r="H238" t="str">
        <f>_xlfn.XLOOKUP(Table1[[#This Row],[ProductID]],Products!A:A,Products!B:B)</f>
        <v>Toys</v>
      </c>
      <c r="I238" t="str">
        <f>_xlfn.XLOOKUP(Table1[[#This Row],[ProductID]],Products!A:A,Products!C:C)</f>
        <v>Outdoor</v>
      </c>
      <c r="J238">
        <v>2</v>
      </c>
      <c r="K238" s="5">
        <f>_xlfn.XLOOKUP(Table1[[#This Row],[ProductID]],Products!A:A,Products!E:E)</f>
        <v>15.17</v>
      </c>
      <c r="L238" s="5">
        <v>71.61</v>
      </c>
      <c r="M238" s="6">
        <v>0.19</v>
      </c>
      <c r="N238" t="s">
        <v>11</v>
      </c>
      <c r="O238" s="5">
        <f t="shared" si="15"/>
        <v>58.004100000000001</v>
      </c>
      <c r="P238" s="5">
        <f t="shared" si="16"/>
        <v>116.0082</v>
      </c>
      <c r="Q238" s="5">
        <f>Table1[[#This Row],[Quantity]]*(Table1[[#This Row],[Saleprice]]-Table1[[#This Row],[Costprice]])</f>
        <v>85.668199999999999</v>
      </c>
      <c r="R238">
        <f t="shared" si="17"/>
        <v>2022</v>
      </c>
      <c r="S238">
        <f t="shared" si="18"/>
        <v>3</v>
      </c>
      <c r="T238" t="str">
        <f t="shared" si="19"/>
        <v>March</v>
      </c>
    </row>
    <row r="239" spans="1:20" x14ac:dyDescent="0.3">
      <c r="A239" s="3">
        <v>44650</v>
      </c>
      <c r="B239">
        <v>109</v>
      </c>
      <c r="C239" s="3">
        <f>_xlfn.XLOOKUP(B239,Stores!A:A,Stores!E:E)</f>
        <v>44600</v>
      </c>
      <c r="D239">
        <v>204</v>
      </c>
      <c r="E239" s="3">
        <f>_xlfn.XLOOKUP(D239,SalesReps!A:A,SalesReps!D:D)</f>
        <v>44388</v>
      </c>
      <c r="F239" s="3" t="str">
        <f>_xlfn.XLOOKUP(Table1[[#This Row],[RepID]],SalesReps!A:A,SalesReps!E:E)</f>
        <v>Active</v>
      </c>
      <c r="G239">
        <v>307</v>
      </c>
      <c r="H239" t="str">
        <f>_xlfn.XLOOKUP(Table1[[#This Row],[ProductID]],Products!A:A,Products!B:B)</f>
        <v>Toys</v>
      </c>
      <c r="I239" t="str">
        <f>_xlfn.XLOOKUP(Table1[[#This Row],[ProductID]],Products!A:A,Products!C:C)</f>
        <v>Outdoor</v>
      </c>
      <c r="J239">
        <v>6</v>
      </c>
      <c r="K239" s="5">
        <f>_xlfn.XLOOKUP(Table1[[#This Row],[ProductID]],Products!A:A,Products!E:E)</f>
        <v>15.17</v>
      </c>
      <c r="L239" s="5">
        <v>71.61</v>
      </c>
      <c r="M239" s="6">
        <v>0.19</v>
      </c>
      <c r="N239" t="s">
        <v>11</v>
      </c>
      <c r="O239" s="5">
        <f t="shared" si="15"/>
        <v>58.004100000000001</v>
      </c>
      <c r="P239" s="5">
        <f t="shared" si="16"/>
        <v>348.02460000000002</v>
      </c>
      <c r="Q239" s="5">
        <f>Table1[[#This Row],[Quantity]]*(Table1[[#This Row],[Saleprice]]-Table1[[#This Row],[Costprice]])</f>
        <v>257.00459999999998</v>
      </c>
      <c r="R239">
        <f t="shared" si="17"/>
        <v>2022</v>
      </c>
      <c r="S239">
        <f t="shared" si="18"/>
        <v>3</v>
      </c>
      <c r="T239" t="str">
        <f t="shared" si="19"/>
        <v>March</v>
      </c>
    </row>
    <row r="240" spans="1:20" x14ac:dyDescent="0.3">
      <c r="A240" s="3">
        <v>44650</v>
      </c>
      <c r="B240">
        <v>104</v>
      </c>
      <c r="C240" s="3">
        <f>_xlfn.XLOOKUP(B240,Stores!A:A,Stores!E:E)</f>
        <v>44297</v>
      </c>
      <c r="D240">
        <v>202</v>
      </c>
      <c r="E240" s="3">
        <f>_xlfn.XLOOKUP(D240,SalesReps!A:A,SalesReps!D:D)</f>
        <v>44610</v>
      </c>
      <c r="F240" s="3" t="str">
        <f>_xlfn.XLOOKUP(Table1[[#This Row],[RepID]],SalesReps!A:A,SalesReps!E:E)</f>
        <v>Active</v>
      </c>
      <c r="G240">
        <v>317</v>
      </c>
      <c r="H240" t="str">
        <f>_xlfn.XLOOKUP(Table1[[#This Row],[ProductID]],Products!A:A,Products!B:B)</f>
        <v>Toys</v>
      </c>
      <c r="I240" t="str">
        <f>_xlfn.XLOOKUP(Table1[[#This Row],[ProductID]],Products!A:A,Products!C:C)</f>
        <v>Educational</v>
      </c>
      <c r="J240">
        <v>1</v>
      </c>
      <c r="K240" s="5">
        <f>_xlfn.XLOOKUP(Table1[[#This Row],[ProductID]],Products!A:A,Products!E:E)</f>
        <v>77.61</v>
      </c>
      <c r="L240" s="5">
        <v>141.34</v>
      </c>
      <c r="M240" s="6">
        <v>0.12</v>
      </c>
      <c r="N240" t="s">
        <v>10</v>
      </c>
      <c r="O240" s="5">
        <f t="shared" si="15"/>
        <v>124.3792</v>
      </c>
      <c r="P240" s="5">
        <f t="shared" si="16"/>
        <v>124.3792</v>
      </c>
      <c r="Q240" s="5">
        <f>Table1[[#This Row],[Quantity]]*(Table1[[#This Row],[Saleprice]]-Table1[[#This Row],[Costprice]])</f>
        <v>46.769199999999998</v>
      </c>
      <c r="R240">
        <f t="shared" si="17"/>
        <v>2022</v>
      </c>
      <c r="S240">
        <f t="shared" si="18"/>
        <v>3</v>
      </c>
      <c r="T240" t="str">
        <f t="shared" si="19"/>
        <v>March</v>
      </c>
    </row>
    <row r="241" spans="1:20" x14ac:dyDescent="0.3">
      <c r="A241" s="3">
        <v>44651</v>
      </c>
      <c r="B241">
        <v>109</v>
      </c>
      <c r="C241" s="3">
        <f>_xlfn.XLOOKUP(B241,Stores!A:A,Stores!E:E)</f>
        <v>44600</v>
      </c>
      <c r="D241">
        <v>204</v>
      </c>
      <c r="E241" s="3">
        <f>_xlfn.XLOOKUP(D241,SalesReps!A:A,SalesReps!D:D)</f>
        <v>44388</v>
      </c>
      <c r="F241" s="3" t="str">
        <f>_xlfn.XLOOKUP(Table1[[#This Row],[RepID]],SalesReps!A:A,SalesReps!E:E)</f>
        <v>Active</v>
      </c>
      <c r="G241">
        <v>309</v>
      </c>
      <c r="H241" t="str">
        <f>_xlfn.XLOOKUP(Table1[[#This Row],[ProductID]],Products!A:A,Products!B:B)</f>
        <v>Electronics</v>
      </c>
      <c r="I241" t="str">
        <f>_xlfn.XLOOKUP(Table1[[#This Row],[ProductID]],Products!A:A,Products!C:C)</f>
        <v>Laptops</v>
      </c>
      <c r="J241">
        <v>3</v>
      </c>
      <c r="K241" s="5">
        <f>_xlfn.XLOOKUP(Table1[[#This Row],[ProductID]],Products!A:A,Products!E:E)</f>
        <v>229.68</v>
      </c>
      <c r="L241" s="5">
        <v>283.02</v>
      </c>
      <c r="M241" s="6">
        <v>0.18</v>
      </c>
      <c r="N241" t="s">
        <v>11</v>
      </c>
      <c r="O241" s="5">
        <f t="shared" si="15"/>
        <v>232.07640000000001</v>
      </c>
      <c r="P241" s="5">
        <f t="shared" si="16"/>
        <v>696.22919999999999</v>
      </c>
      <c r="Q241" s="5">
        <f>Table1[[#This Row],[Quantity]]*(Table1[[#This Row],[Saleprice]]-Table1[[#This Row],[Costprice]])</f>
        <v>7.1891999999999996</v>
      </c>
      <c r="R241">
        <f t="shared" si="17"/>
        <v>2022</v>
      </c>
      <c r="S241">
        <f t="shared" si="18"/>
        <v>3</v>
      </c>
      <c r="T241" t="str">
        <f t="shared" si="19"/>
        <v>March</v>
      </c>
    </row>
    <row r="242" spans="1:20" x14ac:dyDescent="0.3">
      <c r="A242" s="3">
        <v>44654</v>
      </c>
      <c r="B242">
        <v>104</v>
      </c>
      <c r="C242" s="3">
        <f>_xlfn.XLOOKUP(B242,Stores!A:A,Stores!E:E)</f>
        <v>44297</v>
      </c>
      <c r="D242">
        <v>202</v>
      </c>
      <c r="E242" s="3">
        <f>_xlfn.XLOOKUP(D242,SalesReps!A:A,SalesReps!D:D)</f>
        <v>44610</v>
      </c>
      <c r="F242" s="3" t="str">
        <f>_xlfn.XLOOKUP(Table1[[#This Row],[RepID]],SalesReps!A:A,SalesReps!E:E)</f>
        <v>Active</v>
      </c>
      <c r="G242">
        <v>320</v>
      </c>
      <c r="H242" t="str">
        <f>_xlfn.XLOOKUP(Table1[[#This Row],[ProductID]],Products!A:A,Products!B:B)</f>
        <v>Toys</v>
      </c>
      <c r="I242" t="str">
        <f>_xlfn.XLOOKUP(Table1[[#This Row],[ProductID]],Products!A:A,Products!C:C)</f>
        <v>Outdoor</v>
      </c>
      <c r="J242">
        <v>4</v>
      </c>
      <c r="K242" s="5">
        <f>_xlfn.XLOOKUP(Table1[[#This Row],[ProductID]],Products!A:A,Products!E:E)</f>
        <v>304.58999999999997</v>
      </c>
      <c r="L242" s="5">
        <v>391.94</v>
      </c>
      <c r="M242" s="6">
        <v>0.22</v>
      </c>
      <c r="N242" t="s">
        <v>10</v>
      </c>
      <c r="O242" s="5">
        <f t="shared" si="15"/>
        <v>305.71320000000003</v>
      </c>
      <c r="P242" s="5">
        <f t="shared" si="16"/>
        <v>1222.8528000000001</v>
      </c>
      <c r="Q242" s="5">
        <f>Table1[[#This Row],[Quantity]]*(Table1[[#This Row],[Saleprice]]-Table1[[#This Row],[Costprice]])</f>
        <v>4.4928000000002157</v>
      </c>
      <c r="R242">
        <f t="shared" si="17"/>
        <v>2022</v>
      </c>
      <c r="S242">
        <f t="shared" si="18"/>
        <v>4</v>
      </c>
      <c r="T242" t="str">
        <f t="shared" si="19"/>
        <v>April</v>
      </c>
    </row>
    <row r="243" spans="1:20" x14ac:dyDescent="0.3">
      <c r="A243" s="3">
        <v>44654</v>
      </c>
      <c r="B243">
        <v>104</v>
      </c>
      <c r="C243" s="3">
        <f>_xlfn.XLOOKUP(B243,Stores!A:A,Stores!E:E)</f>
        <v>44297</v>
      </c>
      <c r="D243">
        <v>202</v>
      </c>
      <c r="E243" s="3">
        <f>_xlfn.XLOOKUP(D243,SalesReps!A:A,SalesReps!D:D)</f>
        <v>44610</v>
      </c>
      <c r="F243" s="3" t="str">
        <f>_xlfn.XLOOKUP(Table1[[#This Row],[RepID]],SalesReps!A:A,SalesReps!E:E)</f>
        <v>Active</v>
      </c>
      <c r="G243">
        <v>319</v>
      </c>
      <c r="H243" t="str">
        <f>_xlfn.XLOOKUP(Table1[[#This Row],[ProductID]],Products!A:A,Products!B:B)</f>
        <v>Toys</v>
      </c>
      <c r="I243" t="str">
        <f>_xlfn.XLOOKUP(Table1[[#This Row],[ProductID]],Products!A:A,Products!C:C)</f>
        <v>Board Games</v>
      </c>
      <c r="J243">
        <v>3</v>
      </c>
      <c r="K243" s="5">
        <f>_xlfn.XLOOKUP(Table1[[#This Row],[ProductID]],Products!A:A,Products!E:E)</f>
        <v>81.069999999999993</v>
      </c>
      <c r="L243" s="5">
        <v>131.91</v>
      </c>
      <c r="M243" s="6">
        <v>0.15</v>
      </c>
      <c r="N243" t="s">
        <v>10</v>
      </c>
      <c r="O243" s="5">
        <f t="shared" si="15"/>
        <v>112.12349999999999</v>
      </c>
      <c r="P243" s="5">
        <f t="shared" si="16"/>
        <v>336.37049999999999</v>
      </c>
      <c r="Q243" s="5">
        <f>Table1[[#This Row],[Quantity]]*(Table1[[#This Row],[Saleprice]]-Table1[[#This Row],[Costprice]])</f>
        <v>93.160499999999999</v>
      </c>
      <c r="R243">
        <f t="shared" si="17"/>
        <v>2022</v>
      </c>
      <c r="S243">
        <f t="shared" si="18"/>
        <v>4</v>
      </c>
      <c r="T243" t="str">
        <f t="shared" si="19"/>
        <v>April</v>
      </c>
    </row>
    <row r="244" spans="1:20" x14ac:dyDescent="0.3">
      <c r="A244" s="3">
        <v>44654</v>
      </c>
      <c r="B244">
        <v>109</v>
      </c>
      <c r="C244" s="3">
        <f>_xlfn.XLOOKUP(B244,Stores!A:A,Stores!E:E)</f>
        <v>44600</v>
      </c>
      <c r="D244">
        <v>204</v>
      </c>
      <c r="E244" s="3">
        <f>_xlfn.XLOOKUP(D244,SalesReps!A:A,SalesReps!D:D)</f>
        <v>44388</v>
      </c>
      <c r="F244" s="3" t="str">
        <f>_xlfn.XLOOKUP(Table1[[#This Row],[RepID]],SalesReps!A:A,SalesReps!E:E)</f>
        <v>Active</v>
      </c>
      <c r="G244">
        <v>302</v>
      </c>
      <c r="H244" t="str">
        <f>_xlfn.XLOOKUP(Table1[[#This Row],[ProductID]],Products!A:A,Products!B:B)</f>
        <v>Toys</v>
      </c>
      <c r="I244" t="str">
        <f>_xlfn.XLOOKUP(Table1[[#This Row],[ProductID]],Products!A:A,Products!C:C)</f>
        <v>Outdoor</v>
      </c>
      <c r="J244">
        <v>7</v>
      </c>
      <c r="K244" s="5">
        <f>_xlfn.XLOOKUP(Table1[[#This Row],[ProductID]],Products!A:A,Products!E:E)</f>
        <v>393.46</v>
      </c>
      <c r="L244" s="5">
        <v>407.52</v>
      </c>
      <c r="M244" s="6">
        <v>0.12</v>
      </c>
      <c r="N244" t="s">
        <v>11</v>
      </c>
      <c r="O244" s="5">
        <f t="shared" si="15"/>
        <v>358.61759999999998</v>
      </c>
      <c r="P244" s="5">
        <f t="shared" si="16"/>
        <v>2510.3231999999998</v>
      </c>
      <c r="Q244" s="5">
        <f>Table1[[#This Row],[Quantity]]*(Table1[[#This Row],[Saleprice]]-Table1[[#This Row],[Costprice]])</f>
        <v>-243.89679999999998</v>
      </c>
      <c r="R244">
        <f t="shared" si="17"/>
        <v>2022</v>
      </c>
      <c r="S244">
        <f t="shared" si="18"/>
        <v>4</v>
      </c>
      <c r="T244" t="str">
        <f t="shared" si="19"/>
        <v>April</v>
      </c>
    </row>
    <row r="245" spans="1:20" x14ac:dyDescent="0.3">
      <c r="A245" s="3">
        <v>44656</v>
      </c>
      <c r="B245">
        <v>109</v>
      </c>
      <c r="C245" s="3">
        <f>_xlfn.XLOOKUP(B245,Stores!A:A,Stores!E:E)</f>
        <v>44600</v>
      </c>
      <c r="D245">
        <v>204</v>
      </c>
      <c r="E245" s="3">
        <f>_xlfn.XLOOKUP(D245,SalesReps!A:A,SalesReps!D:D)</f>
        <v>44388</v>
      </c>
      <c r="F245" s="3" t="str">
        <f>_xlfn.XLOOKUP(Table1[[#This Row],[RepID]],SalesReps!A:A,SalesReps!E:E)</f>
        <v>Active</v>
      </c>
      <c r="G245">
        <v>320</v>
      </c>
      <c r="H245" t="str">
        <f>_xlfn.XLOOKUP(Table1[[#This Row],[ProductID]],Products!A:A,Products!B:B)</f>
        <v>Toys</v>
      </c>
      <c r="I245" t="str">
        <f>_xlfn.XLOOKUP(Table1[[#This Row],[ProductID]],Products!A:A,Products!C:C)</f>
        <v>Outdoor</v>
      </c>
      <c r="J245">
        <v>8</v>
      </c>
      <c r="K245" s="5">
        <f>_xlfn.XLOOKUP(Table1[[#This Row],[ProductID]],Products!A:A,Products!E:E)</f>
        <v>304.58999999999997</v>
      </c>
      <c r="L245" s="5">
        <v>391.59</v>
      </c>
      <c r="M245" s="6">
        <v>0.23</v>
      </c>
      <c r="N245" t="s">
        <v>11</v>
      </c>
      <c r="O245" s="5">
        <f t="shared" si="15"/>
        <v>301.52429999999998</v>
      </c>
      <c r="P245" s="5">
        <f t="shared" si="16"/>
        <v>2412.1943999999999</v>
      </c>
      <c r="Q245" s="5">
        <f>Table1[[#This Row],[Quantity]]*(Table1[[#This Row],[Saleprice]]-Table1[[#This Row],[Costprice]])</f>
        <v>-24.52559999999994</v>
      </c>
      <c r="R245">
        <f t="shared" si="17"/>
        <v>2022</v>
      </c>
      <c r="S245">
        <f t="shared" si="18"/>
        <v>4</v>
      </c>
      <c r="T245" t="str">
        <f t="shared" si="19"/>
        <v>April</v>
      </c>
    </row>
    <row r="246" spans="1:20" x14ac:dyDescent="0.3">
      <c r="A246" s="3">
        <v>44658</v>
      </c>
      <c r="B246">
        <v>103</v>
      </c>
      <c r="C246" s="3">
        <f>_xlfn.XLOOKUP(B246,Stores!A:A,Stores!E:E)</f>
        <v>43952</v>
      </c>
      <c r="D246">
        <v>207</v>
      </c>
      <c r="E246" s="3">
        <f>_xlfn.XLOOKUP(D246,SalesReps!A:A,SalesReps!D:D)</f>
        <v>44656</v>
      </c>
      <c r="F246" s="3" t="str">
        <f>_xlfn.XLOOKUP(Table1[[#This Row],[RepID]],SalesReps!A:A,SalesReps!E:E)</f>
        <v>Active</v>
      </c>
      <c r="G246">
        <v>316</v>
      </c>
      <c r="H246" t="str">
        <f>_xlfn.XLOOKUP(Table1[[#This Row],[ProductID]],Products!A:A,Products!B:B)</f>
        <v>Home &amp; Kitchen</v>
      </c>
      <c r="I246" t="str">
        <f>_xlfn.XLOOKUP(Table1[[#This Row],[ProductID]],Products!A:A,Products!C:C)</f>
        <v>Furniture</v>
      </c>
      <c r="J246">
        <v>5</v>
      </c>
      <c r="K246" s="5">
        <f>_xlfn.XLOOKUP(Table1[[#This Row],[ProductID]],Products!A:A,Products!E:E)</f>
        <v>334.95</v>
      </c>
      <c r="L246" s="5">
        <v>387.55</v>
      </c>
      <c r="M246" s="6">
        <v>0.16</v>
      </c>
      <c r="N246" t="s">
        <v>9</v>
      </c>
      <c r="O246" s="5">
        <f t="shared" si="15"/>
        <v>325.54199999999997</v>
      </c>
      <c r="P246" s="5">
        <f t="shared" si="16"/>
        <v>1627.7099999999998</v>
      </c>
      <c r="Q246" s="5">
        <f>Table1[[#This Row],[Quantity]]*(Table1[[#This Row],[Saleprice]]-Table1[[#This Row],[Costprice]])</f>
        <v>-47.040000000000077</v>
      </c>
      <c r="R246">
        <f t="shared" si="17"/>
        <v>2022</v>
      </c>
      <c r="S246">
        <f t="shared" si="18"/>
        <v>4</v>
      </c>
      <c r="T246" t="str">
        <f t="shared" si="19"/>
        <v>April</v>
      </c>
    </row>
    <row r="247" spans="1:20" x14ac:dyDescent="0.3">
      <c r="A247" s="3">
        <v>44659</v>
      </c>
      <c r="B247">
        <v>103</v>
      </c>
      <c r="C247" s="3">
        <f>_xlfn.XLOOKUP(B247,Stores!A:A,Stores!E:E)</f>
        <v>43952</v>
      </c>
      <c r="D247">
        <v>207</v>
      </c>
      <c r="E247" s="3">
        <f>_xlfn.XLOOKUP(D247,SalesReps!A:A,SalesReps!D:D)</f>
        <v>44656</v>
      </c>
      <c r="F247" s="3" t="str">
        <f>_xlfn.XLOOKUP(Table1[[#This Row],[RepID]],SalesReps!A:A,SalesReps!E:E)</f>
        <v>Active</v>
      </c>
      <c r="G247">
        <v>320</v>
      </c>
      <c r="H247" t="str">
        <f>_xlfn.XLOOKUP(Table1[[#This Row],[ProductID]],Products!A:A,Products!B:B)</f>
        <v>Toys</v>
      </c>
      <c r="I247" t="str">
        <f>_xlfn.XLOOKUP(Table1[[#This Row],[ProductID]],Products!A:A,Products!C:C)</f>
        <v>Outdoor</v>
      </c>
      <c r="J247">
        <v>6</v>
      </c>
      <c r="K247" s="5">
        <f>_xlfn.XLOOKUP(Table1[[#This Row],[ProductID]],Products!A:A,Products!E:E)</f>
        <v>304.58999999999997</v>
      </c>
      <c r="L247" s="5">
        <v>374.95</v>
      </c>
      <c r="M247" s="6">
        <v>0.22</v>
      </c>
      <c r="N247" t="s">
        <v>9</v>
      </c>
      <c r="O247" s="5">
        <f t="shared" si="15"/>
        <v>292.46100000000001</v>
      </c>
      <c r="P247" s="5">
        <f t="shared" si="16"/>
        <v>1754.7660000000001</v>
      </c>
      <c r="Q247" s="5">
        <f>Table1[[#This Row],[Quantity]]*(Table1[[#This Row],[Saleprice]]-Table1[[#This Row],[Costprice]])</f>
        <v>-72.773999999999774</v>
      </c>
      <c r="R247">
        <f t="shared" si="17"/>
        <v>2022</v>
      </c>
      <c r="S247">
        <f t="shared" si="18"/>
        <v>4</v>
      </c>
      <c r="T247" t="str">
        <f t="shared" si="19"/>
        <v>April</v>
      </c>
    </row>
    <row r="248" spans="1:20" x14ac:dyDescent="0.3">
      <c r="A248" s="3">
        <v>44660</v>
      </c>
      <c r="B248">
        <v>109</v>
      </c>
      <c r="C248" s="3">
        <f>_xlfn.XLOOKUP(B248,Stores!A:A,Stores!E:E)</f>
        <v>44600</v>
      </c>
      <c r="D248">
        <v>204</v>
      </c>
      <c r="E248" s="3">
        <f>_xlfn.XLOOKUP(D248,SalesReps!A:A,SalesReps!D:D)</f>
        <v>44388</v>
      </c>
      <c r="F248" s="3" t="str">
        <f>_xlfn.XLOOKUP(Table1[[#This Row],[RepID]],SalesReps!A:A,SalesReps!E:E)</f>
        <v>Active</v>
      </c>
      <c r="G248">
        <v>313</v>
      </c>
      <c r="H248" t="str">
        <f>_xlfn.XLOOKUP(Table1[[#This Row],[ProductID]],Products!A:A,Products!B:B)</f>
        <v>Clothing</v>
      </c>
      <c r="I248" t="str">
        <f>_xlfn.XLOOKUP(Table1[[#This Row],[ProductID]],Products!A:A,Products!C:C)</f>
        <v>Women</v>
      </c>
      <c r="J248">
        <v>8</v>
      </c>
      <c r="K248" s="5">
        <f>_xlfn.XLOOKUP(Table1[[#This Row],[ProductID]],Products!A:A,Products!E:E)</f>
        <v>104</v>
      </c>
      <c r="L248" s="5">
        <v>175.45</v>
      </c>
      <c r="M248" s="6">
        <v>0.08</v>
      </c>
      <c r="N248" t="s">
        <v>11</v>
      </c>
      <c r="O248" s="5">
        <f t="shared" si="15"/>
        <v>161.41399999999999</v>
      </c>
      <c r="P248" s="5">
        <f t="shared" si="16"/>
        <v>1291.3119999999999</v>
      </c>
      <c r="Q248" s="5">
        <f>Table1[[#This Row],[Quantity]]*(Table1[[#This Row],[Saleprice]]-Table1[[#This Row],[Costprice]])</f>
        <v>459.3119999999999</v>
      </c>
      <c r="R248">
        <f t="shared" si="17"/>
        <v>2022</v>
      </c>
      <c r="S248">
        <f t="shared" si="18"/>
        <v>4</v>
      </c>
      <c r="T248" t="str">
        <f t="shared" si="19"/>
        <v>April</v>
      </c>
    </row>
    <row r="249" spans="1:20" x14ac:dyDescent="0.3">
      <c r="A249" s="3">
        <v>44660</v>
      </c>
      <c r="B249">
        <v>103</v>
      </c>
      <c r="C249" s="3">
        <f>_xlfn.XLOOKUP(B249,Stores!A:A,Stores!E:E)</f>
        <v>43952</v>
      </c>
      <c r="D249">
        <v>207</v>
      </c>
      <c r="E249" s="3">
        <f>_xlfn.XLOOKUP(D249,SalesReps!A:A,SalesReps!D:D)</f>
        <v>44656</v>
      </c>
      <c r="F249" s="3" t="str">
        <f>_xlfn.XLOOKUP(Table1[[#This Row],[RepID]],SalesReps!A:A,SalesReps!E:E)</f>
        <v>Active</v>
      </c>
      <c r="G249">
        <v>307</v>
      </c>
      <c r="H249" t="str">
        <f>_xlfn.XLOOKUP(Table1[[#This Row],[ProductID]],Products!A:A,Products!B:B)</f>
        <v>Toys</v>
      </c>
      <c r="I249" t="str">
        <f>_xlfn.XLOOKUP(Table1[[#This Row],[ProductID]],Products!A:A,Products!C:C)</f>
        <v>Outdoor</v>
      </c>
      <c r="J249">
        <v>2</v>
      </c>
      <c r="K249" s="5">
        <f>_xlfn.XLOOKUP(Table1[[#This Row],[ProductID]],Products!A:A,Products!E:E)</f>
        <v>15.17</v>
      </c>
      <c r="L249" s="5">
        <v>41.09</v>
      </c>
      <c r="M249" s="6">
        <v>0.19</v>
      </c>
      <c r="N249" t="s">
        <v>9</v>
      </c>
      <c r="O249" s="5">
        <f t="shared" si="15"/>
        <v>33.282900000000005</v>
      </c>
      <c r="P249" s="5">
        <f t="shared" si="16"/>
        <v>66.56580000000001</v>
      </c>
      <c r="Q249" s="5">
        <f>Table1[[#This Row],[Quantity]]*(Table1[[#This Row],[Saleprice]]-Table1[[#This Row],[Costprice]])</f>
        <v>36.225800000000007</v>
      </c>
      <c r="R249">
        <f t="shared" si="17"/>
        <v>2022</v>
      </c>
      <c r="S249">
        <f t="shared" si="18"/>
        <v>4</v>
      </c>
      <c r="T249" t="str">
        <f t="shared" si="19"/>
        <v>April</v>
      </c>
    </row>
    <row r="250" spans="1:20" x14ac:dyDescent="0.3">
      <c r="A250" s="3">
        <v>44660</v>
      </c>
      <c r="B250">
        <v>103</v>
      </c>
      <c r="C250" s="3">
        <f>_xlfn.XLOOKUP(B250,Stores!A:A,Stores!E:E)</f>
        <v>43952</v>
      </c>
      <c r="D250">
        <v>207</v>
      </c>
      <c r="E250" s="3">
        <f>_xlfn.XLOOKUP(D250,SalesReps!A:A,SalesReps!D:D)</f>
        <v>44656</v>
      </c>
      <c r="F250" s="3" t="str">
        <f>_xlfn.XLOOKUP(Table1[[#This Row],[RepID]],SalesReps!A:A,SalesReps!E:E)</f>
        <v>Active</v>
      </c>
      <c r="G250">
        <v>314</v>
      </c>
      <c r="H250" t="str">
        <f>_xlfn.XLOOKUP(Table1[[#This Row],[ProductID]],Products!A:A,Products!B:B)</f>
        <v>Clothing</v>
      </c>
      <c r="I250" t="str">
        <f>_xlfn.XLOOKUP(Table1[[#This Row],[ProductID]],Products!A:A,Products!C:C)</f>
        <v>Kids</v>
      </c>
      <c r="J250">
        <v>1</v>
      </c>
      <c r="K250" s="5">
        <f>_xlfn.XLOOKUP(Table1[[#This Row],[ProductID]],Products!A:A,Products!E:E)</f>
        <v>276.47000000000003</v>
      </c>
      <c r="L250" s="5">
        <v>352.15</v>
      </c>
      <c r="M250" s="6">
        <v>0.1</v>
      </c>
      <c r="N250" t="s">
        <v>9</v>
      </c>
      <c r="O250" s="5">
        <f t="shared" si="15"/>
        <v>316.935</v>
      </c>
      <c r="P250" s="5">
        <f t="shared" si="16"/>
        <v>316.935</v>
      </c>
      <c r="Q250" s="5">
        <f>Table1[[#This Row],[Quantity]]*(Table1[[#This Row],[Saleprice]]-Table1[[#This Row],[Costprice]])</f>
        <v>40.464999999999975</v>
      </c>
      <c r="R250">
        <f t="shared" si="17"/>
        <v>2022</v>
      </c>
      <c r="S250">
        <f t="shared" si="18"/>
        <v>4</v>
      </c>
      <c r="T250" t="str">
        <f t="shared" si="19"/>
        <v>April</v>
      </c>
    </row>
    <row r="251" spans="1:20" x14ac:dyDescent="0.3">
      <c r="A251" s="3">
        <v>44661</v>
      </c>
      <c r="B251">
        <v>103</v>
      </c>
      <c r="C251" s="3">
        <f>_xlfn.XLOOKUP(B251,Stores!A:A,Stores!E:E)</f>
        <v>43952</v>
      </c>
      <c r="D251">
        <v>207</v>
      </c>
      <c r="E251" s="3">
        <f>_xlfn.XLOOKUP(D251,SalesReps!A:A,SalesReps!D:D)</f>
        <v>44656</v>
      </c>
      <c r="F251" s="3" t="str">
        <f>_xlfn.XLOOKUP(Table1[[#This Row],[RepID]],SalesReps!A:A,SalesReps!E:E)</f>
        <v>Active</v>
      </c>
      <c r="G251">
        <v>309</v>
      </c>
      <c r="H251" t="str">
        <f>_xlfn.XLOOKUP(Table1[[#This Row],[ProductID]],Products!A:A,Products!B:B)</f>
        <v>Electronics</v>
      </c>
      <c r="I251" t="str">
        <f>_xlfn.XLOOKUP(Table1[[#This Row],[ProductID]],Products!A:A,Products!C:C)</f>
        <v>Laptops</v>
      </c>
      <c r="J251">
        <v>7</v>
      </c>
      <c r="K251" s="5">
        <f>_xlfn.XLOOKUP(Table1[[#This Row],[ProductID]],Products!A:A,Products!E:E)</f>
        <v>229.68</v>
      </c>
      <c r="L251" s="5">
        <v>280.81</v>
      </c>
      <c r="M251" s="6">
        <v>0.14000000000000001</v>
      </c>
      <c r="N251" t="s">
        <v>9</v>
      </c>
      <c r="O251" s="5">
        <f t="shared" si="15"/>
        <v>241.4966</v>
      </c>
      <c r="P251" s="5">
        <f t="shared" si="16"/>
        <v>1690.4762000000001</v>
      </c>
      <c r="Q251" s="5">
        <f>Table1[[#This Row],[Quantity]]*(Table1[[#This Row],[Saleprice]]-Table1[[#This Row],[Costprice]])</f>
        <v>82.716199999999958</v>
      </c>
      <c r="R251">
        <f t="shared" si="17"/>
        <v>2022</v>
      </c>
      <c r="S251">
        <f t="shared" si="18"/>
        <v>4</v>
      </c>
      <c r="T251" t="str">
        <f t="shared" si="19"/>
        <v>April</v>
      </c>
    </row>
    <row r="252" spans="1:20" x14ac:dyDescent="0.3">
      <c r="A252" s="3">
        <v>44661</v>
      </c>
      <c r="B252">
        <v>103</v>
      </c>
      <c r="C252" s="3">
        <f>_xlfn.XLOOKUP(B252,Stores!A:A,Stores!E:E)</f>
        <v>43952</v>
      </c>
      <c r="D252">
        <v>207</v>
      </c>
      <c r="E252" s="3">
        <f>_xlfn.XLOOKUP(D252,SalesReps!A:A,SalesReps!D:D)</f>
        <v>44656</v>
      </c>
      <c r="F252" s="3" t="str">
        <f>_xlfn.XLOOKUP(Table1[[#This Row],[RepID]],SalesReps!A:A,SalesReps!E:E)</f>
        <v>Active</v>
      </c>
      <c r="G252">
        <v>301</v>
      </c>
      <c r="H252" t="str">
        <f>_xlfn.XLOOKUP(Table1[[#This Row],[ProductID]],Products!A:A,Products!B:B)</f>
        <v>Electronics</v>
      </c>
      <c r="I252" t="str">
        <f>_xlfn.XLOOKUP(Table1[[#This Row],[ProductID]],Products!A:A,Products!C:C)</f>
        <v>Mobiles</v>
      </c>
      <c r="J252">
        <v>7</v>
      </c>
      <c r="K252" s="5">
        <f>_xlfn.XLOOKUP(Table1[[#This Row],[ProductID]],Products!A:A,Products!E:E)</f>
        <v>159.16</v>
      </c>
      <c r="L252" s="5">
        <v>244.18</v>
      </c>
      <c r="M252" s="6">
        <v>0.14000000000000001</v>
      </c>
      <c r="N252" t="s">
        <v>9</v>
      </c>
      <c r="O252" s="5">
        <f t="shared" si="15"/>
        <v>209.9948</v>
      </c>
      <c r="P252" s="5">
        <f t="shared" si="16"/>
        <v>1469.9636</v>
      </c>
      <c r="Q252" s="5">
        <f>Table1[[#This Row],[Quantity]]*(Table1[[#This Row],[Saleprice]]-Table1[[#This Row],[Costprice]])</f>
        <v>355.84360000000004</v>
      </c>
      <c r="R252">
        <f t="shared" si="17"/>
        <v>2022</v>
      </c>
      <c r="S252">
        <f t="shared" si="18"/>
        <v>4</v>
      </c>
      <c r="T252" t="str">
        <f t="shared" si="19"/>
        <v>April</v>
      </c>
    </row>
    <row r="253" spans="1:20" x14ac:dyDescent="0.3">
      <c r="A253" s="3">
        <v>44661</v>
      </c>
      <c r="B253">
        <v>103</v>
      </c>
      <c r="C253" s="3">
        <f>_xlfn.XLOOKUP(B253,Stores!A:A,Stores!E:E)</f>
        <v>43952</v>
      </c>
      <c r="D253">
        <v>207</v>
      </c>
      <c r="E253" s="3">
        <f>_xlfn.XLOOKUP(D253,SalesReps!A:A,SalesReps!D:D)</f>
        <v>44656</v>
      </c>
      <c r="F253" s="3" t="str">
        <f>_xlfn.XLOOKUP(Table1[[#This Row],[RepID]],SalesReps!A:A,SalesReps!E:E)</f>
        <v>Active</v>
      </c>
      <c r="G253">
        <v>306</v>
      </c>
      <c r="H253" t="str">
        <f>_xlfn.XLOOKUP(Table1[[#This Row],[ProductID]],Products!A:A,Products!B:B)</f>
        <v>Clothing</v>
      </c>
      <c r="I253" t="str">
        <f>_xlfn.XLOOKUP(Table1[[#This Row],[ProductID]],Products!A:A,Products!C:C)</f>
        <v>Men</v>
      </c>
      <c r="J253">
        <v>1</v>
      </c>
      <c r="K253" s="5">
        <f>_xlfn.XLOOKUP(Table1[[#This Row],[ProductID]],Products!A:A,Products!E:E)</f>
        <v>185.69</v>
      </c>
      <c r="L253" s="5">
        <v>250.95</v>
      </c>
      <c r="M253" s="6">
        <v>0.19</v>
      </c>
      <c r="N253" t="s">
        <v>9</v>
      </c>
      <c r="O253" s="5">
        <f t="shared" si="15"/>
        <v>203.26949999999999</v>
      </c>
      <c r="P253" s="5">
        <f t="shared" si="16"/>
        <v>203.26949999999999</v>
      </c>
      <c r="Q253" s="5">
        <f>Table1[[#This Row],[Quantity]]*(Table1[[#This Row],[Saleprice]]-Table1[[#This Row],[Costprice]])</f>
        <v>17.579499999999996</v>
      </c>
      <c r="R253">
        <f t="shared" si="17"/>
        <v>2022</v>
      </c>
      <c r="S253">
        <f t="shared" si="18"/>
        <v>4</v>
      </c>
      <c r="T253" t="str">
        <f t="shared" si="19"/>
        <v>April</v>
      </c>
    </row>
    <row r="254" spans="1:20" x14ac:dyDescent="0.3">
      <c r="A254" s="3">
        <v>44661</v>
      </c>
      <c r="B254">
        <v>104</v>
      </c>
      <c r="C254" s="3">
        <f>_xlfn.XLOOKUP(B254,Stores!A:A,Stores!E:E)</f>
        <v>44297</v>
      </c>
      <c r="D254">
        <v>202</v>
      </c>
      <c r="E254" s="3">
        <f>_xlfn.XLOOKUP(D254,SalesReps!A:A,SalesReps!D:D)</f>
        <v>44610</v>
      </c>
      <c r="F254" s="3" t="str">
        <f>_xlfn.XLOOKUP(Table1[[#This Row],[RepID]],SalesReps!A:A,SalesReps!E:E)</f>
        <v>Active</v>
      </c>
      <c r="G254">
        <v>313</v>
      </c>
      <c r="H254" t="str">
        <f>_xlfn.XLOOKUP(Table1[[#This Row],[ProductID]],Products!A:A,Products!B:B)</f>
        <v>Clothing</v>
      </c>
      <c r="I254" t="str">
        <f>_xlfn.XLOOKUP(Table1[[#This Row],[ProductID]],Products!A:A,Products!C:C)</f>
        <v>Women</v>
      </c>
      <c r="J254">
        <v>5</v>
      </c>
      <c r="K254" s="5">
        <f>_xlfn.XLOOKUP(Table1[[#This Row],[ProductID]],Products!A:A,Products!E:E)</f>
        <v>104</v>
      </c>
      <c r="L254" s="5">
        <v>137.81</v>
      </c>
      <c r="M254" s="6">
        <v>0.16</v>
      </c>
      <c r="N254" t="s">
        <v>10</v>
      </c>
      <c r="O254" s="5">
        <f t="shared" si="15"/>
        <v>115.7604</v>
      </c>
      <c r="P254" s="5">
        <f t="shared" si="16"/>
        <v>578.80200000000002</v>
      </c>
      <c r="Q254" s="5">
        <f>Table1[[#This Row],[Quantity]]*(Table1[[#This Row],[Saleprice]]-Table1[[#This Row],[Costprice]])</f>
        <v>58.802000000000021</v>
      </c>
      <c r="R254">
        <f t="shared" si="17"/>
        <v>2022</v>
      </c>
      <c r="S254">
        <f t="shared" si="18"/>
        <v>4</v>
      </c>
      <c r="T254" t="str">
        <f t="shared" si="19"/>
        <v>April</v>
      </c>
    </row>
    <row r="255" spans="1:20" x14ac:dyDescent="0.3">
      <c r="A255" s="3">
        <v>44661</v>
      </c>
      <c r="B255">
        <v>103</v>
      </c>
      <c r="C255" s="3">
        <f>_xlfn.XLOOKUP(B255,Stores!A:A,Stores!E:E)</f>
        <v>43952</v>
      </c>
      <c r="D255">
        <v>207</v>
      </c>
      <c r="E255" s="3">
        <f>_xlfn.XLOOKUP(D255,SalesReps!A:A,SalesReps!D:D)</f>
        <v>44656</v>
      </c>
      <c r="F255" s="3" t="str">
        <f>_xlfn.XLOOKUP(Table1[[#This Row],[RepID]],SalesReps!A:A,SalesReps!E:E)</f>
        <v>Active</v>
      </c>
      <c r="G255">
        <v>313</v>
      </c>
      <c r="H255" t="str">
        <f>_xlfn.XLOOKUP(Table1[[#This Row],[ProductID]],Products!A:A,Products!B:B)</f>
        <v>Clothing</v>
      </c>
      <c r="I255" t="str">
        <f>_xlfn.XLOOKUP(Table1[[#This Row],[ProductID]],Products!A:A,Products!C:C)</f>
        <v>Women</v>
      </c>
      <c r="J255">
        <v>8</v>
      </c>
      <c r="K255" s="5">
        <f>_xlfn.XLOOKUP(Table1[[#This Row],[ProductID]],Products!A:A,Products!E:E)</f>
        <v>104</v>
      </c>
      <c r="L255" s="5">
        <v>132.77000000000001</v>
      </c>
      <c r="M255" s="6">
        <v>0.06</v>
      </c>
      <c r="N255" t="s">
        <v>9</v>
      </c>
      <c r="O255" s="5">
        <f t="shared" si="15"/>
        <v>124.80380000000001</v>
      </c>
      <c r="P255" s="5">
        <f t="shared" si="16"/>
        <v>998.43040000000008</v>
      </c>
      <c r="Q255" s="5">
        <f>Table1[[#This Row],[Quantity]]*(Table1[[#This Row],[Saleprice]]-Table1[[#This Row],[Costprice]])</f>
        <v>166.43040000000008</v>
      </c>
      <c r="R255">
        <f t="shared" si="17"/>
        <v>2022</v>
      </c>
      <c r="S255">
        <f t="shared" si="18"/>
        <v>4</v>
      </c>
      <c r="T255" t="str">
        <f t="shared" si="19"/>
        <v>April</v>
      </c>
    </row>
    <row r="256" spans="1:20" x14ac:dyDescent="0.3">
      <c r="A256" s="3">
        <v>44663</v>
      </c>
      <c r="B256">
        <v>103</v>
      </c>
      <c r="C256" s="3">
        <f>_xlfn.XLOOKUP(B256,Stores!A:A,Stores!E:E)</f>
        <v>43952</v>
      </c>
      <c r="D256">
        <v>207</v>
      </c>
      <c r="E256" s="3">
        <f>_xlfn.XLOOKUP(D256,SalesReps!A:A,SalesReps!D:D)</f>
        <v>44656</v>
      </c>
      <c r="F256" s="3" t="str">
        <f>_xlfn.XLOOKUP(Table1[[#This Row],[RepID]],SalesReps!A:A,SalesReps!E:E)</f>
        <v>Active</v>
      </c>
      <c r="G256">
        <v>320</v>
      </c>
      <c r="H256" t="str">
        <f>_xlfn.XLOOKUP(Table1[[#This Row],[ProductID]],Products!A:A,Products!B:B)</f>
        <v>Toys</v>
      </c>
      <c r="I256" t="str">
        <f>_xlfn.XLOOKUP(Table1[[#This Row],[ProductID]],Products!A:A,Products!C:C)</f>
        <v>Outdoor</v>
      </c>
      <c r="J256">
        <v>8</v>
      </c>
      <c r="K256" s="5">
        <f>_xlfn.XLOOKUP(Table1[[#This Row],[ProductID]],Products!A:A,Products!E:E)</f>
        <v>304.58999999999997</v>
      </c>
      <c r="L256" s="5">
        <v>374.95</v>
      </c>
      <c r="M256" s="6">
        <v>0.22</v>
      </c>
      <c r="N256" t="s">
        <v>9</v>
      </c>
      <c r="O256" s="5">
        <f t="shared" si="15"/>
        <v>292.46100000000001</v>
      </c>
      <c r="P256" s="5">
        <f t="shared" si="16"/>
        <v>2339.6880000000001</v>
      </c>
      <c r="Q256" s="5">
        <f>Table1[[#This Row],[Quantity]]*(Table1[[#This Row],[Saleprice]]-Table1[[#This Row],[Costprice]])</f>
        <v>-97.031999999999698</v>
      </c>
      <c r="R256">
        <f t="shared" si="17"/>
        <v>2022</v>
      </c>
      <c r="S256">
        <f t="shared" si="18"/>
        <v>4</v>
      </c>
      <c r="T256" t="str">
        <f t="shared" si="19"/>
        <v>April</v>
      </c>
    </row>
    <row r="257" spans="1:20" x14ac:dyDescent="0.3">
      <c r="A257" s="3">
        <v>44663</v>
      </c>
      <c r="B257">
        <v>103</v>
      </c>
      <c r="C257" s="3">
        <f>_xlfn.XLOOKUP(B257,Stores!A:A,Stores!E:E)</f>
        <v>43952</v>
      </c>
      <c r="D257">
        <v>207</v>
      </c>
      <c r="E257" s="3">
        <f>_xlfn.XLOOKUP(D257,SalesReps!A:A,SalesReps!D:D)</f>
        <v>44656</v>
      </c>
      <c r="F257" s="3" t="str">
        <f>_xlfn.XLOOKUP(Table1[[#This Row],[RepID]],SalesReps!A:A,SalesReps!E:E)</f>
        <v>Active</v>
      </c>
      <c r="G257">
        <v>301</v>
      </c>
      <c r="H257" t="str">
        <f>_xlfn.XLOOKUP(Table1[[#This Row],[ProductID]],Products!A:A,Products!B:B)</f>
        <v>Electronics</v>
      </c>
      <c r="I257" t="str">
        <f>_xlfn.XLOOKUP(Table1[[#This Row],[ProductID]],Products!A:A,Products!C:C)</f>
        <v>Mobiles</v>
      </c>
      <c r="J257">
        <v>7</v>
      </c>
      <c r="K257" s="5">
        <f>_xlfn.XLOOKUP(Table1[[#This Row],[ProductID]],Products!A:A,Products!E:E)</f>
        <v>159.16</v>
      </c>
      <c r="L257" s="5">
        <v>244.18</v>
      </c>
      <c r="M257" s="6">
        <v>0.14000000000000001</v>
      </c>
      <c r="N257" t="s">
        <v>9</v>
      </c>
      <c r="O257" s="5">
        <f t="shared" si="15"/>
        <v>209.9948</v>
      </c>
      <c r="P257" s="5">
        <f t="shared" si="16"/>
        <v>1469.9636</v>
      </c>
      <c r="Q257" s="5">
        <f>Table1[[#This Row],[Quantity]]*(Table1[[#This Row],[Saleprice]]-Table1[[#This Row],[Costprice]])</f>
        <v>355.84360000000004</v>
      </c>
      <c r="R257">
        <f t="shared" si="17"/>
        <v>2022</v>
      </c>
      <c r="S257">
        <f t="shared" si="18"/>
        <v>4</v>
      </c>
      <c r="T257" t="str">
        <f t="shared" si="19"/>
        <v>April</v>
      </c>
    </row>
    <row r="258" spans="1:20" x14ac:dyDescent="0.3">
      <c r="A258" s="3">
        <v>44663</v>
      </c>
      <c r="B258">
        <v>104</v>
      </c>
      <c r="C258" s="3">
        <f>_xlfn.XLOOKUP(B258,Stores!A:A,Stores!E:E)</f>
        <v>44297</v>
      </c>
      <c r="D258">
        <v>202</v>
      </c>
      <c r="E258" s="3">
        <f>_xlfn.XLOOKUP(D258,SalesReps!A:A,SalesReps!D:D)</f>
        <v>44610</v>
      </c>
      <c r="F258" s="3" t="str">
        <f>_xlfn.XLOOKUP(Table1[[#This Row],[RepID]],SalesReps!A:A,SalesReps!E:E)</f>
        <v>Active</v>
      </c>
      <c r="G258">
        <v>318</v>
      </c>
      <c r="H258" t="str">
        <f>_xlfn.XLOOKUP(Table1[[#This Row],[ProductID]],Products!A:A,Products!B:B)</f>
        <v>Electronics</v>
      </c>
      <c r="I258" t="str">
        <f>_xlfn.XLOOKUP(Table1[[#This Row],[ProductID]],Products!A:A,Products!C:C)</f>
        <v>Mobiles</v>
      </c>
      <c r="J258">
        <v>4</v>
      </c>
      <c r="K258" s="5">
        <f>_xlfn.XLOOKUP(Table1[[#This Row],[ProductID]],Products!A:A,Products!E:E)</f>
        <v>162.51</v>
      </c>
      <c r="L258" s="5">
        <v>191.26</v>
      </c>
      <c r="M258" s="6">
        <v>0.17</v>
      </c>
      <c r="N258" t="s">
        <v>10</v>
      </c>
      <c r="O258" s="5">
        <f t="shared" ref="O258:O321" si="20">L258*(1-M258)</f>
        <v>158.74579999999997</v>
      </c>
      <c r="P258" s="5">
        <f t="shared" ref="P258:P321" si="21">O258*J258</f>
        <v>634.9831999999999</v>
      </c>
      <c r="Q258" s="5">
        <f>Table1[[#This Row],[Quantity]]*(Table1[[#This Row],[Saleprice]]-Table1[[#This Row],[Costprice]])</f>
        <v>-15.056800000000067</v>
      </c>
      <c r="R258">
        <f t="shared" ref="R258:R321" si="22">YEAR(A258)</f>
        <v>2022</v>
      </c>
      <c r="S258">
        <f t="shared" ref="S258:S321" si="23">MONTH(A258)</f>
        <v>4</v>
      </c>
      <c r="T258" t="str">
        <f t="shared" ref="T258:T321" si="24">TEXT(A258,"MMMM")</f>
        <v>April</v>
      </c>
    </row>
    <row r="259" spans="1:20" x14ac:dyDescent="0.3">
      <c r="A259" s="3">
        <v>44663</v>
      </c>
      <c r="B259">
        <v>103</v>
      </c>
      <c r="C259" s="3">
        <f>_xlfn.XLOOKUP(B259,Stores!A:A,Stores!E:E)</f>
        <v>43952</v>
      </c>
      <c r="D259">
        <v>207</v>
      </c>
      <c r="E259" s="3">
        <f>_xlfn.XLOOKUP(D259,SalesReps!A:A,SalesReps!D:D)</f>
        <v>44656</v>
      </c>
      <c r="F259" s="3" t="str">
        <f>_xlfn.XLOOKUP(Table1[[#This Row],[RepID]],SalesReps!A:A,SalesReps!E:E)</f>
        <v>Active</v>
      </c>
      <c r="G259">
        <v>312</v>
      </c>
      <c r="H259" t="str">
        <f>_xlfn.XLOOKUP(Table1[[#This Row],[ProductID]],Products!A:A,Products!B:B)</f>
        <v>Toys</v>
      </c>
      <c r="I259" t="str">
        <f>_xlfn.XLOOKUP(Table1[[#This Row],[ProductID]],Products!A:A,Products!C:C)</f>
        <v>Board Games</v>
      </c>
      <c r="J259">
        <v>3</v>
      </c>
      <c r="K259" s="5">
        <f>_xlfn.XLOOKUP(Table1[[#This Row],[ProductID]],Products!A:A,Products!E:E)</f>
        <v>100.05</v>
      </c>
      <c r="L259" s="5">
        <v>144.93</v>
      </c>
      <c r="M259" s="6">
        <v>0.1</v>
      </c>
      <c r="N259" t="s">
        <v>9</v>
      </c>
      <c r="O259" s="5">
        <f t="shared" si="20"/>
        <v>130.43700000000001</v>
      </c>
      <c r="P259" s="5">
        <f t="shared" si="21"/>
        <v>391.31100000000004</v>
      </c>
      <c r="Q259" s="5">
        <f>Table1[[#This Row],[Quantity]]*(Table1[[#This Row],[Saleprice]]-Table1[[#This Row],[Costprice]])</f>
        <v>91.161000000000044</v>
      </c>
      <c r="R259">
        <f t="shared" si="22"/>
        <v>2022</v>
      </c>
      <c r="S259">
        <f t="shared" si="23"/>
        <v>4</v>
      </c>
      <c r="T259" t="str">
        <f t="shared" si="24"/>
        <v>April</v>
      </c>
    </row>
    <row r="260" spans="1:20" x14ac:dyDescent="0.3">
      <c r="A260" s="3">
        <v>44663</v>
      </c>
      <c r="B260">
        <v>109</v>
      </c>
      <c r="C260" s="3">
        <f>_xlfn.XLOOKUP(B260,Stores!A:A,Stores!E:E)</f>
        <v>44600</v>
      </c>
      <c r="D260">
        <v>204</v>
      </c>
      <c r="E260" s="3">
        <f>_xlfn.XLOOKUP(D260,SalesReps!A:A,SalesReps!D:D)</f>
        <v>44388</v>
      </c>
      <c r="F260" s="3" t="str">
        <f>_xlfn.XLOOKUP(Table1[[#This Row],[RepID]],SalesReps!A:A,SalesReps!E:E)</f>
        <v>Active</v>
      </c>
      <c r="G260">
        <v>303</v>
      </c>
      <c r="H260" t="str">
        <f>_xlfn.XLOOKUP(Table1[[#This Row],[ProductID]],Products!A:A,Products!B:B)</f>
        <v>Home &amp; Kitchen</v>
      </c>
      <c r="I260" t="str">
        <f>_xlfn.XLOOKUP(Table1[[#This Row],[ProductID]],Products!A:A,Products!C:C)</f>
        <v>Furniture</v>
      </c>
      <c r="J260">
        <v>1</v>
      </c>
      <c r="K260" s="5">
        <f>_xlfn.XLOOKUP(Table1[[#This Row],[ProductID]],Products!A:A,Products!E:E)</f>
        <v>192.04</v>
      </c>
      <c r="L260" s="5">
        <v>250.55</v>
      </c>
      <c r="M260" s="6">
        <v>0.19</v>
      </c>
      <c r="N260" t="s">
        <v>11</v>
      </c>
      <c r="O260" s="5">
        <f t="shared" si="20"/>
        <v>202.94550000000001</v>
      </c>
      <c r="P260" s="5">
        <f t="shared" si="21"/>
        <v>202.94550000000001</v>
      </c>
      <c r="Q260" s="5">
        <f>Table1[[#This Row],[Quantity]]*(Table1[[#This Row],[Saleprice]]-Table1[[#This Row],[Costprice]])</f>
        <v>10.905500000000018</v>
      </c>
      <c r="R260">
        <f t="shared" si="22"/>
        <v>2022</v>
      </c>
      <c r="S260">
        <f t="shared" si="23"/>
        <v>4</v>
      </c>
      <c r="T260" t="str">
        <f t="shared" si="24"/>
        <v>April</v>
      </c>
    </row>
    <row r="261" spans="1:20" x14ac:dyDescent="0.3">
      <c r="A261" s="3">
        <v>44664</v>
      </c>
      <c r="B261">
        <v>109</v>
      </c>
      <c r="C261" s="3">
        <f>_xlfn.XLOOKUP(B261,Stores!A:A,Stores!E:E)</f>
        <v>44600</v>
      </c>
      <c r="D261">
        <v>204</v>
      </c>
      <c r="E261" s="3">
        <f>_xlfn.XLOOKUP(D261,SalesReps!A:A,SalesReps!D:D)</f>
        <v>44388</v>
      </c>
      <c r="F261" s="3" t="str">
        <f>_xlfn.XLOOKUP(Table1[[#This Row],[RepID]],SalesReps!A:A,SalesReps!E:E)</f>
        <v>Active</v>
      </c>
      <c r="G261">
        <v>314</v>
      </c>
      <c r="H261" t="str">
        <f>_xlfn.XLOOKUP(Table1[[#This Row],[ProductID]],Products!A:A,Products!B:B)</f>
        <v>Clothing</v>
      </c>
      <c r="I261" t="str">
        <f>_xlfn.XLOOKUP(Table1[[#This Row],[ProductID]],Products!A:A,Products!C:C)</f>
        <v>Kids</v>
      </c>
      <c r="J261">
        <v>8</v>
      </c>
      <c r="K261" s="5">
        <f>_xlfn.XLOOKUP(Table1[[#This Row],[ProductID]],Products!A:A,Products!E:E)</f>
        <v>276.47000000000003</v>
      </c>
      <c r="L261" s="5">
        <v>370.26</v>
      </c>
      <c r="M261" s="6">
        <v>0.18</v>
      </c>
      <c r="N261" t="s">
        <v>11</v>
      </c>
      <c r="O261" s="5">
        <f t="shared" si="20"/>
        <v>303.61320000000001</v>
      </c>
      <c r="P261" s="5">
        <f t="shared" si="21"/>
        <v>2428.9056</v>
      </c>
      <c r="Q261" s="5">
        <f>Table1[[#This Row],[Quantity]]*(Table1[[#This Row],[Saleprice]]-Table1[[#This Row],[Costprice]])</f>
        <v>217.14559999999983</v>
      </c>
      <c r="R261">
        <f t="shared" si="22"/>
        <v>2022</v>
      </c>
      <c r="S261">
        <f t="shared" si="23"/>
        <v>4</v>
      </c>
      <c r="T261" t="str">
        <f t="shared" si="24"/>
        <v>April</v>
      </c>
    </row>
    <row r="262" spans="1:20" x14ac:dyDescent="0.3">
      <c r="A262" s="3">
        <v>44664</v>
      </c>
      <c r="B262">
        <v>103</v>
      </c>
      <c r="C262" s="3">
        <f>_xlfn.XLOOKUP(B262,Stores!A:A,Stores!E:E)</f>
        <v>43952</v>
      </c>
      <c r="D262">
        <v>207</v>
      </c>
      <c r="E262" s="3">
        <f>_xlfn.XLOOKUP(D262,SalesReps!A:A,SalesReps!D:D)</f>
        <v>44656</v>
      </c>
      <c r="F262" s="3" t="str">
        <f>_xlfn.XLOOKUP(Table1[[#This Row],[RepID]],SalesReps!A:A,SalesReps!E:E)</f>
        <v>Active</v>
      </c>
      <c r="G262">
        <v>316</v>
      </c>
      <c r="H262" t="str">
        <f>_xlfn.XLOOKUP(Table1[[#This Row],[ProductID]],Products!A:A,Products!B:B)</f>
        <v>Home &amp; Kitchen</v>
      </c>
      <c r="I262" t="str">
        <f>_xlfn.XLOOKUP(Table1[[#This Row],[ProductID]],Products!A:A,Products!C:C)</f>
        <v>Furniture</v>
      </c>
      <c r="J262">
        <v>1</v>
      </c>
      <c r="K262" s="5">
        <f>_xlfn.XLOOKUP(Table1[[#This Row],[ProductID]],Products!A:A,Products!E:E)</f>
        <v>334.95</v>
      </c>
      <c r="L262" s="5">
        <v>387.55</v>
      </c>
      <c r="M262" s="6">
        <v>0.16</v>
      </c>
      <c r="N262" t="s">
        <v>9</v>
      </c>
      <c r="O262" s="5">
        <f t="shared" si="20"/>
        <v>325.54199999999997</v>
      </c>
      <c r="P262" s="5">
        <f t="shared" si="21"/>
        <v>325.54199999999997</v>
      </c>
      <c r="Q262" s="5">
        <f>Table1[[#This Row],[Quantity]]*(Table1[[#This Row],[Saleprice]]-Table1[[#This Row],[Costprice]])</f>
        <v>-9.4080000000000155</v>
      </c>
      <c r="R262">
        <f t="shared" si="22"/>
        <v>2022</v>
      </c>
      <c r="S262">
        <f t="shared" si="23"/>
        <v>4</v>
      </c>
      <c r="T262" t="str">
        <f t="shared" si="24"/>
        <v>April</v>
      </c>
    </row>
    <row r="263" spans="1:20" x14ac:dyDescent="0.3">
      <c r="A263" s="3">
        <v>44664</v>
      </c>
      <c r="B263">
        <v>109</v>
      </c>
      <c r="C263" s="3">
        <f>_xlfn.XLOOKUP(B263,Stores!A:A,Stores!E:E)</f>
        <v>44600</v>
      </c>
      <c r="D263">
        <v>204</v>
      </c>
      <c r="E263" s="3">
        <f>_xlfn.XLOOKUP(D263,SalesReps!A:A,SalesReps!D:D)</f>
        <v>44388</v>
      </c>
      <c r="F263" s="3" t="str">
        <f>_xlfn.XLOOKUP(Table1[[#This Row],[RepID]],SalesReps!A:A,SalesReps!E:E)</f>
        <v>Active</v>
      </c>
      <c r="G263">
        <v>301</v>
      </c>
      <c r="H263" t="str">
        <f>_xlfn.XLOOKUP(Table1[[#This Row],[ProductID]],Products!A:A,Products!B:B)</f>
        <v>Electronics</v>
      </c>
      <c r="I263" t="str">
        <f>_xlfn.XLOOKUP(Table1[[#This Row],[ProductID]],Products!A:A,Products!C:C)</f>
        <v>Mobiles</v>
      </c>
      <c r="J263">
        <v>4</v>
      </c>
      <c r="K263" s="5">
        <f>_xlfn.XLOOKUP(Table1[[#This Row],[ProductID]],Products!A:A,Products!E:E)</f>
        <v>159.16</v>
      </c>
      <c r="L263" s="5">
        <v>219.9</v>
      </c>
      <c r="M263" s="6">
        <v>0.24</v>
      </c>
      <c r="N263" t="s">
        <v>11</v>
      </c>
      <c r="O263" s="5">
        <f t="shared" si="20"/>
        <v>167.124</v>
      </c>
      <c r="P263" s="5">
        <f t="shared" si="21"/>
        <v>668.49599999999998</v>
      </c>
      <c r="Q263" s="5">
        <f>Table1[[#This Row],[Quantity]]*(Table1[[#This Row],[Saleprice]]-Table1[[#This Row],[Costprice]])</f>
        <v>31.855999999999995</v>
      </c>
      <c r="R263">
        <f t="shared" si="22"/>
        <v>2022</v>
      </c>
      <c r="S263">
        <f t="shared" si="23"/>
        <v>4</v>
      </c>
      <c r="T263" t="str">
        <f t="shared" si="24"/>
        <v>April</v>
      </c>
    </row>
    <row r="264" spans="1:20" x14ac:dyDescent="0.3">
      <c r="A264" s="3">
        <v>44665</v>
      </c>
      <c r="B264">
        <v>109</v>
      </c>
      <c r="C264" s="3">
        <f>_xlfn.XLOOKUP(B264,Stores!A:A,Stores!E:E)</f>
        <v>44600</v>
      </c>
      <c r="D264">
        <v>204</v>
      </c>
      <c r="E264" s="3">
        <f>_xlfn.XLOOKUP(D264,SalesReps!A:A,SalesReps!D:D)</f>
        <v>44388</v>
      </c>
      <c r="F264" s="3" t="str">
        <f>_xlfn.XLOOKUP(Table1[[#This Row],[RepID]],SalesReps!A:A,SalesReps!E:E)</f>
        <v>Active</v>
      </c>
      <c r="G264">
        <v>302</v>
      </c>
      <c r="H264" t="str">
        <f>_xlfn.XLOOKUP(Table1[[#This Row],[ProductID]],Products!A:A,Products!B:B)</f>
        <v>Toys</v>
      </c>
      <c r="I264" t="str">
        <f>_xlfn.XLOOKUP(Table1[[#This Row],[ProductID]],Products!A:A,Products!C:C)</f>
        <v>Outdoor</v>
      </c>
      <c r="J264">
        <v>4</v>
      </c>
      <c r="K264" s="5">
        <f>_xlfn.XLOOKUP(Table1[[#This Row],[ProductID]],Products!A:A,Products!E:E)</f>
        <v>393.46</v>
      </c>
      <c r="L264" s="5">
        <v>407.52</v>
      </c>
      <c r="M264" s="6">
        <v>0.12</v>
      </c>
      <c r="N264" t="s">
        <v>11</v>
      </c>
      <c r="O264" s="5">
        <f t="shared" si="20"/>
        <v>358.61759999999998</v>
      </c>
      <c r="P264" s="5">
        <f t="shared" si="21"/>
        <v>1434.4703999999999</v>
      </c>
      <c r="Q264" s="5">
        <f>Table1[[#This Row],[Quantity]]*(Table1[[#This Row],[Saleprice]]-Table1[[#This Row],[Costprice]])</f>
        <v>-139.36959999999999</v>
      </c>
      <c r="R264">
        <f t="shared" si="22"/>
        <v>2022</v>
      </c>
      <c r="S264">
        <f t="shared" si="23"/>
        <v>4</v>
      </c>
      <c r="T264" t="str">
        <f t="shared" si="24"/>
        <v>April</v>
      </c>
    </row>
    <row r="265" spans="1:20" x14ac:dyDescent="0.3">
      <c r="A265" s="3">
        <v>44666</v>
      </c>
      <c r="B265">
        <v>103</v>
      </c>
      <c r="C265" s="3">
        <f>_xlfn.XLOOKUP(B265,Stores!A:A,Stores!E:E)</f>
        <v>43952</v>
      </c>
      <c r="D265">
        <v>207</v>
      </c>
      <c r="E265" s="3">
        <f>_xlfn.XLOOKUP(D265,SalesReps!A:A,SalesReps!D:D)</f>
        <v>44656</v>
      </c>
      <c r="F265" s="3" t="str">
        <f>_xlfn.XLOOKUP(Table1[[#This Row],[RepID]],SalesReps!A:A,SalesReps!E:E)</f>
        <v>Active</v>
      </c>
      <c r="G265">
        <v>318</v>
      </c>
      <c r="H265" t="str">
        <f>_xlfn.XLOOKUP(Table1[[#This Row],[ProductID]],Products!A:A,Products!B:B)</f>
        <v>Electronics</v>
      </c>
      <c r="I265" t="str">
        <f>_xlfn.XLOOKUP(Table1[[#This Row],[ProductID]],Products!A:A,Products!C:C)</f>
        <v>Mobiles</v>
      </c>
      <c r="J265">
        <v>4</v>
      </c>
      <c r="K265" s="5">
        <f>_xlfn.XLOOKUP(Table1[[#This Row],[ProductID]],Products!A:A,Products!E:E)</f>
        <v>162.51</v>
      </c>
      <c r="L265" s="5">
        <v>237.02</v>
      </c>
      <c r="M265" s="6">
        <v>0.08</v>
      </c>
      <c r="N265" t="s">
        <v>9</v>
      </c>
      <c r="O265" s="5">
        <f t="shared" si="20"/>
        <v>218.05840000000001</v>
      </c>
      <c r="P265" s="5">
        <f t="shared" si="21"/>
        <v>872.23360000000002</v>
      </c>
      <c r="Q265" s="5">
        <f>Table1[[#This Row],[Quantity]]*(Table1[[#This Row],[Saleprice]]-Table1[[#This Row],[Costprice]])</f>
        <v>222.19360000000006</v>
      </c>
      <c r="R265">
        <f t="shared" si="22"/>
        <v>2022</v>
      </c>
      <c r="S265">
        <f t="shared" si="23"/>
        <v>4</v>
      </c>
      <c r="T265" t="str">
        <f t="shared" si="24"/>
        <v>April</v>
      </c>
    </row>
    <row r="266" spans="1:20" x14ac:dyDescent="0.3">
      <c r="A266" s="3">
        <v>44667</v>
      </c>
      <c r="B266">
        <v>103</v>
      </c>
      <c r="C266" s="3">
        <f>_xlfn.XLOOKUP(B266,Stores!A:A,Stores!E:E)</f>
        <v>43952</v>
      </c>
      <c r="D266">
        <v>207</v>
      </c>
      <c r="E266" s="3">
        <f>_xlfn.XLOOKUP(D266,SalesReps!A:A,SalesReps!D:D)</f>
        <v>44656</v>
      </c>
      <c r="F266" s="3" t="str">
        <f>_xlfn.XLOOKUP(Table1[[#This Row],[RepID]],SalesReps!A:A,SalesReps!E:E)</f>
        <v>Active</v>
      </c>
      <c r="G266">
        <v>320</v>
      </c>
      <c r="H266" t="str">
        <f>_xlfn.XLOOKUP(Table1[[#This Row],[ProductID]],Products!A:A,Products!B:B)</f>
        <v>Toys</v>
      </c>
      <c r="I266" t="str">
        <f>_xlfn.XLOOKUP(Table1[[#This Row],[ProductID]],Products!A:A,Products!C:C)</f>
        <v>Outdoor</v>
      </c>
      <c r="J266">
        <v>5</v>
      </c>
      <c r="K266" s="5">
        <f>_xlfn.XLOOKUP(Table1[[#This Row],[ProductID]],Products!A:A,Products!E:E)</f>
        <v>304.58999999999997</v>
      </c>
      <c r="L266" s="5">
        <v>374.95</v>
      </c>
      <c r="M266" s="6">
        <v>0.22</v>
      </c>
      <c r="N266" t="s">
        <v>9</v>
      </c>
      <c r="O266" s="5">
        <f t="shared" si="20"/>
        <v>292.46100000000001</v>
      </c>
      <c r="P266" s="5">
        <f t="shared" si="21"/>
        <v>1462.3050000000001</v>
      </c>
      <c r="Q266" s="5">
        <f>Table1[[#This Row],[Quantity]]*(Table1[[#This Row],[Saleprice]]-Table1[[#This Row],[Costprice]])</f>
        <v>-60.644999999999811</v>
      </c>
      <c r="R266">
        <f t="shared" si="22"/>
        <v>2022</v>
      </c>
      <c r="S266">
        <f t="shared" si="23"/>
        <v>4</v>
      </c>
      <c r="T266" t="str">
        <f t="shared" si="24"/>
        <v>April</v>
      </c>
    </row>
    <row r="267" spans="1:20" x14ac:dyDescent="0.3">
      <c r="A267" s="3">
        <v>44667</v>
      </c>
      <c r="B267">
        <v>109</v>
      </c>
      <c r="C267" s="3">
        <f>_xlfn.XLOOKUP(B267,Stores!A:A,Stores!E:E)</f>
        <v>44600</v>
      </c>
      <c r="D267">
        <v>204</v>
      </c>
      <c r="E267" s="3">
        <f>_xlfn.XLOOKUP(D267,SalesReps!A:A,SalesReps!D:D)</f>
        <v>44388</v>
      </c>
      <c r="F267" s="3" t="str">
        <f>_xlfn.XLOOKUP(Table1[[#This Row],[RepID]],SalesReps!A:A,SalesReps!E:E)</f>
        <v>Active</v>
      </c>
      <c r="G267">
        <v>315</v>
      </c>
      <c r="H267" t="str">
        <f>_xlfn.XLOOKUP(Table1[[#This Row],[ProductID]],Products!A:A,Products!B:B)</f>
        <v>Toys</v>
      </c>
      <c r="I267" t="str">
        <f>_xlfn.XLOOKUP(Table1[[#This Row],[ProductID]],Products!A:A,Products!C:C)</f>
        <v>Board Games</v>
      </c>
      <c r="J267">
        <v>9</v>
      </c>
      <c r="K267" s="5">
        <f>_xlfn.XLOOKUP(Table1[[#This Row],[ProductID]],Products!A:A,Products!E:E)</f>
        <v>247.9</v>
      </c>
      <c r="L267" s="5">
        <v>297.04000000000002</v>
      </c>
      <c r="M267" s="6">
        <v>0.18</v>
      </c>
      <c r="N267" t="s">
        <v>11</v>
      </c>
      <c r="O267" s="5">
        <f t="shared" si="20"/>
        <v>243.57280000000003</v>
      </c>
      <c r="P267" s="5">
        <f t="shared" si="21"/>
        <v>2192.1552000000001</v>
      </c>
      <c r="Q267" s="5">
        <f>Table1[[#This Row],[Quantity]]*(Table1[[#This Row],[Saleprice]]-Table1[[#This Row],[Costprice]])</f>
        <v>-38.944799999999788</v>
      </c>
      <c r="R267">
        <f t="shared" si="22"/>
        <v>2022</v>
      </c>
      <c r="S267">
        <f t="shared" si="23"/>
        <v>4</v>
      </c>
      <c r="T267" t="str">
        <f t="shared" si="24"/>
        <v>April</v>
      </c>
    </row>
    <row r="268" spans="1:20" x14ac:dyDescent="0.3">
      <c r="A268" s="3">
        <v>44667</v>
      </c>
      <c r="B268">
        <v>109</v>
      </c>
      <c r="C268" s="3">
        <f>_xlfn.XLOOKUP(B268,Stores!A:A,Stores!E:E)</f>
        <v>44600</v>
      </c>
      <c r="D268">
        <v>204</v>
      </c>
      <c r="E268" s="3">
        <f>_xlfn.XLOOKUP(D268,SalesReps!A:A,SalesReps!D:D)</f>
        <v>44388</v>
      </c>
      <c r="F268" s="3" t="str">
        <f>_xlfn.XLOOKUP(Table1[[#This Row],[RepID]],SalesReps!A:A,SalesReps!E:E)</f>
        <v>Active</v>
      </c>
      <c r="G268">
        <v>317</v>
      </c>
      <c r="H268" t="str">
        <f>_xlfn.XLOOKUP(Table1[[#This Row],[ProductID]],Products!A:A,Products!B:B)</f>
        <v>Toys</v>
      </c>
      <c r="I268" t="str">
        <f>_xlfn.XLOOKUP(Table1[[#This Row],[ProductID]],Products!A:A,Products!C:C)</f>
        <v>Educational</v>
      </c>
      <c r="J268">
        <v>3</v>
      </c>
      <c r="K268" s="5">
        <f>_xlfn.XLOOKUP(Table1[[#This Row],[ProductID]],Products!A:A,Products!E:E)</f>
        <v>77.61</v>
      </c>
      <c r="L268" s="5">
        <v>171.59</v>
      </c>
      <c r="M268" s="6">
        <v>0.06</v>
      </c>
      <c r="N268" t="s">
        <v>11</v>
      </c>
      <c r="O268" s="5">
        <f t="shared" si="20"/>
        <v>161.2946</v>
      </c>
      <c r="P268" s="5">
        <f t="shared" si="21"/>
        <v>483.88380000000001</v>
      </c>
      <c r="Q268" s="5">
        <f>Table1[[#This Row],[Quantity]]*(Table1[[#This Row],[Saleprice]]-Table1[[#This Row],[Costprice]])</f>
        <v>251.05380000000002</v>
      </c>
      <c r="R268">
        <f t="shared" si="22"/>
        <v>2022</v>
      </c>
      <c r="S268">
        <f t="shared" si="23"/>
        <v>4</v>
      </c>
      <c r="T268" t="str">
        <f t="shared" si="24"/>
        <v>April</v>
      </c>
    </row>
    <row r="269" spans="1:20" x14ac:dyDescent="0.3">
      <c r="A269" s="3">
        <v>44667</v>
      </c>
      <c r="B269">
        <v>109</v>
      </c>
      <c r="C269" s="3">
        <f>_xlfn.XLOOKUP(B269,Stores!A:A,Stores!E:E)</f>
        <v>44600</v>
      </c>
      <c r="D269">
        <v>204</v>
      </c>
      <c r="E269" s="3">
        <f>_xlfn.XLOOKUP(D269,SalesReps!A:A,SalesReps!D:D)</f>
        <v>44388</v>
      </c>
      <c r="F269" s="3" t="str">
        <f>_xlfn.XLOOKUP(Table1[[#This Row],[RepID]],SalesReps!A:A,SalesReps!E:E)</f>
        <v>Active</v>
      </c>
      <c r="G269">
        <v>313</v>
      </c>
      <c r="H269" t="str">
        <f>_xlfn.XLOOKUP(Table1[[#This Row],[ProductID]],Products!A:A,Products!B:B)</f>
        <v>Clothing</v>
      </c>
      <c r="I269" t="str">
        <f>_xlfn.XLOOKUP(Table1[[#This Row],[ProductID]],Products!A:A,Products!C:C)</f>
        <v>Women</v>
      </c>
      <c r="J269">
        <v>9</v>
      </c>
      <c r="K269" s="5">
        <f>_xlfn.XLOOKUP(Table1[[#This Row],[ProductID]],Products!A:A,Products!E:E)</f>
        <v>104</v>
      </c>
      <c r="L269" s="5">
        <v>175.45</v>
      </c>
      <c r="M269" s="6">
        <v>0.08</v>
      </c>
      <c r="N269" t="s">
        <v>11</v>
      </c>
      <c r="O269" s="5">
        <f t="shared" si="20"/>
        <v>161.41399999999999</v>
      </c>
      <c r="P269" s="5">
        <f t="shared" si="21"/>
        <v>1452.7259999999999</v>
      </c>
      <c r="Q269" s="5">
        <f>Table1[[#This Row],[Quantity]]*(Table1[[#This Row],[Saleprice]]-Table1[[#This Row],[Costprice]])</f>
        <v>516.72599999999989</v>
      </c>
      <c r="R269">
        <f t="shared" si="22"/>
        <v>2022</v>
      </c>
      <c r="S269">
        <f t="shared" si="23"/>
        <v>4</v>
      </c>
      <c r="T269" t="str">
        <f t="shared" si="24"/>
        <v>April</v>
      </c>
    </row>
    <row r="270" spans="1:20" x14ac:dyDescent="0.3">
      <c r="A270" s="3">
        <v>44668</v>
      </c>
      <c r="B270">
        <v>109</v>
      </c>
      <c r="C270" s="3">
        <f>_xlfn.XLOOKUP(B270,Stores!A:A,Stores!E:E)</f>
        <v>44600</v>
      </c>
      <c r="D270">
        <v>204</v>
      </c>
      <c r="E270" s="3">
        <f>_xlfn.XLOOKUP(D270,SalesReps!A:A,SalesReps!D:D)</f>
        <v>44388</v>
      </c>
      <c r="F270" s="3" t="str">
        <f>_xlfn.XLOOKUP(Table1[[#This Row],[RepID]],SalesReps!A:A,SalesReps!E:E)</f>
        <v>Active</v>
      </c>
      <c r="G270">
        <v>317</v>
      </c>
      <c r="H270" t="str">
        <f>_xlfn.XLOOKUP(Table1[[#This Row],[ProductID]],Products!A:A,Products!B:B)</f>
        <v>Toys</v>
      </c>
      <c r="I270" t="str">
        <f>_xlfn.XLOOKUP(Table1[[#This Row],[ProductID]],Products!A:A,Products!C:C)</f>
        <v>Educational</v>
      </c>
      <c r="J270">
        <v>5</v>
      </c>
      <c r="K270" s="5">
        <f>_xlfn.XLOOKUP(Table1[[#This Row],[ProductID]],Products!A:A,Products!E:E)</f>
        <v>77.61</v>
      </c>
      <c r="L270" s="5">
        <v>171.59</v>
      </c>
      <c r="M270" s="6">
        <v>0.06</v>
      </c>
      <c r="N270" t="s">
        <v>11</v>
      </c>
      <c r="O270" s="5">
        <f t="shared" si="20"/>
        <v>161.2946</v>
      </c>
      <c r="P270" s="5">
        <f t="shared" si="21"/>
        <v>806.47299999999996</v>
      </c>
      <c r="Q270" s="5">
        <f>Table1[[#This Row],[Quantity]]*(Table1[[#This Row],[Saleprice]]-Table1[[#This Row],[Costprice]])</f>
        <v>418.423</v>
      </c>
      <c r="R270">
        <f t="shared" si="22"/>
        <v>2022</v>
      </c>
      <c r="S270">
        <f t="shared" si="23"/>
        <v>4</v>
      </c>
      <c r="T270" t="str">
        <f t="shared" si="24"/>
        <v>April</v>
      </c>
    </row>
    <row r="271" spans="1:20" x14ac:dyDescent="0.3">
      <c r="A271" s="3">
        <v>44668</v>
      </c>
      <c r="B271">
        <v>109</v>
      </c>
      <c r="C271" s="3">
        <f>_xlfn.XLOOKUP(B271,Stores!A:A,Stores!E:E)</f>
        <v>44600</v>
      </c>
      <c r="D271">
        <v>204</v>
      </c>
      <c r="E271" s="3">
        <f>_xlfn.XLOOKUP(D271,SalesReps!A:A,SalesReps!D:D)</f>
        <v>44388</v>
      </c>
      <c r="F271" s="3" t="str">
        <f>_xlfn.XLOOKUP(Table1[[#This Row],[RepID]],SalesReps!A:A,SalesReps!E:E)</f>
        <v>Active</v>
      </c>
      <c r="G271">
        <v>308</v>
      </c>
      <c r="H271" t="str">
        <f>_xlfn.XLOOKUP(Table1[[#This Row],[ProductID]],Products!A:A,Products!B:B)</f>
        <v>Home &amp; Kitchen</v>
      </c>
      <c r="I271" t="str">
        <f>_xlfn.XLOOKUP(Table1[[#This Row],[ProductID]],Products!A:A,Products!C:C)</f>
        <v>Furniture</v>
      </c>
      <c r="J271">
        <v>8</v>
      </c>
      <c r="K271" s="5">
        <f>_xlfn.XLOOKUP(Table1[[#This Row],[ProductID]],Products!A:A,Products!E:E)</f>
        <v>377.46</v>
      </c>
      <c r="L271" s="5">
        <v>457.07</v>
      </c>
      <c r="M271" s="6">
        <v>0.18</v>
      </c>
      <c r="N271" t="s">
        <v>11</v>
      </c>
      <c r="O271" s="5">
        <f t="shared" si="20"/>
        <v>374.79740000000004</v>
      </c>
      <c r="P271" s="5">
        <f t="shared" si="21"/>
        <v>2998.3792000000003</v>
      </c>
      <c r="Q271" s="5">
        <f>Table1[[#This Row],[Quantity]]*(Table1[[#This Row],[Saleprice]]-Table1[[#This Row],[Costprice]])</f>
        <v>-21.300799999999526</v>
      </c>
      <c r="R271">
        <f t="shared" si="22"/>
        <v>2022</v>
      </c>
      <c r="S271">
        <f t="shared" si="23"/>
        <v>4</v>
      </c>
      <c r="T271" t="str">
        <f t="shared" si="24"/>
        <v>April</v>
      </c>
    </row>
    <row r="272" spans="1:20" x14ac:dyDescent="0.3">
      <c r="A272" s="3">
        <v>44668</v>
      </c>
      <c r="B272">
        <v>103</v>
      </c>
      <c r="C272" s="3">
        <f>_xlfn.XLOOKUP(B272,Stores!A:A,Stores!E:E)</f>
        <v>43952</v>
      </c>
      <c r="D272">
        <v>207</v>
      </c>
      <c r="E272" s="3">
        <f>_xlfn.XLOOKUP(D272,SalesReps!A:A,SalesReps!D:D)</f>
        <v>44656</v>
      </c>
      <c r="F272" s="3" t="str">
        <f>_xlfn.XLOOKUP(Table1[[#This Row],[RepID]],SalesReps!A:A,SalesReps!E:E)</f>
        <v>Active</v>
      </c>
      <c r="G272">
        <v>305</v>
      </c>
      <c r="H272" t="str">
        <f>_xlfn.XLOOKUP(Table1[[#This Row],[ProductID]],Products!A:A,Products!B:B)</f>
        <v>Electronics</v>
      </c>
      <c r="I272" t="str">
        <f>_xlfn.XLOOKUP(Table1[[#This Row],[ProductID]],Products!A:A,Products!C:C)</f>
        <v>Accessories</v>
      </c>
      <c r="J272">
        <v>2</v>
      </c>
      <c r="K272" s="5">
        <f>_xlfn.XLOOKUP(Table1[[#This Row],[ProductID]],Products!A:A,Products!E:E)</f>
        <v>275.32</v>
      </c>
      <c r="L272" s="5">
        <v>326.38</v>
      </c>
      <c r="M272" s="6">
        <v>0.19</v>
      </c>
      <c r="N272" t="s">
        <v>9</v>
      </c>
      <c r="O272" s="5">
        <f t="shared" si="20"/>
        <v>264.36779999999999</v>
      </c>
      <c r="P272" s="5">
        <f t="shared" si="21"/>
        <v>528.73559999999998</v>
      </c>
      <c r="Q272" s="5">
        <f>Table1[[#This Row],[Quantity]]*(Table1[[#This Row],[Saleprice]]-Table1[[#This Row],[Costprice]])</f>
        <v>-21.90440000000001</v>
      </c>
      <c r="R272">
        <f t="shared" si="22"/>
        <v>2022</v>
      </c>
      <c r="S272">
        <f t="shared" si="23"/>
        <v>4</v>
      </c>
      <c r="T272" t="str">
        <f t="shared" si="24"/>
        <v>April</v>
      </c>
    </row>
    <row r="273" spans="1:20" x14ac:dyDescent="0.3">
      <c r="A273" s="3">
        <v>44669</v>
      </c>
      <c r="B273">
        <v>104</v>
      </c>
      <c r="C273" s="3">
        <f>_xlfn.XLOOKUP(B273,Stores!A:A,Stores!E:E)</f>
        <v>44297</v>
      </c>
      <c r="D273">
        <v>202</v>
      </c>
      <c r="E273" s="3">
        <f>_xlfn.XLOOKUP(D273,SalesReps!A:A,SalesReps!D:D)</f>
        <v>44610</v>
      </c>
      <c r="F273" s="3" t="str">
        <f>_xlfn.XLOOKUP(Table1[[#This Row],[RepID]],SalesReps!A:A,SalesReps!E:E)</f>
        <v>Active</v>
      </c>
      <c r="G273">
        <v>317</v>
      </c>
      <c r="H273" t="str">
        <f>_xlfn.XLOOKUP(Table1[[#This Row],[ProductID]],Products!A:A,Products!B:B)</f>
        <v>Toys</v>
      </c>
      <c r="I273" t="str">
        <f>_xlfn.XLOOKUP(Table1[[#This Row],[ProductID]],Products!A:A,Products!C:C)</f>
        <v>Educational</v>
      </c>
      <c r="J273">
        <v>3</v>
      </c>
      <c r="K273" s="5">
        <f>_xlfn.XLOOKUP(Table1[[#This Row],[ProductID]],Products!A:A,Products!E:E)</f>
        <v>77.61</v>
      </c>
      <c r="L273" s="5">
        <v>141.34</v>
      </c>
      <c r="M273" s="6">
        <v>0.12</v>
      </c>
      <c r="N273" t="s">
        <v>10</v>
      </c>
      <c r="O273" s="5">
        <f t="shared" si="20"/>
        <v>124.3792</v>
      </c>
      <c r="P273" s="5">
        <f t="shared" si="21"/>
        <v>373.13760000000002</v>
      </c>
      <c r="Q273" s="5">
        <f>Table1[[#This Row],[Quantity]]*(Table1[[#This Row],[Saleprice]]-Table1[[#This Row],[Costprice]])</f>
        <v>140.30759999999998</v>
      </c>
      <c r="R273">
        <f t="shared" si="22"/>
        <v>2022</v>
      </c>
      <c r="S273">
        <f t="shared" si="23"/>
        <v>4</v>
      </c>
      <c r="T273" t="str">
        <f t="shared" si="24"/>
        <v>April</v>
      </c>
    </row>
    <row r="274" spans="1:20" x14ac:dyDescent="0.3">
      <c r="A274" s="3">
        <v>44669</v>
      </c>
      <c r="B274">
        <v>104</v>
      </c>
      <c r="C274" s="3">
        <f>_xlfn.XLOOKUP(B274,Stores!A:A,Stores!E:E)</f>
        <v>44297</v>
      </c>
      <c r="D274">
        <v>202</v>
      </c>
      <c r="E274" s="3">
        <f>_xlfn.XLOOKUP(D274,SalesReps!A:A,SalesReps!D:D)</f>
        <v>44610</v>
      </c>
      <c r="F274" s="3" t="str">
        <f>_xlfn.XLOOKUP(Table1[[#This Row],[RepID]],SalesReps!A:A,SalesReps!E:E)</f>
        <v>Active</v>
      </c>
      <c r="G274">
        <v>306</v>
      </c>
      <c r="H274" t="str">
        <f>_xlfn.XLOOKUP(Table1[[#This Row],[ProductID]],Products!A:A,Products!B:B)</f>
        <v>Clothing</v>
      </c>
      <c r="I274" t="str">
        <f>_xlfn.XLOOKUP(Table1[[#This Row],[ProductID]],Products!A:A,Products!C:C)</f>
        <v>Men</v>
      </c>
      <c r="J274">
        <v>5</v>
      </c>
      <c r="K274" s="5">
        <f>_xlfn.XLOOKUP(Table1[[#This Row],[ProductID]],Products!A:A,Products!E:E)</f>
        <v>185.69</v>
      </c>
      <c r="L274" s="5">
        <v>241.13</v>
      </c>
      <c r="M274" s="6">
        <v>0.14000000000000001</v>
      </c>
      <c r="N274" t="s">
        <v>10</v>
      </c>
      <c r="O274" s="5">
        <f t="shared" si="20"/>
        <v>207.37179999999998</v>
      </c>
      <c r="P274" s="5">
        <f t="shared" si="21"/>
        <v>1036.8589999999999</v>
      </c>
      <c r="Q274" s="5">
        <f>Table1[[#This Row],[Quantity]]*(Table1[[#This Row],[Saleprice]]-Table1[[#This Row],[Costprice]])</f>
        <v>108.40899999999991</v>
      </c>
      <c r="R274">
        <f t="shared" si="22"/>
        <v>2022</v>
      </c>
      <c r="S274">
        <f t="shared" si="23"/>
        <v>4</v>
      </c>
      <c r="T274" t="str">
        <f t="shared" si="24"/>
        <v>April</v>
      </c>
    </row>
    <row r="275" spans="1:20" x14ac:dyDescent="0.3">
      <c r="A275" s="3">
        <v>44669</v>
      </c>
      <c r="B275">
        <v>104</v>
      </c>
      <c r="C275" s="3">
        <f>_xlfn.XLOOKUP(B275,Stores!A:A,Stores!E:E)</f>
        <v>44297</v>
      </c>
      <c r="D275">
        <v>202</v>
      </c>
      <c r="E275" s="3">
        <f>_xlfn.XLOOKUP(D275,SalesReps!A:A,SalesReps!D:D)</f>
        <v>44610</v>
      </c>
      <c r="F275" s="3" t="str">
        <f>_xlfn.XLOOKUP(Table1[[#This Row],[RepID]],SalesReps!A:A,SalesReps!E:E)</f>
        <v>Active</v>
      </c>
      <c r="G275">
        <v>308</v>
      </c>
      <c r="H275" t="str">
        <f>_xlfn.XLOOKUP(Table1[[#This Row],[ProductID]],Products!A:A,Products!B:B)</f>
        <v>Home &amp; Kitchen</v>
      </c>
      <c r="I275" t="str">
        <f>_xlfn.XLOOKUP(Table1[[#This Row],[ProductID]],Products!A:A,Products!C:C)</f>
        <v>Furniture</v>
      </c>
      <c r="J275">
        <v>4</v>
      </c>
      <c r="K275" s="5">
        <f>_xlfn.XLOOKUP(Table1[[#This Row],[ProductID]],Products!A:A,Products!E:E)</f>
        <v>377.46</v>
      </c>
      <c r="L275" s="5">
        <v>466.31</v>
      </c>
      <c r="M275" s="6">
        <v>0.09</v>
      </c>
      <c r="N275" t="s">
        <v>10</v>
      </c>
      <c r="O275" s="5">
        <f t="shared" si="20"/>
        <v>424.34210000000002</v>
      </c>
      <c r="P275" s="5">
        <f t="shared" si="21"/>
        <v>1697.3684000000001</v>
      </c>
      <c r="Q275" s="5">
        <f>Table1[[#This Row],[Quantity]]*(Table1[[#This Row],[Saleprice]]-Table1[[#This Row],[Costprice]])</f>
        <v>187.52840000000015</v>
      </c>
      <c r="R275">
        <f t="shared" si="22"/>
        <v>2022</v>
      </c>
      <c r="S275">
        <f t="shared" si="23"/>
        <v>4</v>
      </c>
      <c r="T275" t="str">
        <f t="shared" si="24"/>
        <v>April</v>
      </c>
    </row>
    <row r="276" spans="1:20" x14ac:dyDescent="0.3">
      <c r="A276" s="3">
        <v>44670</v>
      </c>
      <c r="B276">
        <v>109</v>
      </c>
      <c r="C276" s="3">
        <f>_xlfn.XLOOKUP(B276,Stores!A:A,Stores!E:E)</f>
        <v>44600</v>
      </c>
      <c r="D276">
        <v>204</v>
      </c>
      <c r="E276" s="3">
        <f>_xlfn.XLOOKUP(D276,SalesReps!A:A,SalesReps!D:D)</f>
        <v>44388</v>
      </c>
      <c r="F276" s="3" t="str">
        <f>_xlfn.XLOOKUP(Table1[[#This Row],[RepID]],SalesReps!A:A,SalesReps!E:E)</f>
        <v>Active</v>
      </c>
      <c r="G276">
        <v>311</v>
      </c>
      <c r="H276" t="str">
        <f>_xlfn.XLOOKUP(Table1[[#This Row],[ProductID]],Products!A:A,Products!B:B)</f>
        <v>Home &amp; Kitchen</v>
      </c>
      <c r="I276" t="str">
        <f>_xlfn.XLOOKUP(Table1[[#This Row],[ProductID]],Products!A:A,Products!C:C)</f>
        <v>Furniture</v>
      </c>
      <c r="J276">
        <v>6</v>
      </c>
      <c r="K276" s="5">
        <f>_xlfn.XLOOKUP(Table1[[#This Row],[ProductID]],Products!A:A,Products!E:E)</f>
        <v>16.23</v>
      </c>
      <c r="L276" s="5">
        <v>45.38</v>
      </c>
      <c r="M276" s="6">
        <v>0.11</v>
      </c>
      <c r="N276" t="s">
        <v>11</v>
      </c>
      <c r="O276" s="5">
        <f t="shared" si="20"/>
        <v>40.388200000000005</v>
      </c>
      <c r="P276" s="5">
        <f t="shared" si="21"/>
        <v>242.32920000000001</v>
      </c>
      <c r="Q276" s="5">
        <f>Table1[[#This Row],[Quantity]]*(Table1[[#This Row],[Saleprice]]-Table1[[#This Row],[Costprice]])</f>
        <v>144.94920000000002</v>
      </c>
      <c r="R276">
        <f t="shared" si="22"/>
        <v>2022</v>
      </c>
      <c r="S276">
        <f t="shared" si="23"/>
        <v>4</v>
      </c>
      <c r="T276" t="str">
        <f t="shared" si="24"/>
        <v>April</v>
      </c>
    </row>
    <row r="277" spans="1:20" x14ac:dyDescent="0.3">
      <c r="A277" s="3">
        <v>44670</v>
      </c>
      <c r="B277">
        <v>103</v>
      </c>
      <c r="C277" s="3">
        <f>_xlfn.XLOOKUP(B277,Stores!A:A,Stores!E:E)</f>
        <v>43952</v>
      </c>
      <c r="D277">
        <v>207</v>
      </c>
      <c r="E277" s="3">
        <f>_xlfn.XLOOKUP(D277,SalesReps!A:A,SalesReps!D:D)</f>
        <v>44656</v>
      </c>
      <c r="F277" s="3" t="str">
        <f>_xlfn.XLOOKUP(Table1[[#This Row],[RepID]],SalesReps!A:A,SalesReps!E:E)</f>
        <v>Active</v>
      </c>
      <c r="G277">
        <v>313</v>
      </c>
      <c r="H277" t="str">
        <f>_xlfn.XLOOKUP(Table1[[#This Row],[ProductID]],Products!A:A,Products!B:B)</f>
        <v>Clothing</v>
      </c>
      <c r="I277" t="str">
        <f>_xlfn.XLOOKUP(Table1[[#This Row],[ProductID]],Products!A:A,Products!C:C)</f>
        <v>Women</v>
      </c>
      <c r="J277">
        <v>7</v>
      </c>
      <c r="K277" s="5">
        <f>_xlfn.XLOOKUP(Table1[[#This Row],[ProductID]],Products!A:A,Products!E:E)</f>
        <v>104</v>
      </c>
      <c r="L277" s="5">
        <v>132.77000000000001</v>
      </c>
      <c r="M277" s="6">
        <v>0.06</v>
      </c>
      <c r="N277" t="s">
        <v>9</v>
      </c>
      <c r="O277" s="5">
        <f t="shared" si="20"/>
        <v>124.80380000000001</v>
      </c>
      <c r="P277" s="5">
        <f t="shared" si="21"/>
        <v>873.62660000000005</v>
      </c>
      <c r="Q277" s="5">
        <f>Table1[[#This Row],[Quantity]]*(Table1[[#This Row],[Saleprice]]-Table1[[#This Row],[Costprice]])</f>
        <v>145.62660000000005</v>
      </c>
      <c r="R277">
        <f t="shared" si="22"/>
        <v>2022</v>
      </c>
      <c r="S277">
        <f t="shared" si="23"/>
        <v>4</v>
      </c>
      <c r="T277" t="str">
        <f t="shared" si="24"/>
        <v>April</v>
      </c>
    </row>
    <row r="278" spans="1:20" x14ac:dyDescent="0.3">
      <c r="A278" s="3">
        <v>44670</v>
      </c>
      <c r="B278">
        <v>109</v>
      </c>
      <c r="C278" s="3">
        <f>_xlfn.XLOOKUP(B278,Stores!A:A,Stores!E:E)</f>
        <v>44600</v>
      </c>
      <c r="D278">
        <v>204</v>
      </c>
      <c r="E278" s="3">
        <f>_xlfn.XLOOKUP(D278,SalesReps!A:A,SalesReps!D:D)</f>
        <v>44388</v>
      </c>
      <c r="F278" s="3" t="str">
        <f>_xlfn.XLOOKUP(Table1[[#This Row],[RepID]],SalesReps!A:A,SalesReps!E:E)</f>
        <v>Active</v>
      </c>
      <c r="G278">
        <v>304</v>
      </c>
      <c r="H278" t="str">
        <f>_xlfn.XLOOKUP(Table1[[#This Row],[ProductID]],Products!A:A,Products!B:B)</f>
        <v>Home &amp; Kitchen</v>
      </c>
      <c r="I278" t="str">
        <f>_xlfn.XLOOKUP(Table1[[#This Row],[ProductID]],Products!A:A,Products!C:C)</f>
        <v>Furniture</v>
      </c>
      <c r="J278">
        <v>1</v>
      </c>
      <c r="K278" s="5">
        <f>_xlfn.XLOOKUP(Table1[[#This Row],[ProductID]],Products!A:A,Products!E:E)</f>
        <v>345.38</v>
      </c>
      <c r="L278" s="5">
        <v>436.53</v>
      </c>
      <c r="M278" s="6">
        <v>0.1</v>
      </c>
      <c r="N278" t="s">
        <v>11</v>
      </c>
      <c r="O278" s="5">
        <f t="shared" si="20"/>
        <v>392.87700000000001</v>
      </c>
      <c r="P278" s="5">
        <f t="shared" si="21"/>
        <v>392.87700000000001</v>
      </c>
      <c r="Q278" s="5">
        <f>Table1[[#This Row],[Quantity]]*(Table1[[#This Row],[Saleprice]]-Table1[[#This Row],[Costprice]])</f>
        <v>47.497000000000014</v>
      </c>
      <c r="R278">
        <f t="shared" si="22"/>
        <v>2022</v>
      </c>
      <c r="S278">
        <f t="shared" si="23"/>
        <v>4</v>
      </c>
      <c r="T278" t="str">
        <f t="shared" si="24"/>
        <v>April</v>
      </c>
    </row>
    <row r="279" spans="1:20" x14ac:dyDescent="0.3">
      <c r="A279" s="3">
        <v>44671</v>
      </c>
      <c r="B279">
        <v>103</v>
      </c>
      <c r="C279" s="3">
        <f>_xlfn.XLOOKUP(B279,Stores!A:A,Stores!E:E)</f>
        <v>43952</v>
      </c>
      <c r="D279">
        <v>207</v>
      </c>
      <c r="E279" s="3">
        <f>_xlfn.XLOOKUP(D279,SalesReps!A:A,SalesReps!D:D)</f>
        <v>44656</v>
      </c>
      <c r="F279" s="3" t="str">
        <f>_xlfn.XLOOKUP(Table1[[#This Row],[RepID]],SalesReps!A:A,SalesReps!E:E)</f>
        <v>Active</v>
      </c>
      <c r="G279">
        <v>311</v>
      </c>
      <c r="H279" t="str">
        <f>_xlfn.XLOOKUP(Table1[[#This Row],[ProductID]],Products!A:A,Products!B:B)</f>
        <v>Home &amp; Kitchen</v>
      </c>
      <c r="I279" t="str">
        <f>_xlfn.XLOOKUP(Table1[[#This Row],[ProductID]],Products!A:A,Products!C:C)</f>
        <v>Furniture</v>
      </c>
      <c r="J279">
        <v>9</v>
      </c>
      <c r="K279" s="5">
        <f>_xlfn.XLOOKUP(Table1[[#This Row],[ProductID]],Products!A:A,Products!E:E)</f>
        <v>16.23</v>
      </c>
      <c r="L279" s="5">
        <v>50.27</v>
      </c>
      <c r="M279" s="6">
        <v>0.09</v>
      </c>
      <c r="N279" t="s">
        <v>9</v>
      </c>
      <c r="O279" s="5">
        <f t="shared" si="20"/>
        <v>45.745700000000006</v>
      </c>
      <c r="P279" s="5">
        <f t="shared" si="21"/>
        <v>411.71130000000005</v>
      </c>
      <c r="Q279" s="5">
        <f>Table1[[#This Row],[Quantity]]*(Table1[[#This Row],[Saleprice]]-Table1[[#This Row],[Costprice]])</f>
        <v>265.64130000000006</v>
      </c>
      <c r="R279">
        <f t="shared" si="22"/>
        <v>2022</v>
      </c>
      <c r="S279">
        <f t="shared" si="23"/>
        <v>4</v>
      </c>
      <c r="T279" t="str">
        <f t="shared" si="24"/>
        <v>April</v>
      </c>
    </row>
    <row r="280" spans="1:20" x14ac:dyDescent="0.3">
      <c r="A280" s="3">
        <v>44671</v>
      </c>
      <c r="B280">
        <v>106</v>
      </c>
      <c r="C280" s="3">
        <f>_xlfn.XLOOKUP(B280,Stores!A:A,Stores!E:E)</f>
        <v>43918</v>
      </c>
      <c r="D280">
        <v>212</v>
      </c>
      <c r="E280" s="3">
        <f>_xlfn.XLOOKUP(D280,SalesReps!A:A,SalesReps!D:D)</f>
        <v>44671</v>
      </c>
      <c r="F280" s="3" t="str">
        <f>_xlfn.XLOOKUP(Table1[[#This Row],[RepID]],SalesReps!A:A,SalesReps!E:E)</f>
        <v>Active</v>
      </c>
      <c r="G280">
        <v>303</v>
      </c>
      <c r="H280" t="str">
        <f>_xlfn.XLOOKUP(Table1[[#This Row],[ProductID]],Products!A:A,Products!B:B)</f>
        <v>Home &amp; Kitchen</v>
      </c>
      <c r="I280" t="str">
        <f>_xlfn.XLOOKUP(Table1[[#This Row],[ProductID]],Products!A:A,Products!C:C)</f>
        <v>Furniture</v>
      </c>
      <c r="J280">
        <v>8</v>
      </c>
      <c r="K280" s="5">
        <f>_xlfn.XLOOKUP(Table1[[#This Row],[ProductID]],Products!A:A,Products!E:E)</f>
        <v>192.04</v>
      </c>
      <c r="L280" s="5">
        <v>264.55</v>
      </c>
      <c r="M280" s="6">
        <v>7.0000000000000007E-2</v>
      </c>
      <c r="N280" t="s">
        <v>10</v>
      </c>
      <c r="O280" s="5">
        <f t="shared" si="20"/>
        <v>246.03149999999999</v>
      </c>
      <c r="P280" s="5">
        <f t="shared" si="21"/>
        <v>1968.252</v>
      </c>
      <c r="Q280" s="5">
        <f>Table1[[#This Row],[Quantity]]*(Table1[[#This Row],[Saleprice]]-Table1[[#This Row],[Costprice]])</f>
        <v>431.93200000000002</v>
      </c>
      <c r="R280">
        <f t="shared" si="22"/>
        <v>2022</v>
      </c>
      <c r="S280">
        <f t="shared" si="23"/>
        <v>4</v>
      </c>
      <c r="T280" t="str">
        <f t="shared" si="24"/>
        <v>April</v>
      </c>
    </row>
    <row r="281" spans="1:20" x14ac:dyDescent="0.3">
      <c r="A281" s="3">
        <v>44671</v>
      </c>
      <c r="B281">
        <v>103</v>
      </c>
      <c r="C281" s="3">
        <f>_xlfn.XLOOKUP(B281,Stores!A:A,Stores!E:E)</f>
        <v>43952</v>
      </c>
      <c r="D281">
        <v>207</v>
      </c>
      <c r="E281" s="3">
        <f>_xlfn.XLOOKUP(D281,SalesReps!A:A,SalesReps!D:D)</f>
        <v>44656</v>
      </c>
      <c r="F281" s="3" t="str">
        <f>_xlfn.XLOOKUP(Table1[[#This Row],[RepID]],SalesReps!A:A,SalesReps!E:E)</f>
        <v>Active</v>
      </c>
      <c r="G281">
        <v>310</v>
      </c>
      <c r="H281" t="str">
        <f>_xlfn.XLOOKUP(Table1[[#This Row],[ProductID]],Products!A:A,Products!B:B)</f>
        <v>Home &amp; Kitchen</v>
      </c>
      <c r="I281" t="str">
        <f>_xlfn.XLOOKUP(Table1[[#This Row],[ProductID]],Products!A:A,Products!C:C)</f>
        <v>Furniture</v>
      </c>
      <c r="J281">
        <v>9</v>
      </c>
      <c r="K281" s="5">
        <f>_xlfn.XLOOKUP(Table1[[#This Row],[ProductID]],Products!A:A,Products!E:E)</f>
        <v>160.31</v>
      </c>
      <c r="L281" s="5">
        <v>198.57</v>
      </c>
      <c r="M281" s="6">
        <v>0.18</v>
      </c>
      <c r="N281" t="s">
        <v>9</v>
      </c>
      <c r="O281" s="5">
        <f t="shared" si="20"/>
        <v>162.82740000000001</v>
      </c>
      <c r="P281" s="5">
        <f t="shared" si="21"/>
        <v>1465.4466000000002</v>
      </c>
      <c r="Q281" s="5">
        <f>Table1[[#This Row],[Quantity]]*(Table1[[#This Row],[Saleprice]]-Table1[[#This Row],[Costprice]])</f>
        <v>22.656600000000083</v>
      </c>
      <c r="R281">
        <f t="shared" si="22"/>
        <v>2022</v>
      </c>
      <c r="S281">
        <f t="shared" si="23"/>
        <v>4</v>
      </c>
      <c r="T281" t="str">
        <f t="shared" si="24"/>
        <v>April</v>
      </c>
    </row>
    <row r="282" spans="1:20" x14ac:dyDescent="0.3">
      <c r="A282" s="3">
        <v>44671</v>
      </c>
      <c r="B282">
        <v>103</v>
      </c>
      <c r="C282" s="3">
        <f>_xlfn.XLOOKUP(B282,Stores!A:A,Stores!E:E)</f>
        <v>43952</v>
      </c>
      <c r="D282">
        <v>207</v>
      </c>
      <c r="E282" s="3">
        <f>_xlfn.XLOOKUP(D282,SalesReps!A:A,SalesReps!D:D)</f>
        <v>44656</v>
      </c>
      <c r="F282" s="3" t="str">
        <f>_xlfn.XLOOKUP(Table1[[#This Row],[RepID]],SalesReps!A:A,SalesReps!E:E)</f>
        <v>Active</v>
      </c>
      <c r="G282">
        <v>303</v>
      </c>
      <c r="H282" t="str">
        <f>_xlfn.XLOOKUP(Table1[[#This Row],[ProductID]],Products!A:A,Products!B:B)</f>
        <v>Home &amp; Kitchen</v>
      </c>
      <c r="I282" t="str">
        <f>_xlfn.XLOOKUP(Table1[[#This Row],[ProductID]],Products!A:A,Products!C:C)</f>
        <v>Furniture</v>
      </c>
      <c r="J282">
        <v>5</v>
      </c>
      <c r="K282" s="5">
        <f>_xlfn.XLOOKUP(Table1[[#This Row],[ProductID]],Products!A:A,Products!E:E)</f>
        <v>192.04</v>
      </c>
      <c r="L282" s="5">
        <v>289.35000000000002</v>
      </c>
      <c r="M282" s="6">
        <v>0.22</v>
      </c>
      <c r="N282" t="s">
        <v>9</v>
      </c>
      <c r="O282" s="5">
        <f t="shared" si="20"/>
        <v>225.69300000000001</v>
      </c>
      <c r="P282" s="5">
        <f t="shared" si="21"/>
        <v>1128.4650000000001</v>
      </c>
      <c r="Q282" s="5">
        <f>Table1[[#This Row],[Quantity]]*(Table1[[#This Row],[Saleprice]]-Table1[[#This Row],[Costprice]])</f>
        <v>168.2650000000001</v>
      </c>
      <c r="R282">
        <f t="shared" si="22"/>
        <v>2022</v>
      </c>
      <c r="S282">
        <f t="shared" si="23"/>
        <v>4</v>
      </c>
      <c r="T282" t="str">
        <f t="shared" si="24"/>
        <v>April</v>
      </c>
    </row>
    <row r="283" spans="1:20" x14ac:dyDescent="0.3">
      <c r="A283" s="3">
        <v>44672</v>
      </c>
      <c r="B283">
        <v>103</v>
      </c>
      <c r="C283" s="3">
        <f>_xlfn.XLOOKUP(B283,Stores!A:A,Stores!E:E)</f>
        <v>43952</v>
      </c>
      <c r="D283">
        <v>207</v>
      </c>
      <c r="E283" s="3">
        <f>_xlfn.XLOOKUP(D283,SalesReps!A:A,SalesReps!D:D)</f>
        <v>44656</v>
      </c>
      <c r="F283" s="3" t="str">
        <f>_xlfn.XLOOKUP(Table1[[#This Row],[RepID]],SalesReps!A:A,SalesReps!E:E)</f>
        <v>Active</v>
      </c>
      <c r="G283">
        <v>318</v>
      </c>
      <c r="H283" t="str">
        <f>_xlfn.XLOOKUP(Table1[[#This Row],[ProductID]],Products!A:A,Products!B:B)</f>
        <v>Electronics</v>
      </c>
      <c r="I283" t="str">
        <f>_xlfn.XLOOKUP(Table1[[#This Row],[ProductID]],Products!A:A,Products!C:C)</f>
        <v>Mobiles</v>
      </c>
      <c r="J283">
        <v>1</v>
      </c>
      <c r="K283" s="5">
        <f>_xlfn.XLOOKUP(Table1[[#This Row],[ProductID]],Products!A:A,Products!E:E)</f>
        <v>162.51</v>
      </c>
      <c r="L283" s="5">
        <v>237.02</v>
      </c>
      <c r="M283" s="6">
        <v>0.08</v>
      </c>
      <c r="N283" t="s">
        <v>9</v>
      </c>
      <c r="O283" s="5">
        <f t="shared" si="20"/>
        <v>218.05840000000001</v>
      </c>
      <c r="P283" s="5">
        <f t="shared" si="21"/>
        <v>218.05840000000001</v>
      </c>
      <c r="Q283" s="5">
        <f>Table1[[#This Row],[Quantity]]*(Table1[[#This Row],[Saleprice]]-Table1[[#This Row],[Costprice]])</f>
        <v>55.548400000000015</v>
      </c>
      <c r="R283">
        <f t="shared" si="22"/>
        <v>2022</v>
      </c>
      <c r="S283">
        <f t="shared" si="23"/>
        <v>4</v>
      </c>
      <c r="T283" t="str">
        <f t="shared" si="24"/>
        <v>April</v>
      </c>
    </row>
    <row r="284" spans="1:20" x14ac:dyDescent="0.3">
      <c r="A284" s="3">
        <v>44672</v>
      </c>
      <c r="B284">
        <v>103</v>
      </c>
      <c r="C284" s="3">
        <f>_xlfn.XLOOKUP(B284,Stores!A:A,Stores!E:E)</f>
        <v>43952</v>
      </c>
      <c r="D284">
        <v>207</v>
      </c>
      <c r="E284" s="3">
        <f>_xlfn.XLOOKUP(D284,SalesReps!A:A,SalesReps!D:D)</f>
        <v>44656</v>
      </c>
      <c r="F284" s="3" t="str">
        <f>_xlfn.XLOOKUP(Table1[[#This Row],[RepID]],SalesReps!A:A,SalesReps!E:E)</f>
        <v>Active</v>
      </c>
      <c r="G284">
        <v>302</v>
      </c>
      <c r="H284" t="str">
        <f>_xlfn.XLOOKUP(Table1[[#This Row],[ProductID]],Products!A:A,Products!B:B)</f>
        <v>Toys</v>
      </c>
      <c r="I284" t="str">
        <f>_xlfn.XLOOKUP(Table1[[#This Row],[ProductID]],Products!A:A,Products!C:C)</f>
        <v>Outdoor</v>
      </c>
      <c r="J284">
        <v>4</v>
      </c>
      <c r="K284" s="5">
        <f>_xlfn.XLOOKUP(Table1[[#This Row],[ProductID]],Products!A:A,Products!E:E)</f>
        <v>393.46</v>
      </c>
      <c r="L284" s="5">
        <v>435.97</v>
      </c>
      <c r="M284" s="6">
        <v>0.11</v>
      </c>
      <c r="N284" t="s">
        <v>9</v>
      </c>
      <c r="O284" s="5">
        <f t="shared" si="20"/>
        <v>388.01330000000002</v>
      </c>
      <c r="P284" s="5">
        <f t="shared" si="21"/>
        <v>1552.0532000000001</v>
      </c>
      <c r="Q284" s="5">
        <f>Table1[[#This Row],[Quantity]]*(Table1[[#This Row],[Saleprice]]-Table1[[#This Row],[Costprice]])</f>
        <v>-21.786799999999857</v>
      </c>
      <c r="R284">
        <f t="shared" si="22"/>
        <v>2022</v>
      </c>
      <c r="S284">
        <f t="shared" si="23"/>
        <v>4</v>
      </c>
      <c r="T284" t="str">
        <f t="shared" si="24"/>
        <v>April</v>
      </c>
    </row>
    <row r="285" spans="1:20" x14ac:dyDescent="0.3">
      <c r="A285" s="3">
        <v>44672</v>
      </c>
      <c r="B285">
        <v>103</v>
      </c>
      <c r="C285" s="3">
        <f>_xlfn.XLOOKUP(B285,Stores!A:A,Stores!E:E)</f>
        <v>43952</v>
      </c>
      <c r="D285">
        <v>207</v>
      </c>
      <c r="E285" s="3">
        <f>_xlfn.XLOOKUP(D285,SalesReps!A:A,SalesReps!D:D)</f>
        <v>44656</v>
      </c>
      <c r="F285" s="3" t="str">
        <f>_xlfn.XLOOKUP(Table1[[#This Row],[RepID]],SalesReps!A:A,SalesReps!E:E)</f>
        <v>Active</v>
      </c>
      <c r="G285">
        <v>301</v>
      </c>
      <c r="H285" t="str">
        <f>_xlfn.XLOOKUP(Table1[[#This Row],[ProductID]],Products!A:A,Products!B:B)</f>
        <v>Electronics</v>
      </c>
      <c r="I285" t="str">
        <f>_xlfn.XLOOKUP(Table1[[#This Row],[ProductID]],Products!A:A,Products!C:C)</f>
        <v>Mobiles</v>
      </c>
      <c r="J285">
        <v>7</v>
      </c>
      <c r="K285" s="5">
        <f>_xlfn.XLOOKUP(Table1[[#This Row],[ProductID]],Products!A:A,Products!E:E)</f>
        <v>159.16</v>
      </c>
      <c r="L285" s="5">
        <v>244.18</v>
      </c>
      <c r="M285" s="6">
        <v>0.14000000000000001</v>
      </c>
      <c r="N285" t="s">
        <v>9</v>
      </c>
      <c r="O285" s="5">
        <f t="shared" si="20"/>
        <v>209.9948</v>
      </c>
      <c r="P285" s="5">
        <f t="shared" si="21"/>
        <v>1469.9636</v>
      </c>
      <c r="Q285" s="5">
        <f>Table1[[#This Row],[Quantity]]*(Table1[[#This Row],[Saleprice]]-Table1[[#This Row],[Costprice]])</f>
        <v>355.84360000000004</v>
      </c>
      <c r="R285">
        <f t="shared" si="22"/>
        <v>2022</v>
      </c>
      <c r="S285">
        <f t="shared" si="23"/>
        <v>4</v>
      </c>
      <c r="T285" t="str">
        <f t="shared" si="24"/>
        <v>April</v>
      </c>
    </row>
    <row r="286" spans="1:20" x14ac:dyDescent="0.3">
      <c r="A286" s="3">
        <v>44672</v>
      </c>
      <c r="B286">
        <v>105</v>
      </c>
      <c r="C286" s="3">
        <f>_xlfn.XLOOKUP(B286,Stores!A:A,Stores!E:E)</f>
        <v>44161</v>
      </c>
      <c r="D286">
        <v>216</v>
      </c>
      <c r="E286" s="3">
        <f>_xlfn.XLOOKUP(D286,SalesReps!A:A,SalesReps!D:D)</f>
        <v>44672</v>
      </c>
      <c r="F286" s="3" t="str">
        <f>_xlfn.XLOOKUP(Table1[[#This Row],[RepID]],SalesReps!A:A,SalesReps!E:E)</f>
        <v>Left</v>
      </c>
      <c r="G286">
        <v>314</v>
      </c>
      <c r="H286" t="str">
        <f>_xlfn.XLOOKUP(Table1[[#This Row],[ProductID]],Products!A:A,Products!B:B)</f>
        <v>Clothing</v>
      </c>
      <c r="I286" t="str">
        <f>_xlfn.XLOOKUP(Table1[[#This Row],[ProductID]],Products!A:A,Products!C:C)</f>
        <v>Kids</v>
      </c>
      <c r="J286">
        <v>6</v>
      </c>
      <c r="K286" s="5">
        <f>_xlfn.XLOOKUP(Table1[[#This Row],[ProductID]],Products!A:A,Products!E:E)</f>
        <v>276.47000000000003</v>
      </c>
      <c r="L286" s="5">
        <v>322.16000000000003</v>
      </c>
      <c r="M286" s="6">
        <v>0.19</v>
      </c>
      <c r="N286" t="s">
        <v>10</v>
      </c>
      <c r="O286" s="5">
        <f t="shared" si="20"/>
        <v>260.94960000000003</v>
      </c>
      <c r="P286" s="5">
        <f t="shared" si="21"/>
        <v>1565.6976000000002</v>
      </c>
      <c r="Q286" s="5">
        <f>Table1[[#This Row],[Quantity]]*(Table1[[#This Row],[Saleprice]]-Table1[[#This Row],[Costprice]])</f>
        <v>-93.122399999999971</v>
      </c>
      <c r="R286">
        <f t="shared" si="22"/>
        <v>2022</v>
      </c>
      <c r="S286">
        <f t="shared" si="23"/>
        <v>4</v>
      </c>
      <c r="T286" t="str">
        <f t="shared" si="24"/>
        <v>April</v>
      </c>
    </row>
    <row r="287" spans="1:20" x14ac:dyDescent="0.3">
      <c r="A287" s="3">
        <v>44672</v>
      </c>
      <c r="B287">
        <v>103</v>
      </c>
      <c r="C287" s="3">
        <f>_xlfn.XLOOKUP(B287,Stores!A:A,Stores!E:E)</f>
        <v>43952</v>
      </c>
      <c r="D287">
        <v>207</v>
      </c>
      <c r="E287" s="3">
        <f>_xlfn.XLOOKUP(D287,SalesReps!A:A,SalesReps!D:D)</f>
        <v>44656</v>
      </c>
      <c r="F287" s="3" t="str">
        <f>_xlfn.XLOOKUP(Table1[[#This Row],[RepID]],SalesReps!A:A,SalesReps!E:E)</f>
        <v>Active</v>
      </c>
      <c r="G287">
        <v>312</v>
      </c>
      <c r="H287" t="str">
        <f>_xlfn.XLOOKUP(Table1[[#This Row],[ProductID]],Products!A:A,Products!B:B)</f>
        <v>Toys</v>
      </c>
      <c r="I287" t="str">
        <f>_xlfn.XLOOKUP(Table1[[#This Row],[ProductID]],Products!A:A,Products!C:C)</f>
        <v>Board Games</v>
      </c>
      <c r="J287">
        <v>1</v>
      </c>
      <c r="K287" s="5">
        <f>_xlfn.XLOOKUP(Table1[[#This Row],[ProductID]],Products!A:A,Products!E:E)</f>
        <v>100.05</v>
      </c>
      <c r="L287" s="5">
        <v>144.93</v>
      </c>
      <c r="M287" s="6">
        <v>0.1</v>
      </c>
      <c r="N287" t="s">
        <v>9</v>
      </c>
      <c r="O287" s="5">
        <f t="shared" si="20"/>
        <v>130.43700000000001</v>
      </c>
      <c r="P287" s="5">
        <f t="shared" si="21"/>
        <v>130.43700000000001</v>
      </c>
      <c r="Q287" s="5">
        <f>Table1[[#This Row],[Quantity]]*(Table1[[#This Row],[Saleprice]]-Table1[[#This Row],[Costprice]])</f>
        <v>30.387000000000015</v>
      </c>
      <c r="R287">
        <f t="shared" si="22"/>
        <v>2022</v>
      </c>
      <c r="S287">
        <f t="shared" si="23"/>
        <v>4</v>
      </c>
      <c r="T287" t="str">
        <f t="shared" si="24"/>
        <v>April</v>
      </c>
    </row>
    <row r="288" spans="1:20" x14ac:dyDescent="0.3">
      <c r="A288" s="3">
        <v>44672</v>
      </c>
      <c r="B288">
        <v>106</v>
      </c>
      <c r="C288" s="3">
        <f>_xlfn.XLOOKUP(B288,Stores!A:A,Stores!E:E)</f>
        <v>43918</v>
      </c>
      <c r="D288">
        <v>212</v>
      </c>
      <c r="E288" s="3">
        <f>_xlfn.XLOOKUP(D288,SalesReps!A:A,SalesReps!D:D)</f>
        <v>44671</v>
      </c>
      <c r="F288" s="3" t="str">
        <f>_xlfn.XLOOKUP(Table1[[#This Row],[RepID]],SalesReps!A:A,SalesReps!E:E)</f>
        <v>Active</v>
      </c>
      <c r="G288">
        <v>301</v>
      </c>
      <c r="H288" t="str">
        <f>_xlfn.XLOOKUP(Table1[[#This Row],[ProductID]],Products!A:A,Products!B:B)</f>
        <v>Electronics</v>
      </c>
      <c r="I288" t="str">
        <f>_xlfn.XLOOKUP(Table1[[#This Row],[ProductID]],Products!A:A,Products!C:C)</f>
        <v>Mobiles</v>
      </c>
      <c r="J288">
        <v>6</v>
      </c>
      <c r="K288" s="5">
        <f>_xlfn.XLOOKUP(Table1[[#This Row],[ProductID]],Products!A:A,Products!E:E)</f>
        <v>159.16</v>
      </c>
      <c r="L288" s="5">
        <v>218.35</v>
      </c>
      <c r="M288" s="6">
        <v>0.15</v>
      </c>
      <c r="N288" t="s">
        <v>10</v>
      </c>
      <c r="O288" s="5">
        <f t="shared" si="20"/>
        <v>185.5975</v>
      </c>
      <c r="P288" s="5">
        <f t="shared" si="21"/>
        <v>1113.585</v>
      </c>
      <c r="Q288" s="5">
        <f>Table1[[#This Row],[Quantity]]*(Table1[[#This Row],[Saleprice]]-Table1[[#This Row],[Costprice]])</f>
        <v>158.625</v>
      </c>
      <c r="R288">
        <f t="shared" si="22"/>
        <v>2022</v>
      </c>
      <c r="S288">
        <f t="shared" si="23"/>
        <v>4</v>
      </c>
      <c r="T288" t="str">
        <f t="shared" si="24"/>
        <v>April</v>
      </c>
    </row>
    <row r="289" spans="1:20" x14ac:dyDescent="0.3">
      <c r="A289" s="3">
        <v>44672</v>
      </c>
      <c r="B289">
        <v>105</v>
      </c>
      <c r="C289" s="3">
        <f>_xlfn.XLOOKUP(B289,Stores!A:A,Stores!E:E)</f>
        <v>44161</v>
      </c>
      <c r="D289">
        <v>216</v>
      </c>
      <c r="E289" s="3">
        <f>_xlfn.XLOOKUP(D289,SalesReps!A:A,SalesReps!D:D)</f>
        <v>44672</v>
      </c>
      <c r="F289" s="3" t="str">
        <f>_xlfn.XLOOKUP(Table1[[#This Row],[RepID]],SalesReps!A:A,SalesReps!E:E)</f>
        <v>Left</v>
      </c>
      <c r="G289">
        <v>305</v>
      </c>
      <c r="H289" t="str">
        <f>_xlfn.XLOOKUP(Table1[[#This Row],[ProductID]],Products!A:A,Products!B:B)</f>
        <v>Electronics</v>
      </c>
      <c r="I289" t="str">
        <f>_xlfn.XLOOKUP(Table1[[#This Row],[ProductID]],Products!A:A,Products!C:C)</f>
        <v>Accessories</v>
      </c>
      <c r="J289">
        <v>2</v>
      </c>
      <c r="K289" s="5">
        <f>_xlfn.XLOOKUP(Table1[[#This Row],[ProductID]],Products!A:A,Products!E:E)</f>
        <v>275.32</v>
      </c>
      <c r="L289" s="5">
        <v>296.31</v>
      </c>
      <c r="M289" s="6">
        <v>0.09</v>
      </c>
      <c r="N289" t="s">
        <v>10</v>
      </c>
      <c r="O289" s="5">
        <f t="shared" si="20"/>
        <v>269.64210000000003</v>
      </c>
      <c r="P289" s="5">
        <f t="shared" si="21"/>
        <v>539.28420000000006</v>
      </c>
      <c r="Q289" s="5">
        <f>Table1[[#This Row],[Quantity]]*(Table1[[#This Row],[Saleprice]]-Table1[[#This Row],[Costprice]])</f>
        <v>-11.355799999999931</v>
      </c>
      <c r="R289">
        <f t="shared" si="22"/>
        <v>2022</v>
      </c>
      <c r="S289">
        <f t="shared" si="23"/>
        <v>4</v>
      </c>
      <c r="T289" t="str">
        <f t="shared" si="24"/>
        <v>April</v>
      </c>
    </row>
    <row r="290" spans="1:20" x14ac:dyDescent="0.3">
      <c r="A290" s="3">
        <v>44673</v>
      </c>
      <c r="B290">
        <v>109</v>
      </c>
      <c r="C290" s="3">
        <f>_xlfn.XLOOKUP(B290,Stores!A:A,Stores!E:E)</f>
        <v>44600</v>
      </c>
      <c r="D290">
        <v>204</v>
      </c>
      <c r="E290" s="3">
        <f>_xlfn.XLOOKUP(D290,SalesReps!A:A,SalesReps!D:D)</f>
        <v>44388</v>
      </c>
      <c r="F290" s="3" t="str">
        <f>_xlfn.XLOOKUP(Table1[[#This Row],[RepID]],SalesReps!A:A,SalesReps!E:E)</f>
        <v>Active</v>
      </c>
      <c r="G290">
        <v>317</v>
      </c>
      <c r="H290" t="str">
        <f>_xlfn.XLOOKUP(Table1[[#This Row],[ProductID]],Products!A:A,Products!B:B)</f>
        <v>Toys</v>
      </c>
      <c r="I290" t="str">
        <f>_xlfn.XLOOKUP(Table1[[#This Row],[ProductID]],Products!A:A,Products!C:C)</f>
        <v>Educational</v>
      </c>
      <c r="J290">
        <v>2</v>
      </c>
      <c r="K290" s="5">
        <f>_xlfn.XLOOKUP(Table1[[#This Row],[ProductID]],Products!A:A,Products!E:E)</f>
        <v>77.61</v>
      </c>
      <c r="L290" s="5">
        <v>171.59</v>
      </c>
      <c r="M290" s="6">
        <v>0.06</v>
      </c>
      <c r="N290" t="s">
        <v>11</v>
      </c>
      <c r="O290" s="5">
        <f t="shared" si="20"/>
        <v>161.2946</v>
      </c>
      <c r="P290" s="5">
        <f t="shared" si="21"/>
        <v>322.58920000000001</v>
      </c>
      <c r="Q290" s="5">
        <f>Table1[[#This Row],[Quantity]]*(Table1[[#This Row],[Saleprice]]-Table1[[#This Row],[Costprice]])</f>
        <v>167.36920000000001</v>
      </c>
      <c r="R290">
        <f t="shared" si="22"/>
        <v>2022</v>
      </c>
      <c r="S290">
        <f t="shared" si="23"/>
        <v>4</v>
      </c>
      <c r="T290" t="str">
        <f t="shared" si="24"/>
        <v>April</v>
      </c>
    </row>
    <row r="291" spans="1:20" x14ac:dyDescent="0.3">
      <c r="A291" s="3">
        <v>44673</v>
      </c>
      <c r="B291">
        <v>103</v>
      </c>
      <c r="C291" s="3">
        <f>_xlfn.XLOOKUP(B291,Stores!A:A,Stores!E:E)</f>
        <v>43952</v>
      </c>
      <c r="D291">
        <v>207</v>
      </c>
      <c r="E291" s="3">
        <f>_xlfn.XLOOKUP(D291,SalesReps!A:A,SalesReps!D:D)</f>
        <v>44656</v>
      </c>
      <c r="F291" s="3" t="str">
        <f>_xlfn.XLOOKUP(Table1[[#This Row],[RepID]],SalesReps!A:A,SalesReps!E:E)</f>
        <v>Active</v>
      </c>
      <c r="G291">
        <v>319</v>
      </c>
      <c r="H291" t="str">
        <f>_xlfn.XLOOKUP(Table1[[#This Row],[ProductID]],Products!A:A,Products!B:B)</f>
        <v>Toys</v>
      </c>
      <c r="I291" t="str">
        <f>_xlfn.XLOOKUP(Table1[[#This Row],[ProductID]],Products!A:A,Products!C:C)</f>
        <v>Board Games</v>
      </c>
      <c r="J291">
        <v>4</v>
      </c>
      <c r="K291" s="5">
        <f>_xlfn.XLOOKUP(Table1[[#This Row],[ProductID]],Products!A:A,Products!E:E)</f>
        <v>81.069999999999993</v>
      </c>
      <c r="L291" s="5">
        <v>176.97</v>
      </c>
      <c r="M291" s="6">
        <v>0.19</v>
      </c>
      <c r="N291" t="s">
        <v>9</v>
      </c>
      <c r="O291" s="5">
        <f t="shared" si="20"/>
        <v>143.34570000000002</v>
      </c>
      <c r="P291" s="5">
        <f t="shared" si="21"/>
        <v>573.38280000000009</v>
      </c>
      <c r="Q291" s="5">
        <f>Table1[[#This Row],[Quantity]]*(Table1[[#This Row],[Saleprice]]-Table1[[#This Row],[Costprice]])</f>
        <v>249.10280000000012</v>
      </c>
      <c r="R291">
        <f t="shared" si="22"/>
        <v>2022</v>
      </c>
      <c r="S291">
        <f t="shared" si="23"/>
        <v>4</v>
      </c>
      <c r="T291" t="str">
        <f t="shared" si="24"/>
        <v>April</v>
      </c>
    </row>
    <row r="292" spans="1:20" x14ac:dyDescent="0.3">
      <c r="A292" s="3">
        <v>44673</v>
      </c>
      <c r="B292">
        <v>109</v>
      </c>
      <c r="C292" s="3">
        <f>_xlfn.XLOOKUP(B292,Stores!A:A,Stores!E:E)</f>
        <v>44600</v>
      </c>
      <c r="D292">
        <v>204</v>
      </c>
      <c r="E292" s="3">
        <f>_xlfn.XLOOKUP(D292,SalesReps!A:A,SalesReps!D:D)</f>
        <v>44388</v>
      </c>
      <c r="F292" s="3" t="str">
        <f>_xlfn.XLOOKUP(Table1[[#This Row],[RepID]],SalesReps!A:A,SalesReps!E:E)</f>
        <v>Active</v>
      </c>
      <c r="G292">
        <v>316</v>
      </c>
      <c r="H292" t="str">
        <f>_xlfn.XLOOKUP(Table1[[#This Row],[ProductID]],Products!A:A,Products!B:B)</f>
        <v>Home &amp; Kitchen</v>
      </c>
      <c r="I292" t="str">
        <f>_xlfn.XLOOKUP(Table1[[#This Row],[ProductID]],Products!A:A,Products!C:C)</f>
        <v>Furniture</v>
      </c>
      <c r="J292">
        <v>5</v>
      </c>
      <c r="K292" s="5">
        <f>_xlfn.XLOOKUP(Table1[[#This Row],[ProductID]],Products!A:A,Products!E:E)</f>
        <v>334.95</v>
      </c>
      <c r="L292" s="5">
        <v>417.01</v>
      </c>
      <c r="M292" s="6">
        <v>0.21</v>
      </c>
      <c r="N292" t="s">
        <v>11</v>
      </c>
      <c r="O292" s="5">
        <f t="shared" si="20"/>
        <v>329.43790000000001</v>
      </c>
      <c r="P292" s="5">
        <f t="shared" si="21"/>
        <v>1647.1895</v>
      </c>
      <c r="Q292" s="5">
        <f>Table1[[#This Row],[Quantity]]*(Table1[[#This Row],[Saleprice]]-Table1[[#This Row],[Costprice]])</f>
        <v>-27.560499999999877</v>
      </c>
      <c r="R292">
        <f t="shared" si="22"/>
        <v>2022</v>
      </c>
      <c r="S292">
        <f t="shared" si="23"/>
        <v>4</v>
      </c>
      <c r="T292" t="str">
        <f t="shared" si="24"/>
        <v>April</v>
      </c>
    </row>
    <row r="293" spans="1:20" x14ac:dyDescent="0.3">
      <c r="A293" s="3">
        <v>44673</v>
      </c>
      <c r="B293">
        <v>105</v>
      </c>
      <c r="C293" s="3">
        <f>_xlfn.XLOOKUP(B293,Stores!A:A,Stores!E:E)</f>
        <v>44161</v>
      </c>
      <c r="D293">
        <v>216</v>
      </c>
      <c r="E293" s="3">
        <f>_xlfn.XLOOKUP(D293,SalesReps!A:A,SalesReps!D:D)</f>
        <v>44672</v>
      </c>
      <c r="F293" s="3" t="str">
        <f>_xlfn.XLOOKUP(Table1[[#This Row],[RepID]],SalesReps!A:A,SalesReps!E:E)</f>
        <v>Left</v>
      </c>
      <c r="G293">
        <v>304</v>
      </c>
      <c r="H293" t="str">
        <f>_xlfn.XLOOKUP(Table1[[#This Row],[ProductID]],Products!A:A,Products!B:B)</f>
        <v>Home &amp; Kitchen</v>
      </c>
      <c r="I293" t="str">
        <f>_xlfn.XLOOKUP(Table1[[#This Row],[ProductID]],Products!A:A,Products!C:C)</f>
        <v>Furniture</v>
      </c>
      <c r="J293">
        <v>5</v>
      </c>
      <c r="K293" s="5">
        <f>_xlfn.XLOOKUP(Table1[[#This Row],[ProductID]],Products!A:A,Products!E:E)</f>
        <v>345.38</v>
      </c>
      <c r="L293" s="5">
        <v>360.4</v>
      </c>
      <c r="M293" s="6">
        <v>0.14000000000000001</v>
      </c>
      <c r="N293" t="s">
        <v>10</v>
      </c>
      <c r="O293" s="5">
        <f t="shared" si="20"/>
        <v>309.94399999999996</v>
      </c>
      <c r="P293" s="5">
        <f t="shared" si="21"/>
        <v>1549.7199999999998</v>
      </c>
      <c r="Q293" s="5">
        <f>Table1[[#This Row],[Quantity]]*(Table1[[#This Row],[Saleprice]]-Table1[[#This Row],[Costprice]])</f>
        <v>-177.18000000000018</v>
      </c>
      <c r="R293">
        <f t="shared" si="22"/>
        <v>2022</v>
      </c>
      <c r="S293">
        <f t="shared" si="23"/>
        <v>4</v>
      </c>
      <c r="T293" t="str">
        <f t="shared" si="24"/>
        <v>April</v>
      </c>
    </row>
    <row r="294" spans="1:20" x14ac:dyDescent="0.3">
      <c r="A294" s="3">
        <v>44673</v>
      </c>
      <c r="B294">
        <v>109</v>
      </c>
      <c r="C294" s="3">
        <f>_xlfn.XLOOKUP(B294,Stores!A:A,Stores!E:E)</f>
        <v>44600</v>
      </c>
      <c r="D294">
        <v>204</v>
      </c>
      <c r="E294" s="3">
        <f>_xlfn.XLOOKUP(D294,SalesReps!A:A,SalesReps!D:D)</f>
        <v>44388</v>
      </c>
      <c r="F294" s="3" t="str">
        <f>_xlfn.XLOOKUP(Table1[[#This Row],[RepID]],SalesReps!A:A,SalesReps!E:E)</f>
        <v>Active</v>
      </c>
      <c r="G294">
        <v>309</v>
      </c>
      <c r="H294" t="str">
        <f>_xlfn.XLOOKUP(Table1[[#This Row],[ProductID]],Products!A:A,Products!B:B)</f>
        <v>Electronics</v>
      </c>
      <c r="I294" t="str">
        <f>_xlfn.XLOOKUP(Table1[[#This Row],[ProductID]],Products!A:A,Products!C:C)</f>
        <v>Laptops</v>
      </c>
      <c r="J294">
        <v>7</v>
      </c>
      <c r="K294" s="5">
        <f>_xlfn.XLOOKUP(Table1[[#This Row],[ProductID]],Products!A:A,Products!E:E)</f>
        <v>229.68</v>
      </c>
      <c r="L294" s="5">
        <v>283.02</v>
      </c>
      <c r="M294" s="6">
        <v>0.18</v>
      </c>
      <c r="N294" t="s">
        <v>11</v>
      </c>
      <c r="O294" s="5">
        <f t="shared" si="20"/>
        <v>232.07640000000001</v>
      </c>
      <c r="P294" s="5">
        <f t="shared" si="21"/>
        <v>1624.5348000000001</v>
      </c>
      <c r="Q294" s="5">
        <f>Table1[[#This Row],[Quantity]]*(Table1[[#This Row],[Saleprice]]-Table1[[#This Row],[Costprice]])</f>
        <v>16.774799999999999</v>
      </c>
      <c r="R294">
        <f t="shared" si="22"/>
        <v>2022</v>
      </c>
      <c r="S294">
        <f t="shared" si="23"/>
        <v>4</v>
      </c>
      <c r="T294" t="str">
        <f t="shared" si="24"/>
        <v>April</v>
      </c>
    </row>
    <row r="295" spans="1:20" x14ac:dyDescent="0.3">
      <c r="A295" s="3">
        <v>44673</v>
      </c>
      <c r="B295">
        <v>103</v>
      </c>
      <c r="C295" s="3">
        <f>_xlfn.XLOOKUP(B295,Stores!A:A,Stores!E:E)</f>
        <v>43952</v>
      </c>
      <c r="D295">
        <v>207</v>
      </c>
      <c r="E295" s="3">
        <f>_xlfn.XLOOKUP(D295,SalesReps!A:A,SalesReps!D:D)</f>
        <v>44656</v>
      </c>
      <c r="F295" s="3" t="str">
        <f>_xlfn.XLOOKUP(Table1[[#This Row],[RepID]],SalesReps!A:A,SalesReps!E:E)</f>
        <v>Active</v>
      </c>
      <c r="G295">
        <v>316</v>
      </c>
      <c r="H295" t="str">
        <f>_xlfn.XLOOKUP(Table1[[#This Row],[ProductID]],Products!A:A,Products!B:B)</f>
        <v>Home &amp; Kitchen</v>
      </c>
      <c r="I295" t="str">
        <f>_xlfn.XLOOKUP(Table1[[#This Row],[ProductID]],Products!A:A,Products!C:C)</f>
        <v>Furniture</v>
      </c>
      <c r="J295">
        <v>8</v>
      </c>
      <c r="K295" s="5">
        <f>_xlfn.XLOOKUP(Table1[[#This Row],[ProductID]],Products!A:A,Products!E:E)</f>
        <v>334.95</v>
      </c>
      <c r="L295" s="5">
        <v>387.55</v>
      </c>
      <c r="M295" s="6">
        <v>0.16</v>
      </c>
      <c r="N295" t="s">
        <v>9</v>
      </c>
      <c r="O295" s="5">
        <f t="shared" si="20"/>
        <v>325.54199999999997</v>
      </c>
      <c r="P295" s="5">
        <f t="shared" si="21"/>
        <v>2604.3359999999998</v>
      </c>
      <c r="Q295" s="5">
        <f>Table1[[#This Row],[Quantity]]*(Table1[[#This Row],[Saleprice]]-Table1[[#This Row],[Costprice]])</f>
        <v>-75.264000000000124</v>
      </c>
      <c r="R295">
        <f t="shared" si="22"/>
        <v>2022</v>
      </c>
      <c r="S295">
        <f t="shared" si="23"/>
        <v>4</v>
      </c>
      <c r="T295" t="str">
        <f t="shared" si="24"/>
        <v>April</v>
      </c>
    </row>
    <row r="296" spans="1:20" x14ac:dyDescent="0.3">
      <c r="A296" s="3">
        <v>44673</v>
      </c>
      <c r="B296">
        <v>105</v>
      </c>
      <c r="C296" s="3">
        <f>_xlfn.XLOOKUP(B296,Stores!A:A,Stores!E:E)</f>
        <v>44161</v>
      </c>
      <c r="D296">
        <v>216</v>
      </c>
      <c r="E296" s="3">
        <f>_xlfn.XLOOKUP(D296,SalesReps!A:A,SalesReps!D:D)</f>
        <v>44672</v>
      </c>
      <c r="F296" s="3" t="str">
        <f>_xlfn.XLOOKUP(Table1[[#This Row],[RepID]],SalesReps!A:A,SalesReps!E:E)</f>
        <v>Left</v>
      </c>
      <c r="G296">
        <v>304</v>
      </c>
      <c r="H296" t="str">
        <f>_xlfn.XLOOKUP(Table1[[#This Row],[ProductID]],Products!A:A,Products!B:B)</f>
        <v>Home &amp; Kitchen</v>
      </c>
      <c r="I296" t="str">
        <f>_xlfn.XLOOKUP(Table1[[#This Row],[ProductID]],Products!A:A,Products!C:C)</f>
        <v>Furniture</v>
      </c>
      <c r="J296">
        <v>4</v>
      </c>
      <c r="K296" s="5">
        <f>_xlfn.XLOOKUP(Table1[[#This Row],[ProductID]],Products!A:A,Products!E:E)</f>
        <v>345.38</v>
      </c>
      <c r="L296" s="5">
        <v>360.4</v>
      </c>
      <c r="M296" s="6">
        <v>0.14000000000000001</v>
      </c>
      <c r="N296" t="s">
        <v>10</v>
      </c>
      <c r="O296" s="5">
        <f t="shared" si="20"/>
        <v>309.94399999999996</v>
      </c>
      <c r="P296" s="5">
        <f t="shared" si="21"/>
        <v>1239.7759999999998</v>
      </c>
      <c r="Q296" s="5">
        <f>Table1[[#This Row],[Quantity]]*(Table1[[#This Row],[Saleprice]]-Table1[[#This Row],[Costprice]])</f>
        <v>-141.74400000000014</v>
      </c>
      <c r="R296">
        <f t="shared" si="22"/>
        <v>2022</v>
      </c>
      <c r="S296">
        <f t="shared" si="23"/>
        <v>4</v>
      </c>
      <c r="T296" t="str">
        <f t="shared" si="24"/>
        <v>April</v>
      </c>
    </row>
    <row r="297" spans="1:20" x14ac:dyDescent="0.3">
      <c r="A297" s="3">
        <v>44674</v>
      </c>
      <c r="B297">
        <v>103</v>
      </c>
      <c r="C297" s="3">
        <f>_xlfn.XLOOKUP(B297,Stores!A:A,Stores!E:E)</f>
        <v>43952</v>
      </c>
      <c r="D297">
        <v>207</v>
      </c>
      <c r="E297" s="3">
        <f>_xlfn.XLOOKUP(D297,SalesReps!A:A,SalesReps!D:D)</f>
        <v>44656</v>
      </c>
      <c r="F297" s="3" t="str">
        <f>_xlfn.XLOOKUP(Table1[[#This Row],[RepID]],SalesReps!A:A,SalesReps!E:E)</f>
        <v>Active</v>
      </c>
      <c r="G297">
        <v>301</v>
      </c>
      <c r="H297" t="str">
        <f>_xlfn.XLOOKUP(Table1[[#This Row],[ProductID]],Products!A:A,Products!B:B)</f>
        <v>Electronics</v>
      </c>
      <c r="I297" t="str">
        <f>_xlfn.XLOOKUP(Table1[[#This Row],[ProductID]],Products!A:A,Products!C:C)</f>
        <v>Mobiles</v>
      </c>
      <c r="J297">
        <v>1</v>
      </c>
      <c r="K297" s="5">
        <f>_xlfn.XLOOKUP(Table1[[#This Row],[ProductID]],Products!A:A,Products!E:E)</f>
        <v>159.16</v>
      </c>
      <c r="L297" s="5">
        <v>244.18</v>
      </c>
      <c r="M297" s="6">
        <v>0.14000000000000001</v>
      </c>
      <c r="N297" t="s">
        <v>9</v>
      </c>
      <c r="O297" s="5">
        <f t="shared" si="20"/>
        <v>209.9948</v>
      </c>
      <c r="P297" s="5">
        <f t="shared" si="21"/>
        <v>209.9948</v>
      </c>
      <c r="Q297" s="5">
        <f>Table1[[#This Row],[Quantity]]*(Table1[[#This Row],[Saleprice]]-Table1[[#This Row],[Costprice]])</f>
        <v>50.834800000000001</v>
      </c>
      <c r="R297">
        <f t="shared" si="22"/>
        <v>2022</v>
      </c>
      <c r="S297">
        <f t="shared" si="23"/>
        <v>4</v>
      </c>
      <c r="T297" t="str">
        <f t="shared" si="24"/>
        <v>April</v>
      </c>
    </row>
    <row r="298" spans="1:20" x14ac:dyDescent="0.3">
      <c r="A298" s="3">
        <v>44674</v>
      </c>
      <c r="B298">
        <v>105</v>
      </c>
      <c r="C298" s="3">
        <f>_xlfn.XLOOKUP(B298,Stores!A:A,Stores!E:E)</f>
        <v>44161</v>
      </c>
      <c r="D298">
        <v>216</v>
      </c>
      <c r="E298" s="3">
        <f>_xlfn.XLOOKUP(D298,SalesReps!A:A,SalesReps!D:D)</f>
        <v>44672</v>
      </c>
      <c r="F298" s="3" t="str">
        <f>_xlfn.XLOOKUP(Table1[[#This Row],[RepID]],SalesReps!A:A,SalesReps!E:E)</f>
        <v>Left</v>
      </c>
      <c r="G298">
        <v>306</v>
      </c>
      <c r="H298" t="str">
        <f>_xlfn.XLOOKUP(Table1[[#This Row],[ProductID]],Products!A:A,Products!B:B)</f>
        <v>Clothing</v>
      </c>
      <c r="I298" t="str">
        <f>_xlfn.XLOOKUP(Table1[[#This Row],[ProductID]],Products!A:A,Products!C:C)</f>
        <v>Men</v>
      </c>
      <c r="J298">
        <v>5</v>
      </c>
      <c r="K298" s="5">
        <f>_xlfn.XLOOKUP(Table1[[#This Row],[ProductID]],Products!A:A,Products!E:E)</f>
        <v>185.69</v>
      </c>
      <c r="L298" s="5">
        <v>243.21</v>
      </c>
      <c r="M298" s="6">
        <v>0.17</v>
      </c>
      <c r="N298" t="s">
        <v>10</v>
      </c>
      <c r="O298" s="5">
        <f t="shared" si="20"/>
        <v>201.86429999999999</v>
      </c>
      <c r="P298" s="5">
        <f t="shared" si="21"/>
        <v>1009.3214999999999</v>
      </c>
      <c r="Q298" s="5">
        <f>Table1[[#This Row],[Quantity]]*(Table1[[#This Row],[Saleprice]]-Table1[[#This Row],[Costprice]])</f>
        <v>80.871499999999941</v>
      </c>
      <c r="R298">
        <f t="shared" si="22"/>
        <v>2022</v>
      </c>
      <c r="S298">
        <f t="shared" si="23"/>
        <v>4</v>
      </c>
      <c r="T298" t="str">
        <f t="shared" si="24"/>
        <v>April</v>
      </c>
    </row>
    <row r="299" spans="1:20" x14ac:dyDescent="0.3">
      <c r="A299" s="3">
        <v>44674</v>
      </c>
      <c r="B299">
        <v>106</v>
      </c>
      <c r="C299" s="3">
        <f>_xlfn.XLOOKUP(B299,Stores!A:A,Stores!E:E)</f>
        <v>43918</v>
      </c>
      <c r="D299">
        <v>212</v>
      </c>
      <c r="E299" s="3">
        <f>_xlfn.XLOOKUP(D299,SalesReps!A:A,SalesReps!D:D)</f>
        <v>44671</v>
      </c>
      <c r="F299" s="3" t="str">
        <f>_xlfn.XLOOKUP(Table1[[#This Row],[RepID]],SalesReps!A:A,SalesReps!E:E)</f>
        <v>Active</v>
      </c>
      <c r="G299">
        <v>309</v>
      </c>
      <c r="H299" t="str">
        <f>_xlfn.XLOOKUP(Table1[[#This Row],[ProductID]],Products!A:A,Products!B:B)</f>
        <v>Electronics</v>
      </c>
      <c r="I299" t="str">
        <f>_xlfn.XLOOKUP(Table1[[#This Row],[ProductID]],Products!A:A,Products!C:C)</f>
        <v>Laptops</v>
      </c>
      <c r="J299">
        <v>4</v>
      </c>
      <c r="K299" s="5">
        <f>_xlfn.XLOOKUP(Table1[[#This Row],[ProductID]],Products!A:A,Products!E:E)</f>
        <v>229.68</v>
      </c>
      <c r="L299" s="5">
        <v>251.67</v>
      </c>
      <c r="M299" s="6">
        <v>0.12</v>
      </c>
      <c r="N299" t="s">
        <v>10</v>
      </c>
      <c r="O299" s="5">
        <f t="shared" si="20"/>
        <v>221.46959999999999</v>
      </c>
      <c r="P299" s="5">
        <f t="shared" si="21"/>
        <v>885.87839999999994</v>
      </c>
      <c r="Q299" s="5">
        <f>Table1[[#This Row],[Quantity]]*(Table1[[#This Row],[Saleprice]]-Table1[[#This Row],[Costprice]])</f>
        <v>-32.841600000000085</v>
      </c>
      <c r="R299">
        <f t="shared" si="22"/>
        <v>2022</v>
      </c>
      <c r="S299">
        <f t="shared" si="23"/>
        <v>4</v>
      </c>
      <c r="T299" t="str">
        <f t="shared" si="24"/>
        <v>April</v>
      </c>
    </row>
    <row r="300" spans="1:20" x14ac:dyDescent="0.3">
      <c r="A300" s="3">
        <v>44674</v>
      </c>
      <c r="B300">
        <v>109</v>
      </c>
      <c r="C300" s="3">
        <f>_xlfn.XLOOKUP(B300,Stores!A:A,Stores!E:E)</f>
        <v>44600</v>
      </c>
      <c r="D300">
        <v>204</v>
      </c>
      <c r="E300" s="3">
        <f>_xlfn.XLOOKUP(D300,SalesReps!A:A,SalesReps!D:D)</f>
        <v>44388</v>
      </c>
      <c r="F300" s="3" t="str">
        <f>_xlfn.XLOOKUP(Table1[[#This Row],[RepID]],SalesReps!A:A,SalesReps!E:E)</f>
        <v>Active</v>
      </c>
      <c r="G300">
        <v>310</v>
      </c>
      <c r="H300" t="str">
        <f>_xlfn.XLOOKUP(Table1[[#This Row],[ProductID]],Products!A:A,Products!B:B)</f>
        <v>Home &amp; Kitchen</v>
      </c>
      <c r="I300" t="str">
        <f>_xlfn.XLOOKUP(Table1[[#This Row],[ProductID]],Products!A:A,Products!C:C)</f>
        <v>Furniture</v>
      </c>
      <c r="J300">
        <v>4</v>
      </c>
      <c r="K300" s="5">
        <f>_xlfn.XLOOKUP(Table1[[#This Row],[ProductID]],Products!A:A,Products!E:E)</f>
        <v>160.31</v>
      </c>
      <c r="L300" s="5">
        <v>249.24</v>
      </c>
      <c r="M300" s="6">
        <v>0.2</v>
      </c>
      <c r="N300" t="s">
        <v>11</v>
      </c>
      <c r="O300" s="5">
        <f t="shared" si="20"/>
        <v>199.39200000000002</v>
      </c>
      <c r="P300" s="5">
        <f t="shared" si="21"/>
        <v>797.5680000000001</v>
      </c>
      <c r="Q300" s="5">
        <f>Table1[[#This Row],[Quantity]]*(Table1[[#This Row],[Saleprice]]-Table1[[#This Row],[Costprice]])</f>
        <v>156.32800000000009</v>
      </c>
      <c r="R300">
        <f t="shared" si="22"/>
        <v>2022</v>
      </c>
      <c r="S300">
        <f t="shared" si="23"/>
        <v>4</v>
      </c>
      <c r="T300" t="str">
        <f t="shared" si="24"/>
        <v>April</v>
      </c>
    </row>
    <row r="301" spans="1:20" x14ac:dyDescent="0.3">
      <c r="A301" s="3">
        <v>44674</v>
      </c>
      <c r="B301">
        <v>105</v>
      </c>
      <c r="C301" s="3">
        <f>_xlfn.XLOOKUP(B301,Stores!A:A,Stores!E:E)</f>
        <v>44161</v>
      </c>
      <c r="D301">
        <v>216</v>
      </c>
      <c r="E301" s="3">
        <f>_xlfn.XLOOKUP(D301,SalesReps!A:A,SalesReps!D:D)</f>
        <v>44672</v>
      </c>
      <c r="F301" s="3" t="str">
        <f>_xlfn.XLOOKUP(Table1[[#This Row],[RepID]],SalesReps!A:A,SalesReps!E:E)</f>
        <v>Left</v>
      </c>
      <c r="G301">
        <v>318</v>
      </c>
      <c r="H301" t="str">
        <f>_xlfn.XLOOKUP(Table1[[#This Row],[ProductID]],Products!A:A,Products!B:B)</f>
        <v>Electronics</v>
      </c>
      <c r="I301" t="str">
        <f>_xlfn.XLOOKUP(Table1[[#This Row],[ProductID]],Products!A:A,Products!C:C)</f>
        <v>Mobiles</v>
      </c>
      <c r="J301">
        <v>8</v>
      </c>
      <c r="K301" s="5">
        <f>_xlfn.XLOOKUP(Table1[[#This Row],[ProductID]],Products!A:A,Products!E:E)</f>
        <v>162.51</v>
      </c>
      <c r="L301" s="5">
        <v>249.89</v>
      </c>
      <c r="M301" s="6">
        <v>0.16</v>
      </c>
      <c r="N301" t="s">
        <v>10</v>
      </c>
      <c r="O301" s="5">
        <f t="shared" si="20"/>
        <v>209.90759999999997</v>
      </c>
      <c r="P301" s="5">
        <f t="shared" si="21"/>
        <v>1679.2607999999998</v>
      </c>
      <c r="Q301" s="5">
        <f>Table1[[#This Row],[Quantity]]*(Table1[[#This Row],[Saleprice]]-Table1[[#This Row],[Costprice]])</f>
        <v>379.18079999999986</v>
      </c>
      <c r="R301">
        <f t="shared" si="22"/>
        <v>2022</v>
      </c>
      <c r="S301">
        <f t="shared" si="23"/>
        <v>4</v>
      </c>
      <c r="T301" t="str">
        <f t="shared" si="24"/>
        <v>April</v>
      </c>
    </row>
    <row r="302" spans="1:20" x14ac:dyDescent="0.3">
      <c r="A302" s="3">
        <v>44675</v>
      </c>
      <c r="B302">
        <v>104</v>
      </c>
      <c r="C302" s="3">
        <f>_xlfn.XLOOKUP(B302,Stores!A:A,Stores!E:E)</f>
        <v>44297</v>
      </c>
      <c r="D302">
        <v>202</v>
      </c>
      <c r="E302" s="3">
        <f>_xlfn.XLOOKUP(D302,SalesReps!A:A,SalesReps!D:D)</f>
        <v>44610</v>
      </c>
      <c r="F302" s="3" t="str">
        <f>_xlfn.XLOOKUP(Table1[[#This Row],[RepID]],SalesReps!A:A,SalesReps!E:E)</f>
        <v>Active</v>
      </c>
      <c r="G302">
        <v>317</v>
      </c>
      <c r="H302" t="str">
        <f>_xlfn.XLOOKUP(Table1[[#This Row],[ProductID]],Products!A:A,Products!B:B)</f>
        <v>Toys</v>
      </c>
      <c r="I302" t="str">
        <f>_xlfn.XLOOKUP(Table1[[#This Row],[ProductID]],Products!A:A,Products!C:C)</f>
        <v>Educational</v>
      </c>
      <c r="J302">
        <v>7</v>
      </c>
      <c r="K302" s="5">
        <f>_xlfn.XLOOKUP(Table1[[#This Row],[ProductID]],Products!A:A,Products!E:E)</f>
        <v>77.61</v>
      </c>
      <c r="L302" s="5">
        <v>141.34</v>
      </c>
      <c r="M302" s="6">
        <v>0.12</v>
      </c>
      <c r="N302" t="s">
        <v>10</v>
      </c>
      <c r="O302" s="5">
        <f t="shared" si="20"/>
        <v>124.3792</v>
      </c>
      <c r="P302" s="5">
        <f t="shared" si="21"/>
        <v>870.65440000000001</v>
      </c>
      <c r="Q302" s="5">
        <f>Table1[[#This Row],[Quantity]]*(Table1[[#This Row],[Saleprice]]-Table1[[#This Row],[Costprice]])</f>
        <v>327.38439999999997</v>
      </c>
      <c r="R302">
        <f t="shared" si="22"/>
        <v>2022</v>
      </c>
      <c r="S302">
        <f t="shared" si="23"/>
        <v>4</v>
      </c>
      <c r="T302" t="str">
        <f t="shared" si="24"/>
        <v>April</v>
      </c>
    </row>
    <row r="303" spans="1:20" x14ac:dyDescent="0.3">
      <c r="A303" s="3">
        <v>44676</v>
      </c>
      <c r="B303">
        <v>105</v>
      </c>
      <c r="C303" s="3">
        <f>_xlfn.XLOOKUP(B303,Stores!A:A,Stores!E:E)</f>
        <v>44161</v>
      </c>
      <c r="D303">
        <v>216</v>
      </c>
      <c r="E303" s="3">
        <f>_xlfn.XLOOKUP(D303,SalesReps!A:A,SalesReps!D:D)</f>
        <v>44672</v>
      </c>
      <c r="F303" s="3" t="str">
        <f>_xlfn.XLOOKUP(Table1[[#This Row],[RepID]],SalesReps!A:A,SalesReps!E:E)</f>
        <v>Left</v>
      </c>
      <c r="G303">
        <v>317</v>
      </c>
      <c r="H303" t="str">
        <f>_xlfn.XLOOKUP(Table1[[#This Row],[ProductID]],Products!A:A,Products!B:B)</f>
        <v>Toys</v>
      </c>
      <c r="I303" t="str">
        <f>_xlfn.XLOOKUP(Table1[[#This Row],[ProductID]],Products!A:A,Products!C:C)</f>
        <v>Educational</v>
      </c>
      <c r="J303">
        <v>3</v>
      </c>
      <c r="K303" s="5">
        <f>_xlfn.XLOOKUP(Table1[[#This Row],[ProductID]],Products!A:A,Products!E:E)</f>
        <v>77.61</v>
      </c>
      <c r="L303" s="5">
        <v>144.9</v>
      </c>
      <c r="M303" s="6">
        <v>0.13</v>
      </c>
      <c r="N303" t="s">
        <v>10</v>
      </c>
      <c r="O303" s="5">
        <f t="shared" si="20"/>
        <v>126.063</v>
      </c>
      <c r="P303" s="5">
        <f t="shared" si="21"/>
        <v>378.18900000000002</v>
      </c>
      <c r="Q303" s="5">
        <f>Table1[[#This Row],[Quantity]]*(Table1[[#This Row],[Saleprice]]-Table1[[#This Row],[Costprice]])</f>
        <v>145.35900000000001</v>
      </c>
      <c r="R303">
        <f t="shared" si="22"/>
        <v>2022</v>
      </c>
      <c r="S303">
        <f t="shared" si="23"/>
        <v>4</v>
      </c>
      <c r="T303" t="str">
        <f t="shared" si="24"/>
        <v>April</v>
      </c>
    </row>
    <row r="304" spans="1:20" x14ac:dyDescent="0.3">
      <c r="A304" s="3">
        <v>44676</v>
      </c>
      <c r="B304">
        <v>103</v>
      </c>
      <c r="C304" s="3">
        <f>_xlfn.XLOOKUP(B304,Stores!A:A,Stores!E:E)</f>
        <v>43952</v>
      </c>
      <c r="D304">
        <v>207</v>
      </c>
      <c r="E304" s="3">
        <f>_xlfn.XLOOKUP(D304,SalesReps!A:A,SalesReps!D:D)</f>
        <v>44656</v>
      </c>
      <c r="F304" s="3" t="str">
        <f>_xlfn.XLOOKUP(Table1[[#This Row],[RepID]],SalesReps!A:A,SalesReps!E:E)</f>
        <v>Active</v>
      </c>
      <c r="G304">
        <v>307</v>
      </c>
      <c r="H304" t="str">
        <f>_xlfn.XLOOKUP(Table1[[#This Row],[ProductID]],Products!A:A,Products!B:B)</f>
        <v>Toys</v>
      </c>
      <c r="I304" t="str">
        <f>_xlfn.XLOOKUP(Table1[[#This Row],[ProductID]],Products!A:A,Products!C:C)</f>
        <v>Outdoor</v>
      </c>
      <c r="J304">
        <v>4</v>
      </c>
      <c r="K304" s="5">
        <f>_xlfn.XLOOKUP(Table1[[#This Row],[ProductID]],Products!A:A,Products!E:E)</f>
        <v>15.17</v>
      </c>
      <c r="L304" s="5">
        <v>41.09</v>
      </c>
      <c r="M304" s="6">
        <v>0.19</v>
      </c>
      <c r="N304" t="s">
        <v>9</v>
      </c>
      <c r="O304" s="5">
        <f t="shared" si="20"/>
        <v>33.282900000000005</v>
      </c>
      <c r="P304" s="5">
        <f t="shared" si="21"/>
        <v>133.13160000000002</v>
      </c>
      <c r="Q304" s="5">
        <f>Table1[[#This Row],[Quantity]]*(Table1[[#This Row],[Saleprice]]-Table1[[#This Row],[Costprice]])</f>
        <v>72.451600000000013</v>
      </c>
      <c r="R304">
        <f t="shared" si="22"/>
        <v>2022</v>
      </c>
      <c r="S304">
        <f t="shared" si="23"/>
        <v>4</v>
      </c>
      <c r="T304" t="str">
        <f t="shared" si="24"/>
        <v>April</v>
      </c>
    </row>
    <row r="305" spans="1:20" x14ac:dyDescent="0.3">
      <c r="A305" s="3">
        <v>44676</v>
      </c>
      <c r="B305">
        <v>103</v>
      </c>
      <c r="C305" s="3">
        <f>_xlfn.XLOOKUP(B305,Stores!A:A,Stores!E:E)</f>
        <v>43952</v>
      </c>
      <c r="D305">
        <v>207</v>
      </c>
      <c r="E305" s="3">
        <f>_xlfn.XLOOKUP(D305,SalesReps!A:A,SalesReps!D:D)</f>
        <v>44656</v>
      </c>
      <c r="F305" s="3" t="str">
        <f>_xlfn.XLOOKUP(Table1[[#This Row],[RepID]],SalesReps!A:A,SalesReps!E:E)</f>
        <v>Active</v>
      </c>
      <c r="G305">
        <v>304</v>
      </c>
      <c r="H305" t="str">
        <f>_xlfn.XLOOKUP(Table1[[#This Row],[ProductID]],Products!A:A,Products!B:B)</f>
        <v>Home &amp; Kitchen</v>
      </c>
      <c r="I305" t="str">
        <f>_xlfn.XLOOKUP(Table1[[#This Row],[ProductID]],Products!A:A,Products!C:C)</f>
        <v>Furniture</v>
      </c>
      <c r="J305">
        <v>5</v>
      </c>
      <c r="K305" s="5">
        <f>_xlfn.XLOOKUP(Table1[[#This Row],[ProductID]],Products!A:A,Products!E:E)</f>
        <v>345.38</v>
      </c>
      <c r="L305" s="5">
        <v>416.38</v>
      </c>
      <c r="M305" s="6">
        <v>0.23</v>
      </c>
      <c r="N305" t="s">
        <v>9</v>
      </c>
      <c r="O305" s="5">
        <f t="shared" si="20"/>
        <v>320.61259999999999</v>
      </c>
      <c r="P305" s="5">
        <f t="shared" si="21"/>
        <v>1603.0629999999999</v>
      </c>
      <c r="Q305" s="5">
        <f>Table1[[#This Row],[Quantity]]*(Table1[[#This Row],[Saleprice]]-Table1[[#This Row],[Costprice]])</f>
        <v>-123.83700000000005</v>
      </c>
      <c r="R305">
        <f t="shared" si="22"/>
        <v>2022</v>
      </c>
      <c r="S305">
        <f t="shared" si="23"/>
        <v>4</v>
      </c>
      <c r="T305" t="str">
        <f t="shared" si="24"/>
        <v>April</v>
      </c>
    </row>
    <row r="306" spans="1:20" x14ac:dyDescent="0.3">
      <c r="A306" s="3">
        <v>44676</v>
      </c>
      <c r="B306">
        <v>103</v>
      </c>
      <c r="C306" s="3">
        <f>_xlfn.XLOOKUP(B306,Stores!A:A,Stores!E:E)</f>
        <v>43952</v>
      </c>
      <c r="D306">
        <v>207</v>
      </c>
      <c r="E306" s="3">
        <f>_xlfn.XLOOKUP(D306,SalesReps!A:A,SalesReps!D:D)</f>
        <v>44656</v>
      </c>
      <c r="F306" s="3" t="str">
        <f>_xlfn.XLOOKUP(Table1[[#This Row],[RepID]],SalesReps!A:A,SalesReps!E:E)</f>
        <v>Active</v>
      </c>
      <c r="G306">
        <v>304</v>
      </c>
      <c r="H306" t="str">
        <f>_xlfn.XLOOKUP(Table1[[#This Row],[ProductID]],Products!A:A,Products!B:B)</f>
        <v>Home &amp; Kitchen</v>
      </c>
      <c r="I306" t="str">
        <f>_xlfn.XLOOKUP(Table1[[#This Row],[ProductID]],Products!A:A,Products!C:C)</f>
        <v>Furniture</v>
      </c>
      <c r="J306">
        <v>5</v>
      </c>
      <c r="K306" s="5">
        <f>_xlfn.XLOOKUP(Table1[[#This Row],[ProductID]],Products!A:A,Products!E:E)</f>
        <v>345.38</v>
      </c>
      <c r="L306" s="5">
        <v>416.38</v>
      </c>
      <c r="M306" s="6">
        <v>0.23</v>
      </c>
      <c r="N306" t="s">
        <v>9</v>
      </c>
      <c r="O306" s="5">
        <f t="shared" si="20"/>
        <v>320.61259999999999</v>
      </c>
      <c r="P306" s="5">
        <f t="shared" si="21"/>
        <v>1603.0629999999999</v>
      </c>
      <c r="Q306" s="5">
        <f>Table1[[#This Row],[Quantity]]*(Table1[[#This Row],[Saleprice]]-Table1[[#This Row],[Costprice]])</f>
        <v>-123.83700000000005</v>
      </c>
      <c r="R306">
        <f t="shared" si="22"/>
        <v>2022</v>
      </c>
      <c r="S306">
        <f t="shared" si="23"/>
        <v>4</v>
      </c>
      <c r="T306" t="str">
        <f t="shared" si="24"/>
        <v>April</v>
      </c>
    </row>
    <row r="307" spans="1:20" x14ac:dyDescent="0.3">
      <c r="A307" s="3">
        <v>44676</v>
      </c>
      <c r="B307">
        <v>105</v>
      </c>
      <c r="C307" s="3">
        <f>_xlfn.XLOOKUP(B307,Stores!A:A,Stores!E:E)</f>
        <v>44161</v>
      </c>
      <c r="D307">
        <v>216</v>
      </c>
      <c r="E307" s="3">
        <f>_xlfn.XLOOKUP(D307,SalesReps!A:A,SalesReps!D:D)</f>
        <v>44672</v>
      </c>
      <c r="F307" s="3" t="str">
        <f>_xlfn.XLOOKUP(Table1[[#This Row],[RepID]],SalesReps!A:A,SalesReps!E:E)</f>
        <v>Left</v>
      </c>
      <c r="G307">
        <v>302</v>
      </c>
      <c r="H307" t="str">
        <f>_xlfn.XLOOKUP(Table1[[#This Row],[ProductID]],Products!A:A,Products!B:B)</f>
        <v>Toys</v>
      </c>
      <c r="I307" t="str">
        <f>_xlfn.XLOOKUP(Table1[[#This Row],[ProductID]],Products!A:A,Products!C:C)</f>
        <v>Outdoor</v>
      </c>
      <c r="J307">
        <v>3</v>
      </c>
      <c r="K307" s="5">
        <f>_xlfn.XLOOKUP(Table1[[#This Row],[ProductID]],Products!A:A,Products!E:E)</f>
        <v>393.46</v>
      </c>
      <c r="L307" s="5">
        <v>466.04</v>
      </c>
      <c r="M307" s="6">
        <v>0.21</v>
      </c>
      <c r="N307" t="s">
        <v>10</v>
      </c>
      <c r="O307" s="5">
        <f t="shared" si="20"/>
        <v>368.17160000000001</v>
      </c>
      <c r="P307" s="5">
        <f t="shared" si="21"/>
        <v>1104.5147999999999</v>
      </c>
      <c r="Q307" s="5">
        <f>Table1[[#This Row],[Quantity]]*(Table1[[#This Row],[Saleprice]]-Table1[[#This Row],[Costprice]])</f>
        <v>-75.865199999999902</v>
      </c>
      <c r="R307">
        <f t="shared" si="22"/>
        <v>2022</v>
      </c>
      <c r="S307">
        <f t="shared" si="23"/>
        <v>4</v>
      </c>
      <c r="T307" t="str">
        <f t="shared" si="24"/>
        <v>April</v>
      </c>
    </row>
    <row r="308" spans="1:20" x14ac:dyDescent="0.3">
      <c r="A308" s="3">
        <v>44676</v>
      </c>
      <c r="B308">
        <v>105</v>
      </c>
      <c r="C308" s="3">
        <f>_xlfn.XLOOKUP(B308,Stores!A:A,Stores!E:E)</f>
        <v>44161</v>
      </c>
      <c r="D308">
        <v>216</v>
      </c>
      <c r="E308" s="3">
        <f>_xlfn.XLOOKUP(D308,SalesReps!A:A,SalesReps!D:D)</f>
        <v>44672</v>
      </c>
      <c r="F308" s="3" t="str">
        <f>_xlfn.XLOOKUP(Table1[[#This Row],[RepID]],SalesReps!A:A,SalesReps!E:E)</f>
        <v>Left</v>
      </c>
      <c r="G308">
        <v>320</v>
      </c>
      <c r="H308" t="str">
        <f>_xlfn.XLOOKUP(Table1[[#This Row],[ProductID]],Products!A:A,Products!B:B)</f>
        <v>Toys</v>
      </c>
      <c r="I308" t="str">
        <f>_xlfn.XLOOKUP(Table1[[#This Row],[ProductID]],Products!A:A,Products!C:C)</f>
        <v>Outdoor</v>
      </c>
      <c r="J308">
        <v>2</v>
      </c>
      <c r="K308" s="5">
        <f>_xlfn.XLOOKUP(Table1[[#This Row],[ProductID]],Products!A:A,Products!E:E)</f>
        <v>304.58999999999997</v>
      </c>
      <c r="L308" s="5">
        <v>350.07</v>
      </c>
      <c r="M308" s="6">
        <v>0.09</v>
      </c>
      <c r="N308" t="s">
        <v>10</v>
      </c>
      <c r="O308" s="5">
        <f t="shared" si="20"/>
        <v>318.56369999999998</v>
      </c>
      <c r="P308" s="5">
        <f t="shared" si="21"/>
        <v>637.12739999999997</v>
      </c>
      <c r="Q308" s="5">
        <f>Table1[[#This Row],[Quantity]]*(Table1[[#This Row],[Saleprice]]-Table1[[#This Row],[Costprice]])</f>
        <v>27.947400000000016</v>
      </c>
      <c r="R308">
        <f t="shared" si="22"/>
        <v>2022</v>
      </c>
      <c r="S308">
        <f t="shared" si="23"/>
        <v>4</v>
      </c>
      <c r="T308" t="str">
        <f t="shared" si="24"/>
        <v>April</v>
      </c>
    </row>
    <row r="309" spans="1:20" x14ac:dyDescent="0.3">
      <c r="A309" s="3">
        <v>44677</v>
      </c>
      <c r="B309">
        <v>105</v>
      </c>
      <c r="C309" s="3">
        <f>_xlfn.XLOOKUP(B309,Stores!A:A,Stores!E:E)</f>
        <v>44161</v>
      </c>
      <c r="D309">
        <v>216</v>
      </c>
      <c r="E309" s="3">
        <f>_xlfn.XLOOKUP(D309,SalesReps!A:A,SalesReps!D:D)</f>
        <v>44672</v>
      </c>
      <c r="F309" s="3" t="str">
        <f>_xlfn.XLOOKUP(Table1[[#This Row],[RepID]],SalesReps!A:A,SalesReps!E:E)</f>
        <v>Left</v>
      </c>
      <c r="G309">
        <v>310</v>
      </c>
      <c r="H309" t="str">
        <f>_xlfn.XLOOKUP(Table1[[#This Row],[ProductID]],Products!A:A,Products!B:B)</f>
        <v>Home &amp; Kitchen</v>
      </c>
      <c r="I309" t="str">
        <f>_xlfn.XLOOKUP(Table1[[#This Row],[ProductID]],Products!A:A,Products!C:C)</f>
        <v>Furniture</v>
      </c>
      <c r="J309">
        <v>7</v>
      </c>
      <c r="K309" s="5">
        <f>_xlfn.XLOOKUP(Table1[[#This Row],[ProductID]],Products!A:A,Products!E:E)</f>
        <v>160.31</v>
      </c>
      <c r="L309" s="5">
        <v>187.18</v>
      </c>
      <c r="M309" s="6">
        <v>0.15</v>
      </c>
      <c r="N309" t="s">
        <v>10</v>
      </c>
      <c r="O309" s="5">
        <f t="shared" si="20"/>
        <v>159.10300000000001</v>
      </c>
      <c r="P309" s="5">
        <f t="shared" si="21"/>
        <v>1113.721</v>
      </c>
      <c r="Q309" s="5">
        <f>Table1[[#This Row],[Quantity]]*(Table1[[#This Row],[Saleprice]]-Table1[[#This Row],[Costprice]])</f>
        <v>-8.4489999999999554</v>
      </c>
      <c r="R309">
        <f t="shared" si="22"/>
        <v>2022</v>
      </c>
      <c r="S309">
        <f t="shared" si="23"/>
        <v>4</v>
      </c>
      <c r="T309" t="str">
        <f t="shared" si="24"/>
        <v>April</v>
      </c>
    </row>
    <row r="310" spans="1:20" x14ac:dyDescent="0.3">
      <c r="A310" s="3">
        <v>44677</v>
      </c>
      <c r="B310">
        <v>109</v>
      </c>
      <c r="C310" s="3">
        <f>_xlfn.XLOOKUP(B310,Stores!A:A,Stores!E:E)</f>
        <v>44600</v>
      </c>
      <c r="D310">
        <v>204</v>
      </c>
      <c r="E310" s="3">
        <f>_xlfn.XLOOKUP(D310,SalesReps!A:A,SalesReps!D:D)</f>
        <v>44388</v>
      </c>
      <c r="F310" s="3" t="str">
        <f>_xlfn.XLOOKUP(Table1[[#This Row],[RepID]],SalesReps!A:A,SalesReps!E:E)</f>
        <v>Active</v>
      </c>
      <c r="G310">
        <v>316</v>
      </c>
      <c r="H310" t="str">
        <f>_xlfn.XLOOKUP(Table1[[#This Row],[ProductID]],Products!A:A,Products!B:B)</f>
        <v>Home &amp; Kitchen</v>
      </c>
      <c r="I310" t="str">
        <f>_xlfn.XLOOKUP(Table1[[#This Row],[ProductID]],Products!A:A,Products!C:C)</f>
        <v>Furniture</v>
      </c>
      <c r="J310">
        <v>2</v>
      </c>
      <c r="K310" s="5">
        <f>_xlfn.XLOOKUP(Table1[[#This Row],[ProductID]],Products!A:A,Products!E:E)</f>
        <v>334.95</v>
      </c>
      <c r="L310" s="5">
        <v>417.01</v>
      </c>
      <c r="M310" s="6">
        <v>0.21</v>
      </c>
      <c r="N310" t="s">
        <v>11</v>
      </c>
      <c r="O310" s="5">
        <f t="shared" si="20"/>
        <v>329.43790000000001</v>
      </c>
      <c r="P310" s="5">
        <f t="shared" si="21"/>
        <v>658.87580000000003</v>
      </c>
      <c r="Q310" s="5">
        <f>Table1[[#This Row],[Quantity]]*(Table1[[#This Row],[Saleprice]]-Table1[[#This Row],[Costprice]])</f>
        <v>-11.024199999999951</v>
      </c>
      <c r="R310">
        <f t="shared" si="22"/>
        <v>2022</v>
      </c>
      <c r="S310">
        <f t="shared" si="23"/>
        <v>4</v>
      </c>
      <c r="T310" t="str">
        <f t="shared" si="24"/>
        <v>April</v>
      </c>
    </row>
    <row r="311" spans="1:20" x14ac:dyDescent="0.3">
      <c r="A311" s="3">
        <v>44677</v>
      </c>
      <c r="B311">
        <v>106</v>
      </c>
      <c r="C311" s="3">
        <f>_xlfn.XLOOKUP(B311,Stores!A:A,Stores!E:E)</f>
        <v>43918</v>
      </c>
      <c r="D311">
        <v>212</v>
      </c>
      <c r="E311" s="3">
        <f>_xlfn.XLOOKUP(D311,SalesReps!A:A,SalesReps!D:D)</f>
        <v>44671</v>
      </c>
      <c r="F311" s="3" t="str">
        <f>_xlfn.XLOOKUP(Table1[[#This Row],[RepID]],SalesReps!A:A,SalesReps!E:E)</f>
        <v>Active</v>
      </c>
      <c r="G311">
        <v>311</v>
      </c>
      <c r="H311" t="str">
        <f>_xlfn.XLOOKUP(Table1[[#This Row],[ProductID]],Products!A:A,Products!B:B)</f>
        <v>Home &amp; Kitchen</v>
      </c>
      <c r="I311" t="str">
        <f>_xlfn.XLOOKUP(Table1[[#This Row],[ProductID]],Products!A:A,Products!C:C)</f>
        <v>Furniture</v>
      </c>
      <c r="J311">
        <v>7</v>
      </c>
      <c r="K311" s="5">
        <f>_xlfn.XLOOKUP(Table1[[#This Row],[ProductID]],Products!A:A,Products!E:E)</f>
        <v>16.23</v>
      </c>
      <c r="L311" s="5">
        <v>101.43</v>
      </c>
      <c r="M311" s="6">
        <v>0.24</v>
      </c>
      <c r="N311" t="s">
        <v>10</v>
      </c>
      <c r="O311" s="5">
        <f t="shared" si="20"/>
        <v>77.086800000000011</v>
      </c>
      <c r="P311" s="5">
        <f t="shared" si="21"/>
        <v>539.60760000000005</v>
      </c>
      <c r="Q311" s="5">
        <f>Table1[[#This Row],[Quantity]]*(Table1[[#This Row],[Saleprice]]-Table1[[#This Row],[Costprice]])</f>
        <v>425.99760000000003</v>
      </c>
      <c r="R311">
        <f t="shared" si="22"/>
        <v>2022</v>
      </c>
      <c r="S311">
        <f t="shared" si="23"/>
        <v>4</v>
      </c>
      <c r="T311" t="str">
        <f t="shared" si="24"/>
        <v>April</v>
      </c>
    </row>
    <row r="312" spans="1:20" x14ac:dyDescent="0.3">
      <c r="A312" s="3">
        <v>44677</v>
      </c>
      <c r="B312">
        <v>105</v>
      </c>
      <c r="C312" s="3">
        <f>_xlfn.XLOOKUP(B312,Stores!A:A,Stores!E:E)</f>
        <v>44161</v>
      </c>
      <c r="D312">
        <v>216</v>
      </c>
      <c r="E312" s="3">
        <f>_xlfn.XLOOKUP(D312,SalesReps!A:A,SalesReps!D:D)</f>
        <v>44672</v>
      </c>
      <c r="F312" s="3" t="str">
        <f>_xlfn.XLOOKUP(Table1[[#This Row],[RepID]],SalesReps!A:A,SalesReps!E:E)</f>
        <v>Left</v>
      </c>
      <c r="G312">
        <v>311</v>
      </c>
      <c r="H312" t="str">
        <f>_xlfn.XLOOKUP(Table1[[#This Row],[ProductID]],Products!A:A,Products!B:B)</f>
        <v>Home &amp; Kitchen</v>
      </c>
      <c r="I312" t="str">
        <f>_xlfn.XLOOKUP(Table1[[#This Row],[ProductID]],Products!A:A,Products!C:C)</f>
        <v>Furniture</v>
      </c>
      <c r="J312">
        <v>8</v>
      </c>
      <c r="K312" s="5">
        <f>_xlfn.XLOOKUP(Table1[[#This Row],[ProductID]],Products!A:A,Products!E:E)</f>
        <v>16.23</v>
      </c>
      <c r="L312" s="5">
        <v>56.64</v>
      </c>
      <c r="M312" s="6">
        <v>0.13</v>
      </c>
      <c r="N312" t="s">
        <v>10</v>
      </c>
      <c r="O312" s="5">
        <f t="shared" si="20"/>
        <v>49.276800000000001</v>
      </c>
      <c r="P312" s="5">
        <f t="shared" si="21"/>
        <v>394.21440000000001</v>
      </c>
      <c r="Q312" s="5">
        <f>Table1[[#This Row],[Quantity]]*(Table1[[#This Row],[Saleprice]]-Table1[[#This Row],[Costprice]])</f>
        <v>264.37440000000004</v>
      </c>
      <c r="R312">
        <f t="shared" si="22"/>
        <v>2022</v>
      </c>
      <c r="S312">
        <f t="shared" si="23"/>
        <v>4</v>
      </c>
      <c r="T312" t="str">
        <f t="shared" si="24"/>
        <v>April</v>
      </c>
    </row>
    <row r="313" spans="1:20" x14ac:dyDescent="0.3">
      <c r="A313" s="3">
        <v>44678</v>
      </c>
      <c r="B313">
        <v>104</v>
      </c>
      <c r="C313" s="3">
        <f>_xlfn.XLOOKUP(B313,Stores!A:A,Stores!E:E)</f>
        <v>44297</v>
      </c>
      <c r="D313">
        <v>202</v>
      </c>
      <c r="E313" s="3">
        <f>_xlfn.XLOOKUP(D313,SalesReps!A:A,SalesReps!D:D)</f>
        <v>44610</v>
      </c>
      <c r="F313" s="3" t="str">
        <f>_xlfn.XLOOKUP(Table1[[#This Row],[RepID]],SalesReps!A:A,SalesReps!E:E)</f>
        <v>Active</v>
      </c>
      <c r="G313">
        <v>319</v>
      </c>
      <c r="H313" t="str">
        <f>_xlfn.XLOOKUP(Table1[[#This Row],[ProductID]],Products!A:A,Products!B:B)</f>
        <v>Toys</v>
      </c>
      <c r="I313" t="str">
        <f>_xlfn.XLOOKUP(Table1[[#This Row],[ProductID]],Products!A:A,Products!C:C)</f>
        <v>Board Games</v>
      </c>
      <c r="J313">
        <v>1</v>
      </c>
      <c r="K313" s="5">
        <f>_xlfn.XLOOKUP(Table1[[#This Row],[ProductID]],Products!A:A,Products!E:E)</f>
        <v>81.069999999999993</v>
      </c>
      <c r="L313" s="5">
        <v>131.91</v>
      </c>
      <c r="M313" s="6">
        <v>0.15</v>
      </c>
      <c r="N313" t="s">
        <v>10</v>
      </c>
      <c r="O313" s="5">
        <f t="shared" si="20"/>
        <v>112.12349999999999</v>
      </c>
      <c r="P313" s="5">
        <f t="shared" si="21"/>
        <v>112.12349999999999</v>
      </c>
      <c r="Q313" s="5">
        <f>Table1[[#This Row],[Quantity]]*(Table1[[#This Row],[Saleprice]]-Table1[[#This Row],[Costprice]])</f>
        <v>31.0535</v>
      </c>
      <c r="R313">
        <f t="shared" si="22"/>
        <v>2022</v>
      </c>
      <c r="S313">
        <f t="shared" si="23"/>
        <v>4</v>
      </c>
      <c r="T313" t="str">
        <f t="shared" si="24"/>
        <v>April</v>
      </c>
    </row>
    <row r="314" spans="1:20" x14ac:dyDescent="0.3">
      <c r="A314" s="3">
        <v>44678</v>
      </c>
      <c r="B314">
        <v>104</v>
      </c>
      <c r="C314" s="3">
        <f>_xlfn.XLOOKUP(B314,Stores!A:A,Stores!E:E)</f>
        <v>44297</v>
      </c>
      <c r="D314">
        <v>202</v>
      </c>
      <c r="E314" s="3">
        <f>_xlfn.XLOOKUP(D314,SalesReps!A:A,SalesReps!D:D)</f>
        <v>44610</v>
      </c>
      <c r="F314" s="3" t="str">
        <f>_xlfn.XLOOKUP(Table1[[#This Row],[RepID]],SalesReps!A:A,SalesReps!E:E)</f>
        <v>Active</v>
      </c>
      <c r="G314">
        <v>316</v>
      </c>
      <c r="H314" t="str">
        <f>_xlfn.XLOOKUP(Table1[[#This Row],[ProductID]],Products!A:A,Products!B:B)</f>
        <v>Home &amp; Kitchen</v>
      </c>
      <c r="I314" t="str">
        <f>_xlfn.XLOOKUP(Table1[[#This Row],[ProductID]],Products!A:A,Products!C:C)</f>
        <v>Furniture</v>
      </c>
      <c r="J314">
        <v>8</v>
      </c>
      <c r="K314" s="5">
        <f>_xlfn.XLOOKUP(Table1[[#This Row],[ProductID]],Products!A:A,Products!E:E)</f>
        <v>334.95</v>
      </c>
      <c r="L314" s="5">
        <v>404.93</v>
      </c>
      <c r="M314" s="6">
        <v>0.17</v>
      </c>
      <c r="N314" t="s">
        <v>10</v>
      </c>
      <c r="O314" s="5">
        <f t="shared" si="20"/>
        <v>336.09190000000001</v>
      </c>
      <c r="P314" s="5">
        <f t="shared" si="21"/>
        <v>2688.7352000000001</v>
      </c>
      <c r="Q314" s="5">
        <f>Table1[[#This Row],[Quantity]]*(Table1[[#This Row],[Saleprice]]-Table1[[#This Row],[Costprice]])</f>
        <v>9.1352000000001681</v>
      </c>
      <c r="R314">
        <f t="shared" si="22"/>
        <v>2022</v>
      </c>
      <c r="S314">
        <f t="shared" si="23"/>
        <v>4</v>
      </c>
      <c r="T314" t="str">
        <f t="shared" si="24"/>
        <v>April</v>
      </c>
    </row>
    <row r="315" spans="1:20" x14ac:dyDescent="0.3">
      <c r="A315" s="3">
        <v>44678</v>
      </c>
      <c r="B315">
        <v>104</v>
      </c>
      <c r="C315" s="3">
        <f>_xlfn.XLOOKUP(B315,Stores!A:A,Stores!E:E)</f>
        <v>44297</v>
      </c>
      <c r="D315">
        <v>202</v>
      </c>
      <c r="E315" s="3">
        <f>_xlfn.XLOOKUP(D315,SalesReps!A:A,SalesReps!D:D)</f>
        <v>44610</v>
      </c>
      <c r="F315" s="3" t="str">
        <f>_xlfn.XLOOKUP(Table1[[#This Row],[RepID]],SalesReps!A:A,SalesReps!E:E)</f>
        <v>Active</v>
      </c>
      <c r="G315">
        <v>311</v>
      </c>
      <c r="H315" t="str">
        <f>_xlfn.XLOOKUP(Table1[[#This Row],[ProductID]],Products!A:A,Products!B:B)</f>
        <v>Home &amp; Kitchen</v>
      </c>
      <c r="I315" t="str">
        <f>_xlfn.XLOOKUP(Table1[[#This Row],[ProductID]],Products!A:A,Products!C:C)</f>
        <v>Furniture</v>
      </c>
      <c r="J315">
        <v>3</v>
      </c>
      <c r="K315" s="5">
        <f>_xlfn.XLOOKUP(Table1[[#This Row],[ProductID]],Products!A:A,Products!E:E)</f>
        <v>16.23</v>
      </c>
      <c r="L315" s="5">
        <v>46.74</v>
      </c>
      <c r="M315" s="6">
        <v>0.15</v>
      </c>
      <c r="N315" t="s">
        <v>10</v>
      </c>
      <c r="O315" s="5">
        <f t="shared" si="20"/>
        <v>39.728999999999999</v>
      </c>
      <c r="P315" s="5">
        <f t="shared" si="21"/>
        <v>119.187</v>
      </c>
      <c r="Q315" s="5">
        <f>Table1[[#This Row],[Quantity]]*(Table1[[#This Row],[Saleprice]]-Table1[[#This Row],[Costprice]])</f>
        <v>70.497</v>
      </c>
      <c r="R315">
        <f t="shared" si="22"/>
        <v>2022</v>
      </c>
      <c r="S315">
        <f t="shared" si="23"/>
        <v>4</v>
      </c>
      <c r="T315" t="str">
        <f t="shared" si="24"/>
        <v>April</v>
      </c>
    </row>
    <row r="316" spans="1:20" x14ac:dyDescent="0.3">
      <c r="A316" s="3">
        <v>44679</v>
      </c>
      <c r="B316">
        <v>105</v>
      </c>
      <c r="C316" s="3">
        <f>_xlfn.XLOOKUP(B316,Stores!A:A,Stores!E:E)</f>
        <v>44161</v>
      </c>
      <c r="D316">
        <v>216</v>
      </c>
      <c r="E316" s="3">
        <f>_xlfn.XLOOKUP(D316,SalesReps!A:A,SalesReps!D:D)</f>
        <v>44672</v>
      </c>
      <c r="F316" s="3" t="str">
        <f>_xlfn.XLOOKUP(Table1[[#This Row],[RepID]],SalesReps!A:A,SalesReps!E:E)</f>
        <v>Left</v>
      </c>
      <c r="G316">
        <v>315</v>
      </c>
      <c r="H316" t="str">
        <f>_xlfn.XLOOKUP(Table1[[#This Row],[ProductID]],Products!A:A,Products!B:B)</f>
        <v>Toys</v>
      </c>
      <c r="I316" t="str">
        <f>_xlfn.XLOOKUP(Table1[[#This Row],[ProductID]],Products!A:A,Products!C:C)</f>
        <v>Board Games</v>
      </c>
      <c r="J316">
        <v>4</v>
      </c>
      <c r="K316" s="5">
        <f>_xlfn.XLOOKUP(Table1[[#This Row],[ProductID]],Products!A:A,Products!E:E)</f>
        <v>247.9</v>
      </c>
      <c r="L316" s="5">
        <v>261.83999999999997</v>
      </c>
      <c r="M316" s="6">
        <v>0.11</v>
      </c>
      <c r="N316" t="s">
        <v>10</v>
      </c>
      <c r="O316" s="5">
        <f t="shared" si="20"/>
        <v>233.03759999999997</v>
      </c>
      <c r="P316" s="5">
        <f t="shared" si="21"/>
        <v>932.15039999999988</v>
      </c>
      <c r="Q316" s="5">
        <f>Table1[[#This Row],[Quantity]]*(Table1[[#This Row],[Saleprice]]-Table1[[#This Row],[Costprice]])</f>
        <v>-59.449600000000146</v>
      </c>
      <c r="R316">
        <f t="shared" si="22"/>
        <v>2022</v>
      </c>
      <c r="S316">
        <f t="shared" si="23"/>
        <v>4</v>
      </c>
      <c r="T316" t="str">
        <f t="shared" si="24"/>
        <v>April</v>
      </c>
    </row>
    <row r="317" spans="1:20" x14ac:dyDescent="0.3">
      <c r="A317" s="3">
        <v>44679</v>
      </c>
      <c r="B317">
        <v>103</v>
      </c>
      <c r="C317" s="3">
        <f>_xlfn.XLOOKUP(B317,Stores!A:A,Stores!E:E)</f>
        <v>43952</v>
      </c>
      <c r="D317">
        <v>207</v>
      </c>
      <c r="E317" s="3">
        <f>_xlfn.XLOOKUP(D317,SalesReps!A:A,SalesReps!D:D)</f>
        <v>44656</v>
      </c>
      <c r="F317" s="3" t="str">
        <f>_xlfn.XLOOKUP(Table1[[#This Row],[RepID]],SalesReps!A:A,SalesReps!E:E)</f>
        <v>Active</v>
      </c>
      <c r="G317">
        <v>309</v>
      </c>
      <c r="H317" t="str">
        <f>_xlfn.XLOOKUP(Table1[[#This Row],[ProductID]],Products!A:A,Products!B:B)</f>
        <v>Electronics</v>
      </c>
      <c r="I317" t="str">
        <f>_xlfn.XLOOKUP(Table1[[#This Row],[ProductID]],Products!A:A,Products!C:C)</f>
        <v>Laptops</v>
      </c>
      <c r="J317">
        <v>3</v>
      </c>
      <c r="K317" s="5">
        <f>_xlfn.XLOOKUP(Table1[[#This Row],[ProductID]],Products!A:A,Products!E:E)</f>
        <v>229.68</v>
      </c>
      <c r="L317" s="5">
        <v>280.81</v>
      </c>
      <c r="M317" s="6">
        <v>0.14000000000000001</v>
      </c>
      <c r="N317" t="s">
        <v>9</v>
      </c>
      <c r="O317" s="5">
        <f t="shared" si="20"/>
        <v>241.4966</v>
      </c>
      <c r="P317" s="5">
        <f t="shared" si="21"/>
        <v>724.48980000000006</v>
      </c>
      <c r="Q317" s="5">
        <f>Table1[[#This Row],[Quantity]]*(Table1[[#This Row],[Saleprice]]-Table1[[#This Row],[Costprice]])</f>
        <v>35.449799999999982</v>
      </c>
      <c r="R317">
        <f t="shared" si="22"/>
        <v>2022</v>
      </c>
      <c r="S317">
        <f t="shared" si="23"/>
        <v>4</v>
      </c>
      <c r="T317" t="str">
        <f t="shared" si="24"/>
        <v>April</v>
      </c>
    </row>
    <row r="318" spans="1:20" x14ac:dyDescent="0.3">
      <c r="A318" s="3">
        <v>44679</v>
      </c>
      <c r="B318">
        <v>103</v>
      </c>
      <c r="C318" s="3">
        <f>_xlfn.XLOOKUP(B318,Stores!A:A,Stores!E:E)</f>
        <v>43952</v>
      </c>
      <c r="D318">
        <v>207</v>
      </c>
      <c r="E318" s="3">
        <f>_xlfn.XLOOKUP(D318,SalesReps!A:A,SalesReps!D:D)</f>
        <v>44656</v>
      </c>
      <c r="F318" s="3" t="str">
        <f>_xlfn.XLOOKUP(Table1[[#This Row],[RepID]],SalesReps!A:A,SalesReps!E:E)</f>
        <v>Active</v>
      </c>
      <c r="G318">
        <v>313</v>
      </c>
      <c r="H318" t="str">
        <f>_xlfn.XLOOKUP(Table1[[#This Row],[ProductID]],Products!A:A,Products!B:B)</f>
        <v>Clothing</v>
      </c>
      <c r="I318" t="str">
        <f>_xlfn.XLOOKUP(Table1[[#This Row],[ProductID]],Products!A:A,Products!C:C)</f>
        <v>Women</v>
      </c>
      <c r="J318">
        <v>1</v>
      </c>
      <c r="K318" s="5">
        <f>_xlfn.XLOOKUP(Table1[[#This Row],[ProductID]],Products!A:A,Products!E:E)</f>
        <v>104</v>
      </c>
      <c r="L318" s="5">
        <v>132.77000000000001</v>
      </c>
      <c r="M318" s="6">
        <v>0.06</v>
      </c>
      <c r="N318" t="s">
        <v>9</v>
      </c>
      <c r="O318" s="5">
        <f t="shared" si="20"/>
        <v>124.80380000000001</v>
      </c>
      <c r="P318" s="5">
        <f t="shared" si="21"/>
        <v>124.80380000000001</v>
      </c>
      <c r="Q318" s="5">
        <f>Table1[[#This Row],[Quantity]]*(Table1[[#This Row],[Saleprice]]-Table1[[#This Row],[Costprice]])</f>
        <v>20.80380000000001</v>
      </c>
      <c r="R318">
        <f t="shared" si="22"/>
        <v>2022</v>
      </c>
      <c r="S318">
        <f t="shared" si="23"/>
        <v>4</v>
      </c>
      <c r="T318" t="str">
        <f t="shared" si="24"/>
        <v>April</v>
      </c>
    </row>
    <row r="319" spans="1:20" x14ac:dyDescent="0.3">
      <c r="A319" s="3">
        <v>44679</v>
      </c>
      <c r="B319">
        <v>105</v>
      </c>
      <c r="C319" s="3">
        <f>_xlfn.XLOOKUP(B319,Stores!A:A,Stores!E:E)</f>
        <v>44161</v>
      </c>
      <c r="D319">
        <v>216</v>
      </c>
      <c r="E319" s="3">
        <f>_xlfn.XLOOKUP(D319,SalesReps!A:A,SalesReps!D:D)</f>
        <v>44672</v>
      </c>
      <c r="F319" s="3" t="str">
        <f>_xlfn.XLOOKUP(Table1[[#This Row],[RepID]],SalesReps!A:A,SalesReps!E:E)</f>
        <v>Left</v>
      </c>
      <c r="G319">
        <v>317</v>
      </c>
      <c r="H319" t="str">
        <f>_xlfn.XLOOKUP(Table1[[#This Row],[ProductID]],Products!A:A,Products!B:B)</f>
        <v>Toys</v>
      </c>
      <c r="I319" t="str">
        <f>_xlfn.XLOOKUP(Table1[[#This Row],[ProductID]],Products!A:A,Products!C:C)</f>
        <v>Educational</v>
      </c>
      <c r="J319">
        <v>5</v>
      </c>
      <c r="K319" s="5">
        <f>_xlfn.XLOOKUP(Table1[[#This Row],[ProductID]],Products!A:A,Products!E:E)</f>
        <v>77.61</v>
      </c>
      <c r="L319" s="5">
        <v>144.9</v>
      </c>
      <c r="M319" s="6">
        <v>0.13</v>
      </c>
      <c r="N319" t="s">
        <v>10</v>
      </c>
      <c r="O319" s="5">
        <f t="shared" si="20"/>
        <v>126.063</v>
      </c>
      <c r="P319" s="5">
        <f t="shared" si="21"/>
        <v>630.31500000000005</v>
      </c>
      <c r="Q319" s="5">
        <f>Table1[[#This Row],[Quantity]]*(Table1[[#This Row],[Saleprice]]-Table1[[#This Row],[Costprice]])</f>
        <v>242.26500000000001</v>
      </c>
      <c r="R319">
        <f t="shared" si="22"/>
        <v>2022</v>
      </c>
      <c r="S319">
        <f t="shared" si="23"/>
        <v>4</v>
      </c>
      <c r="T319" t="str">
        <f t="shared" si="24"/>
        <v>April</v>
      </c>
    </row>
    <row r="320" spans="1:20" x14ac:dyDescent="0.3">
      <c r="A320" s="3">
        <v>44680</v>
      </c>
      <c r="B320">
        <v>103</v>
      </c>
      <c r="C320" s="3">
        <f>_xlfn.XLOOKUP(B320,Stores!A:A,Stores!E:E)</f>
        <v>43952</v>
      </c>
      <c r="D320">
        <v>207</v>
      </c>
      <c r="E320" s="3">
        <f>_xlfn.XLOOKUP(D320,SalesReps!A:A,SalesReps!D:D)</f>
        <v>44656</v>
      </c>
      <c r="F320" s="3" t="str">
        <f>_xlfn.XLOOKUP(Table1[[#This Row],[RepID]],SalesReps!A:A,SalesReps!E:E)</f>
        <v>Active</v>
      </c>
      <c r="G320">
        <v>315</v>
      </c>
      <c r="H320" t="str">
        <f>_xlfn.XLOOKUP(Table1[[#This Row],[ProductID]],Products!A:A,Products!B:B)</f>
        <v>Toys</v>
      </c>
      <c r="I320" t="str">
        <f>_xlfn.XLOOKUP(Table1[[#This Row],[ProductID]],Products!A:A,Products!C:C)</f>
        <v>Board Games</v>
      </c>
      <c r="J320">
        <v>7</v>
      </c>
      <c r="K320" s="5">
        <f>_xlfn.XLOOKUP(Table1[[#This Row],[ProductID]],Products!A:A,Products!E:E)</f>
        <v>247.9</v>
      </c>
      <c r="L320" s="5">
        <v>267.97000000000003</v>
      </c>
      <c r="M320" s="6">
        <v>7.0000000000000007E-2</v>
      </c>
      <c r="N320" t="s">
        <v>9</v>
      </c>
      <c r="O320" s="5">
        <f t="shared" si="20"/>
        <v>249.21210000000002</v>
      </c>
      <c r="P320" s="5">
        <f t="shared" si="21"/>
        <v>1744.4847000000002</v>
      </c>
      <c r="Q320" s="5">
        <f>Table1[[#This Row],[Quantity]]*(Table1[[#This Row],[Saleprice]]-Table1[[#This Row],[Costprice]])</f>
        <v>9.184700000000106</v>
      </c>
      <c r="R320">
        <f t="shared" si="22"/>
        <v>2022</v>
      </c>
      <c r="S320">
        <f t="shared" si="23"/>
        <v>4</v>
      </c>
      <c r="T320" t="str">
        <f t="shared" si="24"/>
        <v>April</v>
      </c>
    </row>
    <row r="321" spans="1:20" x14ac:dyDescent="0.3">
      <c r="A321" s="3">
        <v>44680</v>
      </c>
      <c r="B321">
        <v>103</v>
      </c>
      <c r="C321" s="3">
        <f>_xlfn.XLOOKUP(B321,Stores!A:A,Stores!E:E)</f>
        <v>43952</v>
      </c>
      <c r="D321">
        <v>207</v>
      </c>
      <c r="E321" s="3">
        <f>_xlfn.XLOOKUP(D321,SalesReps!A:A,SalesReps!D:D)</f>
        <v>44656</v>
      </c>
      <c r="F321" s="3" t="str">
        <f>_xlfn.XLOOKUP(Table1[[#This Row],[RepID]],SalesReps!A:A,SalesReps!E:E)</f>
        <v>Active</v>
      </c>
      <c r="G321">
        <v>317</v>
      </c>
      <c r="H321" t="str">
        <f>_xlfn.XLOOKUP(Table1[[#This Row],[ProductID]],Products!A:A,Products!B:B)</f>
        <v>Toys</v>
      </c>
      <c r="I321" t="str">
        <f>_xlfn.XLOOKUP(Table1[[#This Row],[ProductID]],Products!A:A,Products!C:C)</f>
        <v>Educational</v>
      </c>
      <c r="J321">
        <v>2</v>
      </c>
      <c r="K321" s="5">
        <f>_xlfn.XLOOKUP(Table1[[#This Row],[ProductID]],Products!A:A,Products!E:E)</f>
        <v>77.61</v>
      </c>
      <c r="L321" s="5">
        <v>118.45</v>
      </c>
      <c r="M321" s="6">
        <v>0.06</v>
      </c>
      <c r="N321" t="s">
        <v>9</v>
      </c>
      <c r="O321" s="5">
        <f t="shared" si="20"/>
        <v>111.34299999999999</v>
      </c>
      <c r="P321" s="5">
        <f t="shared" si="21"/>
        <v>222.68599999999998</v>
      </c>
      <c r="Q321" s="5">
        <f>Table1[[#This Row],[Quantity]]*(Table1[[#This Row],[Saleprice]]-Table1[[#This Row],[Costprice]])</f>
        <v>67.46599999999998</v>
      </c>
      <c r="R321">
        <f t="shared" si="22"/>
        <v>2022</v>
      </c>
      <c r="S321">
        <f t="shared" si="23"/>
        <v>4</v>
      </c>
      <c r="T321" t="str">
        <f t="shared" si="24"/>
        <v>April</v>
      </c>
    </row>
    <row r="322" spans="1:20" x14ac:dyDescent="0.3">
      <c r="A322" s="3">
        <v>44680</v>
      </c>
      <c r="B322">
        <v>103</v>
      </c>
      <c r="C322" s="3">
        <f>_xlfn.XLOOKUP(B322,Stores!A:A,Stores!E:E)</f>
        <v>43952</v>
      </c>
      <c r="D322">
        <v>207</v>
      </c>
      <c r="E322" s="3">
        <f>_xlfn.XLOOKUP(D322,SalesReps!A:A,SalesReps!D:D)</f>
        <v>44656</v>
      </c>
      <c r="F322" s="3" t="str">
        <f>_xlfn.XLOOKUP(Table1[[#This Row],[RepID]],SalesReps!A:A,SalesReps!E:E)</f>
        <v>Active</v>
      </c>
      <c r="G322">
        <v>310</v>
      </c>
      <c r="H322" t="str">
        <f>_xlfn.XLOOKUP(Table1[[#This Row],[ProductID]],Products!A:A,Products!B:B)</f>
        <v>Home &amp; Kitchen</v>
      </c>
      <c r="I322" t="str">
        <f>_xlfn.XLOOKUP(Table1[[#This Row],[ProductID]],Products!A:A,Products!C:C)</f>
        <v>Furniture</v>
      </c>
      <c r="J322">
        <v>1</v>
      </c>
      <c r="K322" s="5">
        <f>_xlfn.XLOOKUP(Table1[[#This Row],[ProductID]],Products!A:A,Products!E:E)</f>
        <v>160.31</v>
      </c>
      <c r="L322" s="5">
        <v>198.57</v>
      </c>
      <c r="M322" s="6">
        <v>0.18</v>
      </c>
      <c r="N322" t="s">
        <v>9</v>
      </c>
      <c r="O322" s="5">
        <f t="shared" ref="O322:O385" si="25">L322*(1-M322)</f>
        <v>162.82740000000001</v>
      </c>
      <c r="P322" s="5">
        <f t="shared" ref="P322:P385" si="26">O322*J322</f>
        <v>162.82740000000001</v>
      </c>
      <c r="Q322" s="5">
        <f>Table1[[#This Row],[Quantity]]*(Table1[[#This Row],[Saleprice]]-Table1[[#This Row],[Costprice]])</f>
        <v>2.5174000000000092</v>
      </c>
      <c r="R322">
        <f t="shared" ref="R322:R385" si="27">YEAR(A322)</f>
        <v>2022</v>
      </c>
      <c r="S322">
        <f t="shared" ref="S322:S385" si="28">MONTH(A322)</f>
        <v>4</v>
      </c>
      <c r="T322" t="str">
        <f t="shared" ref="T322:T385" si="29">TEXT(A322,"MMMM")</f>
        <v>April</v>
      </c>
    </row>
    <row r="323" spans="1:20" x14ac:dyDescent="0.3">
      <c r="A323" s="3">
        <v>44680</v>
      </c>
      <c r="B323">
        <v>104</v>
      </c>
      <c r="C323" s="3">
        <f>_xlfn.XLOOKUP(B323,Stores!A:A,Stores!E:E)</f>
        <v>44297</v>
      </c>
      <c r="D323">
        <v>202</v>
      </c>
      <c r="E323" s="3">
        <f>_xlfn.XLOOKUP(D323,SalesReps!A:A,SalesReps!D:D)</f>
        <v>44610</v>
      </c>
      <c r="F323" s="3" t="str">
        <f>_xlfn.XLOOKUP(Table1[[#This Row],[RepID]],SalesReps!A:A,SalesReps!E:E)</f>
        <v>Active</v>
      </c>
      <c r="G323">
        <v>306</v>
      </c>
      <c r="H323" t="str">
        <f>_xlfn.XLOOKUP(Table1[[#This Row],[ProductID]],Products!A:A,Products!B:B)</f>
        <v>Clothing</v>
      </c>
      <c r="I323" t="str">
        <f>_xlfn.XLOOKUP(Table1[[#This Row],[ProductID]],Products!A:A,Products!C:C)</f>
        <v>Men</v>
      </c>
      <c r="J323">
        <v>2</v>
      </c>
      <c r="K323" s="5">
        <f>_xlfn.XLOOKUP(Table1[[#This Row],[ProductID]],Products!A:A,Products!E:E)</f>
        <v>185.69</v>
      </c>
      <c r="L323" s="5">
        <v>241.13</v>
      </c>
      <c r="M323" s="6">
        <v>0.14000000000000001</v>
      </c>
      <c r="N323" t="s">
        <v>10</v>
      </c>
      <c r="O323" s="5">
        <f t="shared" si="25"/>
        <v>207.37179999999998</v>
      </c>
      <c r="P323" s="5">
        <f t="shared" si="26"/>
        <v>414.74359999999996</v>
      </c>
      <c r="Q323" s="5">
        <f>Table1[[#This Row],[Quantity]]*(Table1[[#This Row],[Saleprice]]-Table1[[#This Row],[Costprice]])</f>
        <v>43.363599999999963</v>
      </c>
      <c r="R323">
        <f t="shared" si="27"/>
        <v>2022</v>
      </c>
      <c r="S323">
        <f t="shared" si="28"/>
        <v>4</v>
      </c>
      <c r="T323" t="str">
        <f t="shared" si="29"/>
        <v>April</v>
      </c>
    </row>
    <row r="324" spans="1:20" x14ac:dyDescent="0.3">
      <c r="A324" s="3">
        <v>44681</v>
      </c>
      <c r="B324">
        <v>105</v>
      </c>
      <c r="C324" s="3">
        <f>_xlfn.XLOOKUP(B324,Stores!A:A,Stores!E:E)</f>
        <v>44161</v>
      </c>
      <c r="D324">
        <v>216</v>
      </c>
      <c r="E324" s="3">
        <f>_xlfn.XLOOKUP(D324,SalesReps!A:A,SalesReps!D:D)</f>
        <v>44672</v>
      </c>
      <c r="F324" s="3" t="str">
        <f>_xlfn.XLOOKUP(Table1[[#This Row],[RepID]],SalesReps!A:A,SalesReps!E:E)</f>
        <v>Left</v>
      </c>
      <c r="G324">
        <v>314</v>
      </c>
      <c r="H324" t="str">
        <f>_xlfn.XLOOKUP(Table1[[#This Row],[ProductID]],Products!A:A,Products!B:B)</f>
        <v>Clothing</v>
      </c>
      <c r="I324" t="str">
        <f>_xlfn.XLOOKUP(Table1[[#This Row],[ProductID]],Products!A:A,Products!C:C)</f>
        <v>Kids</v>
      </c>
      <c r="J324">
        <v>9</v>
      </c>
      <c r="K324" s="5">
        <f>_xlfn.XLOOKUP(Table1[[#This Row],[ProductID]],Products!A:A,Products!E:E)</f>
        <v>276.47000000000003</v>
      </c>
      <c r="L324" s="5">
        <v>322.16000000000003</v>
      </c>
      <c r="M324" s="6">
        <v>0.19</v>
      </c>
      <c r="N324" t="s">
        <v>10</v>
      </c>
      <c r="O324" s="5">
        <f t="shared" si="25"/>
        <v>260.94960000000003</v>
      </c>
      <c r="P324" s="5">
        <f t="shared" si="26"/>
        <v>2348.5464000000002</v>
      </c>
      <c r="Q324" s="5">
        <f>Table1[[#This Row],[Quantity]]*(Table1[[#This Row],[Saleprice]]-Table1[[#This Row],[Costprice]])</f>
        <v>-139.68359999999996</v>
      </c>
      <c r="R324">
        <f t="shared" si="27"/>
        <v>2022</v>
      </c>
      <c r="S324">
        <f t="shared" si="28"/>
        <v>4</v>
      </c>
      <c r="T324" t="str">
        <f t="shared" si="29"/>
        <v>April</v>
      </c>
    </row>
    <row r="325" spans="1:20" x14ac:dyDescent="0.3">
      <c r="A325" s="3">
        <v>44681</v>
      </c>
      <c r="B325">
        <v>103</v>
      </c>
      <c r="C325" s="3">
        <f>_xlfn.XLOOKUP(B325,Stores!A:A,Stores!E:E)</f>
        <v>43952</v>
      </c>
      <c r="D325">
        <v>207</v>
      </c>
      <c r="E325" s="3">
        <f>_xlfn.XLOOKUP(D325,SalesReps!A:A,SalesReps!D:D)</f>
        <v>44656</v>
      </c>
      <c r="F325" s="3" t="str">
        <f>_xlfn.XLOOKUP(Table1[[#This Row],[RepID]],SalesReps!A:A,SalesReps!E:E)</f>
        <v>Active</v>
      </c>
      <c r="G325">
        <v>313</v>
      </c>
      <c r="H325" t="str">
        <f>_xlfn.XLOOKUP(Table1[[#This Row],[ProductID]],Products!A:A,Products!B:B)</f>
        <v>Clothing</v>
      </c>
      <c r="I325" t="str">
        <f>_xlfn.XLOOKUP(Table1[[#This Row],[ProductID]],Products!A:A,Products!C:C)</f>
        <v>Women</v>
      </c>
      <c r="J325">
        <v>2</v>
      </c>
      <c r="K325" s="5">
        <f>_xlfn.XLOOKUP(Table1[[#This Row],[ProductID]],Products!A:A,Products!E:E)</f>
        <v>104</v>
      </c>
      <c r="L325" s="5">
        <v>132.77000000000001</v>
      </c>
      <c r="M325" s="6">
        <v>0.06</v>
      </c>
      <c r="N325" t="s">
        <v>9</v>
      </c>
      <c r="O325" s="5">
        <f t="shared" si="25"/>
        <v>124.80380000000001</v>
      </c>
      <c r="P325" s="5">
        <f t="shared" si="26"/>
        <v>249.60760000000002</v>
      </c>
      <c r="Q325" s="5">
        <f>Table1[[#This Row],[Quantity]]*(Table1[[#This Row],[Saleprice]]-Table1[[#This Row],[Costprice]])</f>
        <v>41.607600000000019</v>
      </c>
      <c r="R325">
        <f t="shared" si="27"/>
        <v>2022</v>
      </c>
      <c r="S325">
        <f t="shared" si="28"/>
        <v>4</v>
      </c>
      <c r="T325" t="str">
        <f t="shared" si="29"/>
        <v>April</v>
      </c>
    </row>
    <row r="326" spans="1:20" x14ac:dyDescent="0.3">
      <c r="A326" s="3">
        <v>44681</v>
      </c>
      <c r="B326">
        <v>105</v>
      </c>
      <c r="C326" s="3">
        <f>_xlfn.XLOOKUP(B326,Stores!A:A,Stores!E:E)</f>
        <v>44161</v>
      </c>
      <c r="D326">
        <v>216</v>
      </c>
      <c r="E326" s="3">
        <f>_xlfn.XLOOKUP(D326,SalesReps!A:A,SalesReps!D:D)</f>
        <v>44672</v>
      </c>
      <c r="F326" s="3" t="str">
        <f>_xlfn.XLOOKUP(Table1[[#This Row],[RepID]],SalesReps!A:A,SalesReps!E:E)</f>
        <v>Left</v>
      </c>
      <c r="G326">
        <v>320</v>
      </c>
      <c r="H326" t="str">
        <f>_xlfn.XLOOKUP(Table1[[#This Row],[ProductID]],Products!A:A,Products!B:B)</f>
        <v>Toys</v>
      </c>
      <c r="I326" t="str">
        <f>_xlfn.XLOOKUP(Table1[[#This Row],[ProductID]],Products!A:A,Products!C:C)</f>
        <v>Outdoor</v>
      </c>
      <c r="J326">
        <v>5</v>
      </c>
      <c r="K326" s="5">
        <f>_xlfn.XLOOKUP(Table1[[#This Row],[ProductID]],Products!A:A,Products!E:E)</f>
        <v>304.58999999999997</v>
      </c>
      <c r="L326" s="5">
        <v>350.07</v>
      </c>
      <c r="M326" s="6">
        <v>0.09</v>
      </c>
      <c r="N326" t="s">
        <v>10</v>
      </c>
      <c r="O326" s="5">
        <f t="shared" si="25"/>
        <v>318.56369999999998</v>
      </c>
      <c r="P326" s="5">
        <f t="shared" si="26"/>
        <v>1592.8184999999999</v>
      </c>
      <c r="Q326" s="5">
        <f>Table1[[#This Row],[Quantity]]*(Table1[[#This Row],[Saleprice]]-Table1[[#This Row],[Costprice]])</f>
        <v>69.86850000000004</v>
      </c>
      <c r="R326">
        <f t="shared" si="27"/>
        <v>2022</v>
      </c>
      <c r="S326">
        <f t="shared" si="28"/>
        <v>4</v>
      </c>
      <c r="T326" t="str">
        <f t="shared" si="29"/>
        <v>April</v>
      </c>
    </row>
    <row r="327" spans="1:20" x14ac:dyDescent="0.3">
      <c r="A327" s="3">
        <v>44682</v>
      </c>
      <c r="B327">
        <v>103</v>
      </c>
      <c r="C327" s="3">
        <f>_xlfn.XLOOKUP(B327,Stores!A:A,Stores!E:E)</f>
        <v>43952</v>
      </c>
      <c r="D327">
        <v>207</v>
      </c>
      <c r="E327" s="3">
        <f>_xlfn.XLOOKUP(D327,SalesReps!A:A,SalesReps!D:D)</f>
        <v>44656</v>
      </c>
      <c r="F327" s="3" t="str">
        <f>_xlfn.XLOOKUP(Table1[[#This Row],[RepID]],SalesReps!A:A,SalesReps!E:E)</f>
        <v>Active</v>
      </c>
      <c r="G327">
        <v>315</v>
      </c>
      <c r="H327" t="str">
        <f>_xlfn.XLOOKUP(Table1[[#This Row],[ProductID]],Products!A:A,Products!B:B)</f>
        <v>Toys</v>
      </c>
      <c r="I327" t="str">
        <f>_xlfn.XLOOKUP(Table1[[#This Row],[ProductID]],Products!A:A,Products!C:C)</f>
        <v>Board Games</v>
      </c>
      <c r="J327">
        <v>5</v>
      </c>
      <c r="K327" s="5">
        <f>_xlfn.XLOOKUP(Table1[[#This Row],[ProductID]],Products!A:A,Products!E:E)</f>
        <v>247.9</v>
      </c>
      <c r="L327" s="5">
        <v>267.97000000000003</v>
      </c>
      <c r="M327" s="6">
        <v>7.0000000000000007E-2</v>
      </c>
      <c r="N327" t="s">
        <v>9</v>
      </c>
      <c r="O327" s="5">
        <f t="shared" si="25"/>
        <v>249.21210000000002</v>
      </c>
      <c r="P327" s="5">
        <f t="shared" si="26"/>
        <v>1246.0605</v>
      </c>
      <c r="Q327" s="5">
        <f>Table1[[#This Row],[Quantity]]*(Table1[[#This Row],[Saleprice]]-Table1[[#This Row],[Costprice]])</f>
        <v>6.5605000000000757</v>
      </c>
      <c r="R327">
        <f t="shared" si="27"/>
        <v>2022</v>
      </c>
      <c r="S327">
        <f t="shared" si="28"/>
        <v>5</v>
      </c>
      <c r="T327" t="str">
        <f t="shared" si="29"/>
        <v>May</v>
      </c>
    </row>
    <row r="328" spans="1:20" x14ac:dyDescent="0.3">
      <c r="A328" s="3">
        <v>44682</v>
      </c>
      <c r="B328">
        <v>106</v>
      </c>
      <c r="C328" s="3">
        <f>_xlfn.XLOOKUP(B328,Stores!A:A,Stores!E:E)</f>
        <v>43918</v>
      </c>
      <c r="D328">
        <v>212</v>
      </c>
      <c r="E328" s="3">
        <f>_xlfn.XLOOKUP(D328,SalesReps!A:A,SalesReps!D:D)</f>
        <v>44671</v>
      </c>
      <c r="F328" s="3" t="str">
        <f>_xlfn.XLOOKUP(Table1[[#This Row],[RepID]],SalesReps!A:A,SalesReps!E:E)</f>
        <v>Active</v>
      </c>
      <c r="G328">
        <v>313</v>
      </c>
      <c r="H328" t="str">
        <f>_xlfn.XLOOKUP(Table1[[#This Row],[ProductID]],Products!A:A,Products!B:B)</f>
        <v>Clothing</v>
      </c>
      <c r="I328" t="str">
        <f>_xlfn.XLOOKUP(Table1[[#This Row],[ProductID]],Products!A:A,Products!C:C)</f>
        <v>Women</v>
      </c>
      <c r="J328">
        <v>8</v>
      </c>
      <c r="K328" s="5">
        <f>_xlfn.XLOOKUP(Table1[[#This Row],[ProductID]],Products!A:A,Products!E:E)</f>
        <v>104</v>
      </c>
      <c r="L328" s="5">
        <v>134.80000000000001</v>
      </c>
      <c r="M328" s="6">
        <v>0.24</v>
      </c>
      <c r="N328" t="s">
        <v>10</v>
      </c>
      <c r="O328" s="5">
        <f t="shared" si="25"/>
        <v>102.44800000000001</v>
      </c>
      <c r="P328" s="5">
        <f t="shared" si="26"/>
        <v>819.58400000000006</v>
      </c>
      <c r="Q328" s="5">
        <f>Table1[[#This Row],[Quantity]]*(Table1[[#This Row],[Saleprice]]-Table1[[#This Row],[Costprice]])</f>
        <v>-12.41599999999994</v>
      </c>
      <c r="R328">
        <f t="shared" si="27"/>
        <v>2022</v>
      </c>
      <c r="S328">
        <f t="shared" si="28"/>
        <v>5</v>
      </c>
      <c r="T328" t="str">
        <f t="shared" si="29"/>
        <v>May</v>
      </c>
    </row>
    <row r="329" spans="1:20" x14ac:dyDescent="0.3">
      <c r="A329" s="3">
        <v>44683</v>
      </c>
      <c r="B329">
        <v>106</v>
      </c>
      <c r="C329" s="3">
        <f>_xlfn.XLOOKUP(B329,Stores!A:A,Stores!E:E)</f>
        <v>43918</v>
      </c>
      <c r="D329">
        <v>212</v>
      </c>
      <c r="E329" s="3">
        <f>_xlfn.XLOOKUP(D329,SalesReps!A:A,SalesReps!D:D)</f>
        <v>44671</v>
      </c>
      <c r="F329" s="3" t="str">
        <f>_xlfn.XLOOKUP(Table1[[#This Row],[RepID]],SalesReps!A:A,SalesReps!E:E)</f>
        <v>Active</v>
      </c>
      <c r="G329">
        <v>309</v>
      </c>
      <c r="H329" t="str">
        <f>_xlfn.XLOOKUP(Table1[[#This Row],[ProductID]],Products!A:A,Products!B:B)</f>
        <v>Electronics</v>
      </c>
      <c r="I329" t="str">
        <f>_xlfn.XLOOKUP(Table1[[#This Row],[ProductID]],Products!A:A,Products!C:C)</f>
        <v>Laptops</v>
      </c>
      <c r="J329">
        <v>1</v>
      </c>
      <c r="K329" s="5">
        <f>_xlfn.XLOOKUP(Table1[[#This Row],[ProductID]],Products!A:A,Products!E:E)</f>
        <v>229.68</v>
      </c>
      <c r="L329" s="5">
        <v>251.67</v>
      </c>
      <c r="M329" s="6">
        <v>0.12</v>
      </c>
      <c r="N329" t="s">
        <v>10</v>
      </c>
      <c r="O329" s="5">
        <f t="shared" si="25"/>
        <v>221.46959999999999</v>
      </c>
      <c r="P329" s="5">
        <f t="shared" si="26"/>
        <v>221.46959999999999</v>
      </c>
      <c r="Q329" s="5">
        <f>Table1[[#This Row],[Quantity]]*(Table1[[#This Row],[Saleprice]]-Table1[[#This Row],[Costprice]])</f>
        <v>-8.2104000000000212</v>
      </c>
      <c r="R329">
        <f t="shared" si="27"/>
        <v>2022</v>
      </c>
      <c r="S329">
        <f t="shared" si="28"/>
        <v>5</v>
      </c>
      <c r="T329" t="str">
        <f t="shared" si="29"/>
        <v>May</v>
      </c>
    </row>
    <row r="330" spans="1:20" x14ac:dyDescent="0.3">
      <c r="A330" s="3">
        <v>44683</v>
      </c>
      <c r="B330">
        <v>103</v>
      </c>
      <c r="C330" s="3">
        <f>_xlfn.XLOOKUP(B330,Stores!A:A,Stores!E:E)</f>
        <v>43952</v>
      </c>
      <c r="D330">
        <v>207</v>
      </c>
      <c r="E330" s="3">
        <f>_xlfn.XLOOKUP(D330,SalesReps!A:A,SalesReps!D:D)</f>
        <v>44656</v>
      </c>
      <c r="F330" s="3" t="str">
        <f>_xlfn.XLOOKUP(Table1[[#This Row],[RepID]],SalesReps!A:A,SalesReps!E:E)</f>
        <v>Active</v>
      </c>
      <c r="G330">
        <v>319</v>
      </c>
      <c r="H330" t="str">
        <f>_xlfn.XLOOKUP(Table1[[#This Row],[ProductID]],Products!A:A,Products!B:B)</f>
        <v>Toys</v>
      </c>
      <c r="I330" t="str">
        <f>_xlfn.XLOOKUP(Table1[[#This Row],[ProductID]],Products!A:A,Products!C:C)</f>
        <v>Board Games</v>
      </c>
      <c r="J330">
        <v>6</v>
      </c>
      <c r="K330" s="5">
        <f>_xlfn.XLOOKUP(Table1[[#This Row],[ProductID]],Products!A:A,Products!E:E)</f>
        <v>81.069999999999993</v>
      </c>
      <c r="L330" s="5">
        <v>176.97</v>
      </c>
      <c r="M330" s="6">
        <v>0.19</v>
      </c>
      <c r="N330" t="s">
        <v>9</v>
      </c>
      <c r="O330" s="5">
        <f t="shared" si="25"/>
        <v>143.34570000000002</v>
      </c>
      <c r="P330" s="5">
        <f t="shared" si="26"/>
        <v>860.07420000000013</v>
      </c>
      <c r="Q330" s="5">
        <f>Table1[[#This Row],[Quantity]]*(Table1[[#This Row],[Saleprice]]-Table1[[#This Row],[Costprice]])</f>
        <v>373.65420000000017</v>
      </c>
      <c r="R330">
        <f t="shared" si="27"/>
        <v>2022</v>
      </c>
      <c r="S330">
        <f t="shared" si="28"/>
        <v>5</v>
      </c>
      <c r="T330" t="str">
        <f t="shared" si="29"/>
        <v>May</v>
      </c>
    </row>
    <row r="331" spans="1:20" x14ac:dyDescent="0.3">
      <c r="A331" s="3">
        <v>44683</v>
      </c>
      <c r="B331">
        <v>103</v>
      </c>
      <c r="C331" s="3">
        <f>_xlfn.XLOOKUP(B331,Stores!A:A,Stores!E:E)</f>
        <v>43952</v>
      </c>
      <c r="D331">
        <v>207</v>
      </c>
      <c r="E331" s="3">
        <f>_xlfn.XLOOKUP(D331,SalesReps!A:A,SalesReps!D:D)</f>
        <v>44656</v>
      </c>
      <c r="F331" s="3" t="str">
        <f>_xlfn.XLOOKUP(Table1[[#This Row],[RepID]],SalesReps!A:A,SalesReps!E:E)</f>
        <v>Active</v>
      </c>
      <c r="G331">
        <v>312</v>
      </c>
      <c r="H331" t="str">
        <f>_xlfn.XLOOKUP(Table1[[#This Row],[ProductID]],Products!A:A,Products!B:B)</f>
        <v>Toys</v>
      </c>
      <c r="I331" t="str">
        <f>_xlfn.XLOOKUP(Table1[[#This Row],[ProductID]],Products!A:A,Products!C:C)</f>
        <v>Board Games</v>
      </c>
      <c r="J331">
        <v>1</v>
      </c>
      <c r="K331" s="5">
        <f>_xlfn.XLOOKUP(Table1[[#This Row],[ProductID]],Products!A:A,Products!E:E)</f>
        <v>100.05</v>
      </c>
      <c r="L331" s="5">
        <v>144.93</v>
      </c>
      <c r="M331" s="6">
        <v>0.1</v>
      </c>
      <c r="N331" t="s">
        <v>9</v>
      </c>
      <c r="O331" s="5">
        <f t="shared" si="25"/>
        <v>130.43700000000001</v>
      </c>
      <c r="P331" s="5">
        <f t="shared" si="26"/>
        <v>130.43700000000001</v>
      </c>
      <c r="Q331" s="5">
        <f>Table1[[#This Row],[Quantity]]*(Table1[[#This Row],[Saleprice]]-Table1[[#This Row],[Costprice]])</f>
        <v>30.387000000000015</v>
      </c>
      <c r="R331">
        <f t="shared" si="27"/>
        <v>2022</v>
      </c>
      <c r="S331">
        <f t="shared" si="28"/>
        <v>5</v>
      </c>
      <c r="T331" t="str">
        <f t="shared" si="29"/>
        <v>May</v>
      </c>
    </row>
    <row r="332" spans="1:20" x14ac:dyDescent="0.3">
      <c r="A332" s="3">
        <v>44683</v>
      </c>
      <c r="B332">
        <v>105</v>
      </c>
      <c r="C332" s="3">
        <f>_xlfn.XLOOKUP(B332,Stores!A:A,Stores!E:E)</f>
        <v>44161</v>
      </c>
      <c r="D332">
        <v>216</v>
      </c>
      <c r="E332" s="3">
        <f>_xlfn.XLOOKUP(D332,SalesReps!A:A,SalesReps!D:D)</f>
        <v>44672</v>
      </c>
      <c r="F332" s="3" t="str">
        <f>_xlfn.XLOOKUP(Table1[[#This Row],[RepID]],SalesReps!A:A,SalesReps!E:E)</f>
        <v>Left</v>
      </c>
      <c r="G332">
        <v>302</v>
      </c>
      <c r="H332" t="str">
        <f>_xlfn.XLOOKUP(Table1[[#This Row],[ProductID]],Products!A:A,Products!B:B)</f>
        <v>Toys</v>
      </c>
      <c r="I332" t="str">
        <f>_xlfn.XLOOKUP(Table1[[#This Row],[ProductID]],Products!A:A,Products!C:C)</f>
        <v>Outdoor</v>
      </c>
      <c r="J332">
        <v>3</v>
      </c>
      <c r="K332" s="5">
        <f>_xlfn.XLOOKUP(Table1[[#This Row],[ProductID]],Products!A:A,Products!E:E)</f>
        <v>393.46</v>
      </c>
      <c r="L332" s="5">
        <v>466.04</v>
      </c>
      <c r="M332" s="6">
        <v>0.21</v>
      </c>
      <c r="N332" t="s">
        <v>10</v>
      </c>
      <c r="O332" s="5">
        <f t="shared" si="25"/>
        <v>368.17160000000001</v>
      </c>
      <c r="P332" s="5">
        <f t="shared" si="26"/>
        <v>1104.5147999999999</v>
      </c>
      <c r="Q332" s="5">
        <f>Table1[[#This Row],[Quantity]]*(Table1[[#This Row],[Saleprice]]-Table1[[#This Row],[Costprice]])</f>
        <v>-75.865199999999902</v>
      </c>
      <c r="R332">
        <f t="shared" si="27"/>
        <v>2022</v>
      </c>
      <c r="S332">
        <f t="shared" si="28"/>
        <v>5</v>
      </c>
      <c r="T332" t="str">
        <f t="shared" si="29"/>
        <v>May</v>
      </c>
    </row>
    <row r="333" spans="1:20" x14ac:dyDescent="0.3">
      <c r="A333" s="3">
        <v>44684</v>
      </c>
      <c r="B333">
        <v>105</v>
      </c>
      <c r="C333" s="3">
        <f>_xlfn.XLOOKUP(B333,Stores!A:A,Stores!E:E)</f>
        <v>44161</v>
      </c>
      <c r="D333">
        <v>216</v>
      </c>
      <c r="E333" s="3">
        <f>_xlfn.XLOOKUP(D333,SalesReps!A:A,SalesReps!D:D)</f>
        <v>44672</v>
      </c>
      <c r="F333" s="3" t="str">
        <f>_xlfn.XLOOKUP(Table1[[#This Row],[RepID]],SalesReps!A:A,SalesReps!E:E)</f>
        <v>Left</v>
      </c>
      <c r="G333">
        <v>308</v>
      </c>
      <c r="H333" t="str">
        <f>_xlfn.XLOOKUP(Table1[[#This Row],[ProductID]],Products!A:A,Products!B:B)</f>
        <v>Home &amp; Kitchen</v>
      </c>
      <c r="I333" t="str">
        <f>_xlfn.XLOOKUP(Table1[[#This Row],[ProductID]],Products!A:A,Products!C:C)</f>
        <v>Furniture</v>
      </c>
      <c r="J333">
        <v>5</v>
      </c>
      <c r="K333" s="5">
        <f>_xlfn.XLOOKUP(Table1[[#This Row],[ProductID]],Products!A:A,Products!E:E)</f>
        <v>377.46</v>
      </c>
      <c r="L333" s="5">
        <v>408.95</v>
      </c>
      <c r="M333" s="6">
        <v>0.19</v>
      </c>
      <c r="N333" t="s">
        <v>10</v>
      </c>
      <c r="O333" s="5">
        <f t="shared" si="25"/>
        <v>331.24950000000001</v>
      </c>
      <c r="P333" s="5">
        <f t="shared" si="26"/>
        <v>1656.2474999999999</v>
      </c>
      <c r="Q333" s="5">
        <f>Table1[[#This Row],[Quantity]]*(Table1[[#This Row],[Saleprice]]-Table1[[#This Row],[Costprice]])</f>
        <v>-231.05249999999984</v>
      </c>
      <c r="R333">
        <f t="shared" si="27"/>
        <v>2022</v>
      </c>
      <c r="S333">
        <f t="shared" si="28"/>
        <v>5</v>
      </c>
      <c r="T333" t="str">
        <f t="shared" si="29"/>
        <v>May</v>
      </c>
    </row>
    <row r="334" spans="1:20" x14ac:dyDescent="0.3">
      <c r="A334" s="3">
        <v>44684</v>
      </c>
      <c r="B334">
        <v>105</v>
      </c>
      <c r="C334" s="3">
        <f>_xlfn.XLOOKUP(B334,Stores!A:A,Stores!E:E)</f>
        <v>44161</v>
      </c>
      <c r="D334">
        <v>216</v>
      </c>
      <c r="E334" s="3">
        <f>_xlfn.XLOOKUP(D334,SalesReps!A:A,SalesReps!D:D)</f>
        <v>44672</v>
      </c>
      <c r="F334" s="3" t="str">
        <f>_xlfn.XLOOKUP(Table1[[#This Row],[RepID]],SalesReps!A:A,SalesReps!E:E)</f>
        <v>Left</v>
      </c>
      <c r="G334">
        <v>306</v>
      </c>
      <c r="H334" t="str">
        <f>_xlfn.XLOOKUP(Table1[[#This Row],[ProductID]],Products!A:A,Products!B:B)</f>
        <v>Clothing</v>
      </c>
      <c r="I334" t="str">
        <f>_xlfn.XLOOKUP(Table1[[#This Row],[ProductID]],Products!A:A,Products!C:C)</f>
        <v>Men</v>
      </c>
      <c r="J334">
        <v>2</v>
      </c>
      <c r="K334" s="5">
        <f>_xlfn.XLOOKUP(Table1[[#This Row],[ProductID]],Products!A:A,Products!E:E)</f>
        <v>185.69</v>
      </c>
      <c r="L334" s="5">
        <v>243.21</v>
      </c>
      <c r="M334" s="6">
        <v>0.17</v>
      </c>
      <c r="N334" t="s">
        <v>10</v>
      </c>
      <c r="O334" s="5">
        <f t="shared" si="25"/>
        <v>201.86429999999999</v>
      </c>
      <c r="P334" s="5">
        <f t="shared" si="26"/>
        <v>403.72859999999997</v>
      </c>
      <c r="Q334" s="5">
        <f>Table1[[#This Row],[Quantity]]*(Table1[[#This Row],[Saleprice]]-Table1[[#This Row],[Costprice]])</f>
        <v>32.348599999999976</v>
      </c>
      <c r="R334">
        <f t="shared" si="27"/>
        <v>2022</v>
      </c>
      <c r="S334">
        <f t="shared" si="28"/>
        <v>5</v>
      </c>
      <c r="T334" t="str">
        <f t="shared" si="29"/>
        <v>May</v>
      </c>
    </row>
    <row r="335" spans="1:20" x14ac:dyDescent="0.3">
      <c r="A335" s="3">
        <v>44684</v>
      </c>
      <c r="B335">
        <v>104</v>
      </c>
      <c r="C335" s="3">
        <f>_xlfn.XLOOKUP(B335,Stores!A:A,Stores!E:E)</f>
        <v>44297</v>
      </c>
      <c r="D335">
        <v>202</v>
      </c>
      <c r="E335" s="3">
        <f>_xlfn.XLOOKUP(D335,SalesReps!A:A,SalesReps!D:D)</f>
        <v>44610</v>
      </c>
      <c r="F335" s="3" t="str">
        <f>_xlfn.XLOOKUP(Table1[[#This Row],[RepID]],SalesReps!A:A,SalesReps!E:E)</f>
        <v>Active</v>
      </c>
      <c r="G335">
        <v>308</v>
      </c>
      <c r="H335" t="str">
        <f>_xlfn.XLOOKUP(Table1[[#This Row],[ProductID]],Products!A:A,Products!B:B)</f>
        <v>Home &amp; Kitchen</v>
      </c>
      <c r="I335" t="str">
        <f>_xlfn.XLOOKUP(Table1[[#This Row],[ProductID]],Products!A:A,Products!C:C)</f>
        <v>Furniture</v>
      </c>
      <c r="J335">
        <v>7</v>
      </c>
      <c r="K335" s="5">
        <f>_xlfn.XLOOKUP(Table1[[#This Row],[ProductID]],Products!A:A,Products!E:E)</f>
        <v>377.46</v>
      </c>
      <c r="L335" s="5">
        <v>466.31</v>
      </c>
      <c r="M335" s="6">
        <v>0.09</v>
      </c>
      <c r="N335" t="s">
        <v>10</v>
      </c>
      <c r="O335" s="5">
        <f t="shared" si="25"/>
        <v>424.34210000000002</v>
      </c>
      <c r="P335" s="5">
        <f t="shared" si="26"/>
        <v>2970.3947000000003</v>
      </c>
      <c r="Q335" s="5">
        <f>Table1[[#This Row],[Quantity]]*(Table1[[#This Row],[Saleprice]]-Table1[[#This Row],[Costprice]])</f>
        <v>328.17470000000026</v>
      </c>
      <c r="R335">
        <f t="shared" si="27"/>
        <v>2022</v>
      </c>
      <c r="S335">
        <f t="shared" si="28"/>
        <v>5</v>
      </c>
      <c r="T335" t="str">
        <f t="shared" si="29"/>
        <v>May</v>
      </c>
    </row>
    <row r="336" spans="1:20" x14ac:dyDescent="0.3">
      <c r="A336" s="3">
        <v>44684</v>
      </c>
      <c r="B336">
        <v>103</v>
      </c>
      <c r="C336" s="3">
        <f>_xlfn.XLOOKUP(B336,Stores!A:A,Stores!E:E)</f>
        <v>43952</v>
      </c>
      <c r="D336">
        <v>207</v>
      </c>
      <c r="E336" s="3">
        <f>_xlfn.XLOOKUP(D336,SalesReps!A:A,SalesReps!D:D)</f>
        <v>44656</v>
      </c>
      <c r="F336" s="3" t="str">
        <f>_xlfn.XLOOKUP(Table1[[#This Row],[RepID]],SalesReps!A:A,SalesReps!E:E)</f>
        <v>Active</v>
      </c>
      <c r="G336">
        <v>318</v>
      </c>
      <c r="H336" t="str">
        <f>_xlfn.XLOOKUP(Table1[[#This Row],[ProductID]],Products!A:A,Products!B:B)</f>
        <v>Electronics</v>
      </c>
      <c r="I336" t="str">
        <f>_xlfn.XLOOKUP(Table1[[#This Row],[ProductID]],Products!A:A,Products!C:C)</f>
        <v>Mobiles</v>
      </c>
      <c r="J336">
        <v>4</v>
      </c>
      <c r="K336" s="5">
        <f>_xlfn.XLOOKUP(Table1[[#This Row],[ProductID]],Products!A:A,Products!E:E)</f>
        <v>162.51</v>
      </c>
      <c r="L336" s="5">
        <v>237.02</v>
      </c>
      <c r="M336" s="6">
        <v>0.08</v>
      </c>
      <c r="N336" t="s">
        <v>9</v>
      </c>
      <c r="O336" s="5">
        <f t="shared" si="25"/>
        <v>218.05840000000001</v>
      </c>
      <c r="P336" s="5">
        <f t="shared" si="26"/>
        <v>872.23360000000002</v>
      </c>
      <c r="Q336" s="5">
        <f>Table1[[#This Row],[Quantity]]*(Table1[[#This Row],[Saleprice]]-Table1[[#This Row],[Costprice]])</f>
        <v>222.19360000000006</v>
      </c>
      <c r="R336">
        <f t="shared" si="27"/>
        <v>2022</v>
      </c>
      <c r="S336">
        <f t="shared" si="28"/>
        <v>5</v>
      </c>
      <c r="T336" t="str">
        <f t="shared" si="29"/>
        <v>May</v>
      </c>
    </row>
    <row r="337" spans="1:20" x14ac:dyDescent="0.3">
      <c r="A337" s="3">
        <v>44684</v>
      </c>
      <c r="B337">
        <v>109</v>
      </c>
      <c r="C337" s="3">
        <f>_xlfn.XLOOKUP(B337,Stores!A:A,Stores!E:E)</f>
        <v>44600</v>
      </c>
      <c r="D337">
        <v>204</v>
      </c>
      <c r="E337" s="3">
        <f>_xlfn.XLOOKUP(D337,SalesReps!A:A,SalesReps!D:D)</f>
        <v>44388</v>
      </c>
      <c r="F337" s="3" t="str">
        <f>_xlfn.XLOOKUP(Table1[[#This Row],[RepID]],SalesReps!A:A,SalesReps!E:E)</f>
        <v>Active</v>
      </c>
      <c r="G337">
        <v>316</v>
      </c>
      <c r="H337" t="str">
        <f>_xlfn.XLOOKUP(Table1[[#This Row],[ProductID]],Products!A:A,Products!B:B)</f>
        <v>Home &amp; Kitchen</v>
      </c>
      <c r="I337" t="str">
        <f>_xlfn.XLOOKUP(Table1[[#This Row],[ProductID]],Products!A:A,Products!C:C)</f>
        <v>Furniture</v>
      </c>
      <c r="J337">
        <v>2</v>
      </c>
      <c r="K337" s="5">
        <f>_xlfn.XLOOKUP(Table1[[#This Row],[ProductID]],Products!A:A,Products!E:E)</f>
        <v>334.95</v>
      </c>
      <c r="L337" s="5">
        <v>417.01</v>
      </c>
      <c r="M337" s="6">
        <v>0.21</v>
      </c>
      <c r="N337" t="s">
        <v>11</v>
      </c>
      <c r="O337" s="5">
        <f t="shared" si="25"/>
        <v>329.43790000000001</v>
      </c>
      <c r="P337" s="5">
        <f t="shared" si="26"/>
        <v>658.87580000000003</v>
      </c>
      <c r="Q337" s="5">
        <f>Table1[[#This Row],[Quantity]]*(Table1[[#This Row],[Saleprice]]-Table1[[#This Row],[Costprice]])</f>
        <v>-11.024199999999951</v>
      </c>
      <c r="R337">
        <f t="shared" si="27"/>
        <v>2022</v>
      </c>
      <c r="S337">
        <f t="shared" si="28"/>
        <v>5</v>
      </c>
      <c r="T337" t="str">
        <f t="shared" si="29"/>
        <v>May</v>
      </c>
    </row>
    <row r="338" spans="1:20" x14ac:dyDescent="0.3">
      <c r="A338" s="3">
        <v>44684</v>
      </c>
      <c r="B338">
        <v>105</v>
      </c>
      <c r="C338" s="3">
        <f>_xlfn.XLOOKUP(B338,Stores!A:A,Stores!E:E)</f>
        <v>44161</v>
      </c>
      <c r="D338">
        <v>216</v>
      </c>
      <c r="E338" s="3">
        <f>_xlfn.XLOOKUP(D338,SalesReps!A:A,SalesReps!D:D)</f>
        <v>44672</v>
      </c>
      <c r="F338" s="3" t="str">
        <f>_xlfn.XLOOKUP(Table1[[#This Row],[RepID]],SalesReps!A:A,SalesReps!E:E)</f>
        <v>Left</v>
      </c>
      <c r="G338">
        <v>315</v>
      </c>
      <c r="H338" t="str">
        <f>_xlfn.XLOOKUP(Table1[[#This Row],[ProductID]],Products!A:A,Products!B:B)</f>
        <v>Toys</v>
      </c>
      <c r="I338" t="str">
        <f>_xlfn.XLOOKUP(Table1[[#This Row],[ProductID]],Products!A:A,Products!C:C)</f>
        <v>Board Games</v>
      </c>
      <c r="J338">
        <v>2</v>
      </c>
      <c r="K338" s="5">
        <f>_xlfn.XLOOKUP(Table1[[#This Row],[ProductID]],Products!A:A,Products!E:E)</f>
        <v>247.9</v>
      </c>
      <c r="L338" s="5">
        <v>261.83999999999997</v>
      </c>
      <c r="M338" s="6">
        <v>0.11</v>
      </c>
      <c r="N338" t="s">
        <v>10</v>
      </c>
      <c r="O338" s="5">
        <f t="shared" si="25"/>
        <v>233.03759999999997</v>
      </c>
      <c r="P338" s="5">
        <f t="shared" si="26"/>
        <v>466.07519999999994</v>
      </c>
      <c r="Q338" s="5">
        <f>Table1[[#This Row],[Quantity]]*(Table1[[#This Row],[Saleprice]]-Table1[[#This Row],[Costprice]])</f>
        <v>-29.724800000000073</v>
      </c>
      <c r="R338">
        <f t="shared" si="27"/>
        <v>2022</v>
      </c>
      <c r="S338">
        <f t="shared" si="28"/>
        <v>5</v>
      </c>
      <c r="T338" t="str">
        <f t="shared" si="29"/>
        <v>May</v>
      </c>
    </row>
    <row r="339" spans="1:20" x14ac:dyDescent="0.3">
      <c r="A339" s="3">
        <v>44685</v>
      </c>
      <c r="B339">
        <v>109</v>
      </c>
      <c r="C339" s="3">
        <f>_xlfn.XLOOKUP(B339,Stores!A:A,Stores!E:E)</f>
        <v>44600</v>
      </c>
      <c r="D339">
        <v>204</v>
      </c>
      <c r="E339" s="3">
        <f>_xlfn.XLOOKUP(D339,SalesReps!A:A,SalesReps!D:D)</f>
        <v>44388</v>
      </c>
      <c r="F339" s="3" t="str">
        <f>_xlfn.XLOOKUP(Table1[[#This Row],[RepID]],SalesReps!A:A,SalesReps!E:E)</f>
        <v>Active</v>
      </c>
      <c r="G339">
        <v>305</v>
      </c>
      <c r="H339" t="str">
        <f>_xlfn.XLOOKUP(Table1[[#This Row],[ProductID]],Products!A:A,Products!B:B)</f>
        <v>Electronics</v>
      </c>
      <c r="I339" t="str">
        <f>_xlfn.XLOOKUP(Table1[[#This Row],[ProductID]],Products!A:A,Products!C:C)</f>
        <v>Accessories</v>
      </c>
      <c r="J339">
        <v>1</v>
      </c>
      <c r="K339" s="5">
        <f>_xlfn.XLOOKUP(Table1[[#This Row],[ProductID]],Products!A:A,Products!E:E)</f>
        <v>275.32</v>
      </c>
      <c r="L339" s="5">
        <v>347.99</v>
      </c>
      <c r="M339" s="6">
        <v>0.08</v>
      </c>
      <c r="N339" t="s">
        <v>11</v>
      </c>
      <c r="O339" s="5">
        <f t="shared" si="25"/>
        <v>320.1508</v>
      </c>
      <c r="P339" s="5">
        <f t="shared" si="26"/>
        <v>320.1508</v>
      </c>
      <c r="Q339" s="5">
        <f>Table1[[#This Row],[Quantity]]*(Table1[[#This Row],[Saleprice]]-Table1[[#This Row],[Costprice]])</f>
        <v>44.830800000000011</v>
      </c>
      <c r="R339">
        <f t="shared" si="27"/>
        <v>2022</v>
      </c>
      <c r="S339">
        <f t="shared" si="28"/>
        <v>5</v>
      </c>
      <c r="T339" t="str">
        <f t="shared" si="29"/>
        <v>May</v>
      </c>
    </row>
    <row r="340" spans="1:20" x14ac:dyDescent="0.3">
      <c r="A340" s="3">
        <v>44685</v>
      </c>
      <c r="B340">
        <v>103</v>
      </c>
      <c r="C340" s="3">
        <f>_xlfn.XLOOKUP(B340,Stores!A:A,Stores!E:E)</f>
        <v>43952</v>
      </c>
      <c r="D340">
        <v>207</v>
      </c>
      <c r="E340" s="3">
        <f>_xlfn.XLOOKUP(D340,SalesReps!A:A,SalesReps!D:D)</f>
        <v>44656</v>
      </c>
      <c r="F340" s="3" t="str">
        <f>_xlfn.XLOOKUP(Table1[[#This Row],[RepID]],SalesReps!A:A,SalesReps!E:E)</f>
        <v>Active</v>
      </c>
      <c r="G340">
        <v>310</v>
      </c>
      <c r="H340" t="str">
        <f>_xlfn.XLOOKUP(Table1[[#This Row],[ProductID]],Products!A:A,Products!B:B)</f>
        <v>Home &amp; Kitchen</v>
      </c>
      <c r="I340" t="str">
        <f>_xlfn.XLOOKUP(Table1[[#This Row],[ProductID]],Products!A:A,Products!C:C)</f>
        <v>Furniture</v>
      </c>
      <c r="J340">
        <v>4</v>
      </c>
      <c r="K340" s="5">
        <f>_xlfn.XLOOKUP(Table1[[#This Row],[ProductID]],Products!A:A,Products!E:E)</f>
        <v>160.31</v>
      </c>
      <c r="L340" s="5">
        <v>198.57</v>
      </c>
      <c r="M340" s="6">
        <v>0.18</v>
      </c>
      <c r="N340" t="s">
        <v>9</v>
      </c>
      <c r="O340" s="5">
        <f t="shared" si="25"/>
        <v>162.82740000000001</v>
      </c>
      <c r="P340" s="5">
        <f t="shared" si="26"/>
        <v>651.30960000000005</v>
      </c>
      <c r="Q340" s="5">
        <f>Table1[[#This Row],[Quantity]]*(Table1[[#This Row],[Saleprice]]-Table1[[#This Row],[Costprice]])</f>
        <v>10.069600000000037</v>
      </c>
      <c r="R340">
        <f t="shared" si="27"/>
        <v>2022</v>
      </c>
      <c r="S340">
        <f t="shared" si="28"/>
        <v>5</v>
      </c>
      <c r="T340" t="str">
        <f t="shared" si="29"/>
        <v>May</v>
      </c>
    </row>
    <row r="341" spans="1:20" x14ac:dyDescent="0.3">
      <c r="A341" s="3">
        <v>44685</v>
      </c>
      <c r="B341">
        <v>105</v>
      </c>
      <c r="C341" s="3">
        <f>_xlfn.XLOOKUP(B341,Stores!A:A,Stores!E:E)</f>
        <v>44161</v>
      </c>
      <c r="D341">
        <v>216</v>
      </c>
      <c r="E341" s="3">
        <f>_xlfn.XLOOKUP(D341,SalesReps!A:A,SalesReps!D:D)</f>
        <v>44672</v>
      </c>
      <c r="F341" s="3" t="str">
        <f>_xlfn.XLOOKUP(Table1[[#This Row],[RepID]],SalesReps!A:A,SalesReps!E:E)</f>
        <v>Left</v>
      </c>
      <c r="G341">
        <v>314</v>
      </c>
      <c r="H341" t="str">
        <f>_xlfn.XLOOKUP(Table1[[#This Row],[ProductID]],Products!A:A,Products!B:B)</f>
        <v>Clothing</v>
      </c>
      <c r="I341" t="str">
        <f>_xlfn.XLOOKUP(Table1[[#This Row],[ProductID]],Products!A:A,Products!C:C)</f>
        <v>Kids</v>
      </c>
      <c r="J341">
        <v>8</v>
      </c>
      <c r="K341" s="5">
        <f>_xlfn.XLOOKUP(Table1[[#This Row],[ProductID]],Products!A:A,Products!E:E)</f>
        <v>276.47000000000003</v>
      </c>
      <c r="L341" s="5">
        <v>322.16000000000003</v>
      </c>
      <c r="M341" s="6">
        <v>0.19</v>
      </c>
      <c r="N341" t="s">
        <v>10</v>
      </c>
      <c r="O341" s="5">
        <f t="shared" si="25"/>
        <v>260.94960000000003</v>
      </c>
      <c r="P341" s="5">
        <f t="shared" si="26"/>
        <v>2087.5968000000003</v>
      </c>
      <c r="Q341" s="5">
        <f>Table1[[#This Row],[Quantity]]*(Table1[[#This Row],[Saleprice]]-Table1[[#This Row],[Costprice]])</f>
        <v>-124.16319999999996</v>
      </c>
      <c r="R341">
        <f t="shared" si="27"/>
        <v>2022</v>
      </c>
      <c r="S341">
        <f t="shared" si="28"/>
        <v>5</v>
      </c>
      <c r="T341" t="str">
        <f t="shared" si="29"/>
        <v>May</v>
      </c>
    </row>
    <row r="342" spans="1:20" x14ac:dyDescent="0.3">
      <c r="A342" s="3">
        <v>44685</v>
      </c>
      <c r="B342">
        <v>104</v>
      </c>
      <c r="C342" s="3">
        <f>_xlfn.XLOOKUP(B342,Stores!A:A,Stores!E:E)</f>
        <v>44297</v>
      </c>
      <c r="D342">
        <v>202</v>
      </c>
      <c r="E342" s="3">
        <f>_xlfn.XLOOKUP(D342,SalesReps!A:A,SalesReps!D:D)</f>
        <v>44610</v>
      </c>
      <c r="F342" s="3" t="str">
        <f>_xlfn.XLOOKUP(Table1[[#This Row],[RepID]],SalesReps!A:A,SalesReps!E:E)</f>
        <v>Active</v>
      </c>
      <c r="G342">
        <v>310</v>
      </c>
      <c r="H342" t="str">
        <f>_xlfn.XLOOKUP(Table1[[#This Row],[ProductID]],Products!A:A,Products!B:B)</f>
        <v>Home &amp; Kitchen</v>
      </c>
      <c r="I342" t="str">
        <f>_xlfn.XLOOKUP(Table1[[#This Row],[ProductID]],Products!A:A,Products!C:C)</f>
        <v>Furniture</v>
      </c>
      <c r="J342">
        <v>2</v>
      </c>
      <c r="K342" s="5">
        <f>_xlfn.XLOOKUP(Table1[[#This Row],[ProductID]],Products!A:A,Products!E:E)</f>
        <v>160.31</v>
      </c>
      <c r="L342" s="5">
        <v>228.86</v>
      </c>
      <c r="M342" s="6">
        <v>0.22</v>
      </c>
      <c r="N342" t="s">
        <v>10</v>
      </c>
      <c r="O342" s="5">
        <f t="shared" si="25"/>
        <v>178.51080000000002</v>
      </c>
      <c r="P342" s="5">
        <f t="shared" si="26"/>
        <v>357.02160000000003</v>
      </c>
      <c r="Q342" s="5">
        <f>Table1[[#This Row],[Quantity]]*(Table1[[#This Row],[Saleprice]]-Table1[[#This Row],[Costprice]])</f>
        <v>36.40160000000003</v>
      </c>
      <c r="R342">
        <f t="shared" si="27"/>
        <v>2022</v>
      </c>
      <c r="S342">
        <f t="shared" si="28"/>
        <v>5</v>
      </c>
      <c r="T342" t="str">
        <f t="shared" si="29"/>
        <v>May</v>
      </c>
    </row>
    <row r="343" spans="1:20" x14ac:dyDescent="0.3">
      <c r="A343" s="3">
        <v>44685</v>
      </c>
      <c r="B343">
        <v>105</v>
      </c>
      <c r="C343" s="3">
        <f>_xlfn.XLOOKUP(B343,Stores!A:A,Stores!E:E)</f>
        <v>44161</v>
      </c>
      <c r="D343">
        <v>216</v>
      </c>
      <c r="E343" s="3">
        <f>_xlfn.XLOOKUP(D343,SalesReps!A:A,SalesReps!D:D)</f>
        <v>44672</v>
      </c>
      <c r="F343" s="3" t="str">
        <f>_xlfn.XLOOKUP(Table1[[#This Row],[RepID]],SalesReps!A:A,SalesReps!E:E)</f>
        <v>Left</v>
      </c>
      <c r="G343">
        <v>313</v>
      </c>
      <c r="H343" t="str">
        <f>_xlfn.XLOOKUP(Table1[[#This Row],[ProductID]],Products!A:A,Products!B:B)</f>
        <v>Clothing</v>
      </c>
      <c r="I343" t="str">
        <f>_xlfn.XLOOKUP(Table1[[#This Row],[ProductID]],Products!A:A,Products!C:C)</f>
        <v>Women</v>
      </c>
      <c r="J343">
        <v>6</v>
      </c>
      <c r="K343" s="5">
        <f>_xlfn.XLOOKUP(Table1[[#This Row],[ProductID]],Products!A:A,Products!E:E)</f>
        <v>104</v>
      </c>
      <c r="L343" s="5">
        <v>140.03</v>
      </c>
      <c r="M343" s="6">
        <v>0.22</v>
      </c>
      <c r="N343" t="s">
        <v>10</v>
      </c>
      <c r="O343" s="5">
        <f t="shared" si="25"/>
        <v>109.2234</v>
      </c>
      <c r="P343" s="5">
        <f t="shared" si="26"/>
        <v>655.34040000000005</v>
      </c>
      <c r="Q343" s="5">
        <f>Table1[[#This Row],[Quantity]]*(Table1[[#This Row],[Saleprice]]-Table1[[#This Row],[Costprice]])</f>
        <v>31.340399999999988</v>
      </c>
      <c r="R343">
        <f t="shared" si="27"/>
        <v>2022</v>
      </c>
      <c r="S343">
        <f t="shared" si="28"/>
        <v>5</v>
      </c>
      <c r="T343" t="str">
        <f t="shared" si="29"/>
        <v>May</v>
      </c>
    </row>
    <row r="344" spans="1:20" x14ac:dyDescent="0.3">
      <c r="A344" s="3">
        <v>44686</v>
      </c>
      <c r="B344">
        <v>109</v>
      </c>
      <c r="C344" s="3">
        <f>_xlfn.XLOOKUP(B344,Stores!A:A,Stores!E:E)</f>
        <v>44600</v>
      </c>
      <c r="D344">
        <v>204</v>
      </c>
      <c r="E344" s="3">
        <f>_xlfn.XLOOKUP(D344,SalesReps!A:A,SalesReps!D:D)</f>
        <v>44388</v>
      </c>
      <c r="F344" s="3" t="str">
        <f>_xlfn.XLOOKUP(Table1[[#This Row],[RepID]],SalesReps!A:A,SalesReps!E:E)</f>
        <v>Active</v>
      </c>
      <c r="G344">
        <v>304</v>
      </c>
      <c r="H344" t="str">
        <f>_xlfn.XLOOKUP(Table1[[#This Row],[ProductID]],Products!A:A,Products!B:B)</f>
        <v>Home &amp; Kitchen</v>
      </c>
      <c r="I344" t="str">
        <f>_xlfn.XLOOKUP(Table1[[#This Row],[ProductID]],Products!A:A,Products!C:C)</f>
        <v>Furniture</v>
      </c>
      <c r="J344">
        <v>7</v>
      </c>
      <c r="K344" s="5">
        <f>_xlfn.XLOOKUP(Table1[[#This Row],[ProductID]],Products!A:A,Products!E:E)</f>
        <v>345.38</v>
      </c>
      <c r="L344" s="5">
        <v>436.53</v>
      </c>
      <c r="M344" s="6">
        <v>0.1</v>
      </c>
      <c r="N344" t="s">
        <v>11</v>
      </c>
      <c r="O344" s="5">
        <f t="shared" si="25"/>
        <v>392.87700000000001</v>
      </c>
      <c r="P344" s="5">
        <f t="shared" si="26"/>
        <v>2750.1390000000001</v>
      </c>
      <c r="Q344" s="5">
        <f>Table1[[#This Row],[Quantity]]*(Table1[[#This Row],[Saleprice]]-Table1[[#This Row],[Costprice]])</f>
        <v>332.4790000000001</v>
      </c>
      <c r="R344">
        <f t="shared" si="27"/>
        <v>2022</v>
      </c>
      <c r="S344">
        <f t="shared" si="28"/>
        <v>5</v>
      </c>
      <c r="T344" t="str">
        <f t="shared" si="29"/>
        <v>May</v>
      </c>
    </row>
    <row r="345" spans="1:20" x14ac:dyDescent="0.3">
      <c r="A345" s="3">
        <v>44686</v>
      </c>
      <c r="B345">
        <v>105</v>
      </c>
      <c r="C345" s="3">
        <f>_xlfn.XLOOKUP(B345,Stores!A:A,Stores!E:E)</f>
        <v>44161</v>
      </c>
      <c r="D345">
        <v>216</v>
      </c>
      <c r="E345" s="3">
        <f>_xlfn.XLOOKUP(D345,SalesReps!A:A,SalesReps!D:D)</f>
        <v>44672</v>
      </c>
      <c r="F345" s="3" t="str">
        <f>_xlfn.XLOOKUP(Table1[[#This Row],[RepID]],SalesReps!A:A,SalesReps!E:E)</f>
        <v>Left</v>
      </c>
      <c r="G345">
        <v>308</v>
      </c>
      <c r="H345" t="str">
        <f>_xlfn.XLOOKUP(Table1[[#This Row],[ProductID]],Products!A:A,Products!B:B)</f>
        <v>Home &amp; Kitchen</v>
      </c>
      <c r="I345" t="str">
        <f>_xlfn.XLOOKUP(Table1[[#This Row],[ProductID]],Products!A:A,Products!C:C)</f>
        <v>Furniture</v>
      </c>
      <c r="J345">
        <v>6</v>
      </c>
      <c r="K345" s="5">
        <f>_xlfn.XLOOKUP(Table1[[#This Row],[ProductID]],Products!A:A,Products!E:E)</f>
        <v>377.46</v>
      </c>
      <c r="L345" s="5">
        <v>408.95</v>
      </c>
      <c r="M345" s="6">
        <v>0.19</v>
      </c>
      <c r="N345" t="s">
        <v>10</v>
      </c>
      <c r="O345" s="5">
        <f t="shared" si="25"/>
        <v>331.24950000000001</v>
      </c>
      <c r="P345" s="5">
        <f t="shared" si="26"/>
        <v>1987.4970000000001</v>
      </c>
      <c r="Q345" s="5">
        <f>Table1[[#This Row],[Quantity]]*(Table1[[#This Row],[Saleprice]]-Table1[[#This Row],[Costprice]])</f>
        <v>-277.26299999999981</v>
      </c>
      <c r="R345">
        <f t="shared" si="27"/>
        <v>2022</v>
      </c>
      <c r="S345">
        <f t="shared" si="28"/>
        <v>5</v>
      </c>
      <c r="T345" t="str">
        <f t="shared" si="29"/>
        <v>May</v>
      </c>
    </row>
    <row r="346" spans="1:20" x14ac:dyDescent="0.3">
      <c r="A346" s="3">
        <v>44686</v>
      </c>
      <c r="B346">
        <v>104</v>
      </c>
      <c r="C346" s="3">
        <f>_xlfn.XLOOKUP(B346,Stores!A:A,Stores!E:E)</f>
        <v>44297</v>
      </c>
      <c r="D346">
        <v>202</v>
      </c>
      <c r="E346" s="3">
        <f>_xlfn.XLOOKUP(D346,SalesReps!A:A,SalesReps!D:D)</f>
        <v>44610</v>
      </c>
      <c r="F346" s="3" t="str">
        <f>_xlfn.XLOOKUP(Table1[[#This Row],[RepID]],SalesReps!A:A,SalesReps!E:E)</f>
        <v>Active</v>
      </c>
      <c r="G346">
        <v>320</v>
      </c>
      <c r="H346" t="str">
        <f>_xlfn.XLOOKUP(Table1[[#This Row],[ProductID]],Products!A:A,Products!B:B)</f>
        <v>Toys</v>
      </c>
      <c r="I346" t="str">
        <f>_xlfn.XLOOKUP(Table1[[#This Row],[ProductID]],Products!A:A,Products!C:C)</f>
        <v>Outdoor</v>
      </c>
      <c r="J346">
        <v>9</v>
      </c>
      <c r="K346" s="5">
        <f>_xlfn.XLOOKUP(Table1[[#This Row],[ProductID]],Products!A:A,Products!E:E)</f>
        <v>304.58999999999997</v>
      </c>
      <c r="L346" s="5">
        <v>391.94</v>
      </c>
      <c r="M346" s="6">
        <v>0.22</v>
      </c>
      <c r="N346" t="s">
        <v>10</v>
      </c>
      <c r="O346" s="5">
        <f t="shared" si="25"/>
        <v>305.71320000000003</v>
      </c>
      <c r="P346" s="5">
        <f t="shared" si="26"/>
        <v>2751.4188000000004</v>
      </c>
      <c r="Q346" s="5">
        <f>Table1[[#This Row],[Quantity]]*(Table1[[#This Row],[Saleprice]]-Table1[[#This Row],[Costprice]])</f>
        <v>10.108800000000485</v>
      </c>
      <c r="R346">
        <f t="shared" si="27"/>
        <v>2022</v>
      </c>
      <c r="S346">
        <f t="shared" si="28"/>
        <v>5</v>
      </c>
      <c r="T346" t="str">
        <f t="shared" si="29"/>
        <v>May</v>
      </c>
    </row>
    <row r="347" spans="1:20" x14ac:dyDescent="0.3">
      <c r="A347" s="3">
        <v>44686</v>
      </c>
      <c r="B347">
        <v>104</v>
      </c>
      <c r="C347" s="3">
        <f>_xlfn.XLOOKUP(B347,Stores!A:A,Stores!E:E)</f>
        <v>44297</v>
      </c>
      <c r="D347">
        <v>202</v>
      </c>
      <c r="E347" s="3">
        <f>_xlfn.XLOOKUP(D347,SalesReps!A:A,SalesReps!D:D)</f>
        <v>44610</v>
      </c>
      <c r="F347" s="3" t="str">
        <f>_xlfn.XLOOKUP(Table1[[#This Row],[RepID]],SalesReps!A:A,SalesReps!E:E)</f>
        <v>Active</v>
      </c>
      <c r="G347">
        <v>319</v>
      </c>
      <c r="H347" t="str">
        <f>_xlfn.XLOOKUP(Table1[[#This Row],[ProductID]],Products!A:A,Products!B:B)</f>
        <v>Toys</v>
      </c>
      <c r="I347" t="str">
        <f>_xlfn.XLOOKUP(Table1[[#This Row],[ProductID]],Products!A:A,Products!C:C)</f>
        <v>Board Games</v>
      </c>
      <c r="J347">
        <v>8</v>
      </c>
      <c r="K347" s="5">
        <f>_xlfn.XLOOKUP(Table1[[#This Row],[ProductID]],Products!A:A,Products!E:E)</f>
        <v>81.069999999999993</v>
      </c>
      <c r="L347" s="5">
        <v>131.91</v>
      </c>
      <c r="M347" s="6">
        <v>0.15</v>
      </c>
      <c r="N347" t="s">
        <v>10</v>
      </c>
      <c r="O347" s="5">
        <f t="shared" si="25"/>
        <v>112.12349999999999</v>
      </c>
      <c r="P347" s="5">
        <f t="shared" si="26"/>
        <v>896.98799999999994</v>
      </c>
      <c r="Q347" s="5">
        <f>Table1[[#This Row],[Quantity]]*(Table1[[#This Row],[Saleprice]]-Table1[[#This Row],[Costprice]])</f>
        <v>248.428</v>
      </c>
      <c r="R347">
        <f t="shared" si="27"/>
        <v>2022</v>
      </c>
      <c r="S347">
        <f t="shared" si="28"/>
        <v>5</v>
      </c>
      <c r="T347" t="str">
        <f t="shared" si="29"/>
        <v>May</v>
      </c>
    </row>
    <row r="348" spans="1:20" x14ac:dyDescent="0.3">
      <c r="A348" s="3">
        <v>44687</v>
      </c>
      <c r="B348">
        <v>106</v>
      </c>
      <c r="C348" s="3">
        <f>_xlfn.XLOOKUP(B348,Stores!A:A,Stores!E:E)</f>
        <v>43918</v>
      </c>
      <c r="D348">
        <v>212</v>
      </c>
      <c r="E348" s="3">
        <f>_xlfn.XLOOKUP(D348,SalesReps!A:A,SalesReps!D:D)</f>
        <v>44671</v>
      </c>
      <c r="F348" s="3" t="str">
        <f>_xlfn.XLOOKUP(Table1[[#This Row],[RepID]],SalesReps!A:A,SalesReps!E:E)</f>
        <v>Active</v>
      </c>
      <c r="G348">
        <v>302</v>
      </c>
      <c r="H348" t="str">
        <f>_xlfn.XLOOKUP(Table1[[#This Row],[ProductID]],Products!A:A,Products!B:B)</f>
        <v>Toys</v>
      </c>
      <c r="I348" t="str">
        <f>_xlfn.XLOOKUP(Table1[[#This Row],[ProductID]],Products!A:A,Products!C:C)</f>
        <v>Outdoor</v>
      </c>
      <c r="J348">
        <v>4</v>
      </c>
      <c r="K348" s="5">
        <f>_xlfn.XLOOKUP(Table1[[#This Row],[ProductID]],Products!A:A,Products!E:E)</f>
        <v>393.46</v>
      </c>
      <c r="L348" s="5">
        <v>456.03</v>
      </c>
      <c r="M348" s="6">
        <v>0.24</v>
      </c>
      <c r="N348" t="s">
        <v>10</v>
      </c>
      <c r="O348" s="5">
        <f t="shared" si="25"/>
        <v>346.58279999999996</v>
      </c>
      <c r="P348" s="5">
        <f t="shared" si="26"/>
        <v>1386.3311999999999</v>
      </c>
      <c r="Q348" s="5">
        <f>Table1[[#This Row],[Quantity]]*(Table1[[#This Row],[Saleprice]]-Table1[[#This Row],[Costprice]])</f>
        <v>-187.50880000000006</v>
      </c>
      <c r="R348">
        <f t="shared" si="27"/>
        <v>2022</v>
      </c>
      <c r="S348">
        <f t="shared" si="28"/>
        <v>5</v>
      </c>
      <c r="T348" t="str">
        <f t="shared" si="29"/>
        <v>May</v>
      </c>
    </row>
    <row r="349" spans="1:20" x14ac:dyDescent="0.3">
      <c r="A349" s="3">
        <v>44687</v>
      </c>
      <c r="B349">
        <v>103</v>
      </c>
      <c r="C349" s="3">
        <f>_xlfn.XLOOKUP(B349,Stores!A:A,Stores!E:E)</f>
        <v>43952</v>
      </c>
      <c r="D349">
        <v>207</v>
      </c>
      <c r="E349" s="3">
        <f>_xlfn.XLOOKUP(D349,SalesReps!A:A,SalesReps!D:D)</f>
        <v>44656</v>
      </c>
      <c r="F349" s="3" t="str">
        <f>_xlfn.XLOOKUP(Table1[[#This Row],[RepID]],SalesReps!A:A,SalesReps!E:E)</f>
        <v>Active</v>
      </c>
      <c r="G349">
        <v>309</v>
      </c>
      <c r="H349" t="str">
        <f>_xlfn.XLOOKUP(Table1[[#This Row],[ProductID]],Products!A:A,Products!B:B)</f>
        <v>Electronics</v>
      </c>
      <c r="I349" t="str">
        <f>_xlfn.XLOOKUP(Table1[[#This Row],[ProductID]],Products!A:A,Products!C:C)</f>
        <v>Laptops</v>
      </c>
      <c r="J349">
        <v>8</v>
      </c>
      <c r="K349" s="5">
        <f>_xlfn.XLOOKUP(Table1[[#This Row],[ProductID]],Products!A:A,Products!E:E)</f>
        <v>229.68</v>
      </c>
      <c r="L349" s="5">
        <v>280.81</v>
      </c>
      <c r="M349" s="6">
        <v>0.14000000000000001</v>
      </c>
      <c r="N349" t="s">
        <v>9</v>
      </c>
      <c r="O349" s="5">
        <f t="shared" si="25"/>
        <v>241.4966</v>
      </c>
      <c r="P349" s="5">
        <f t="shared" si="26"/>
        <v>1931.9728</v>
      </c>
      <c r="Q349" s="5">
        <f>Table1[[#This Row],[Quantity]]*(Table1[[#This Row],[Saleprice]]-Table1[[#This Row],[Costprice]])</f>
        <v>94.532799999999952</v>
      </c>
      <c r="R349">
        <f t="shared" si="27"/>
        <v>2022</v>
      </c>
      <c r="S349">
        <f t="shared" si="28"/>
        <v>5</v>
      </c>
      <c r="T349" t="str">
        <f t="shared" si="29"/>
        <v>May</v>
      </c>
    </row>
    <row r="350" spans="1:20" x14ac:dyDescent="0.3">
      <c r="A350" s="3">
        <v>44687</v>
      </c>
      <c r="B350">
        <v>104</v>
      </c>
      <c r="C350" s="3">
        <f>_xlfn.XLOOKUP(B350,Stores!A:A,Stores!E:E)</f>
        <v>44297</v>
      </c>
      <c r="D350">
        <v>202</v>
      </c>
      <c r="E350" s="3">
        <f>_xlfn.XLOOKUP(D350,SalesReps!A:A,SalesReps!D:D)</f>
        <v>44610</v>
      </c>
      <c r="F350" s="3" t="str">
        <f>_xlfn.XLOOKUP(Table1[[#This Row],[RepID]],SalesReps!A:A,SalesReps!E:E)</f>
        <v>Active</v>
      </c>
      <c r="G350">
        <v>303</v>
      </c>
      <c r="H350" t="str">
        <f>_xlfn.XLOOKUP(Table1[[#This Row],[ProductID]],Products!A:A,Products!B:B)</f>
        <v>Home &amp; Kitchen</v>
      </c>
      <c r="I350" t="str">
        <f>_xlfn.XLOOKUP(Table1[[#This Row],[ProductID]],Products!A:A,Products!C:C)</f>
        <v>Furniture</v>
      </c>
      <c r="J350">
        <v>8</v>
      </c>
      <c r="K350" s="5">
        <f>_xlfn.XLOOKUP(Table1[[#This Row],[ProductID]],Products!A:A,Products!E:E)</f>
        <v>192.04</v>
      </c>
      <c r="L350" s="5">
        <v>265.60000000000002</v>
      </c>
      <c r="M350" s="6">
        <v>0.1</v>
      </c>
      <c r="N350" t="s">
        <v>10</v>
      </c>
      <c r="O350" s="5">
        <f t="shared" si="25"/>
        <v>239.04000000000002</v>
      </c>
      <c r="P350" s="5">
        <f t="shared" si="26"/>
        <v>1912.3200000000002</v>
      </c>
      <c r="Q350" s="5">
        <f>Table1[[#This Row],[Quantity]]*(Table1[[#This Row],[Saleprice]]-Table1[[#This Row],[Costprice]])</f>
        <v>376.00000000000023</v>
      </c>
      <c r="R350">
        <f t="shared" si="27"/>
        <v>2022</v>
      </c>
      <c r="S350">
        <f t="shared" si="28"/>
        <v>5</v>
      </c>
      <c r="T350" t="str">
        <f t="shared" si="29"/>
        <v>May</v>
      </c>
    </row>
    <row r="351" spans="1:20" x14ac:dyDescent="0.3">
      <c r="A351" s="3">
        <v>44687</v>
      </c>
      <c r="B351">
        <v>105</v>
      </c>
      <c r="C351" s="3">
        <f>_xlfn.XLOOKUP(B351,Stores!A:A,Stores!E:E)</f>
        <v>44161</v>
      </c>
      <c r="D351">
        <v>216</v>
      </c>
      <c r="E351" s="3">
        <f>_xlfn.XLOOKUP(D351,SalesReps!A:A,SalesReps!D:D)</f>
        <v>44672</v>
      </c>
      <c r="F351" s="3" t="str">
        <f>_xlfn.XLOOKUP(Table1[[#This Row],[RepID]],SalesReps!A:A,SalesReps!E:E)</f>
        <v>Left</v>
      </c>
      <c r="G351">
        <v>309</v>
      </c>
      <c r="H351" t="str">
        <f>_xlfn.XLOOKUP(Table1[[#This Row],[ProductID]],Products!A:A,Products!B:B)</f>
        <v>Electronics</v>
      </c>
      <c r="I351" t="str">
        <f>_xlfn.XLOOKUP(Table1[[#This Row],[ProductID]],Products!A:A,Products!C:C)</f>
        <v>Laptops</v>
      </c>
      <c r="J351">
        <v>1</v>
      </c>
      <c r="K351" s="5">
        <f>_xlfn.XLOOKUP(Table1[[#This Row],[ProductID]],Products!A:A,Products!E:E)</f>
        <v>229.68</v>
      </c>
      <c r="L351" s="5">
        <v>236.4</v>
      </c>
      <c r="M351" s="6">
        <v>0.15</v>
      </c>
      <c r="N351" t="s">
        <v>10</v>
      </c>
      <c r="O351" s="5">
        <f t="shared" si="25"/>
        <v>200.94</v>
      </c>
      <c r="P351" s="5">
        <f t="shared" si="26"/>
        <v>200.94</v>
      </c>
      <c r="Q351" s="5">
        <f>Table1[[#This Row],[Quantity]]*(Table1[[#This Row],[Saleprice]]-Table1[[#This Row],[Costprice]])</f>
        <v>-28.740000000000009</v>
      </c>
      <c r="R351">
        <f t="shared" si="27"/>
        <v>2022</v>
      </c>
      <c r="S351">
        <f t="shared" si="28"/>
        <v>5</v>
      </c>
      <c r="T351" t="str">
        <f t="shared" si="29"/>
        <v>May</v>
      </c>
    </row>
    <row r="352" spans="1:20" x14ac:dyDescent="0.3">
      <c r="A352" s="3">
        <v>44688</v>
      </c>
      <c r="B352">
        <v>103</v>
      </c>
      <c r="C352" s="3">
        <f>_xlfn.XLOOKUP(B352,Stores!A:A,Stores!E:E)</f>
        <v>43952</v>
      </c>
      <c r="D352">
        <v>207</v>
      </c>
      <c r="E352" s="3">
        <f>_xlfn.XLOOKUP(D352,SalesReps!A:A,SalesReps!D:D)</f>
        <v>44656</v>
      </c>
      <c r="F352" s="3" t="str">
        <f>_xlfn.XLOOKUP(Table1[[#This Row],[RepID]],SalesReps!A:A,SalesReps!E:E)</f>
        <v>Active</v>
      </c>
      <c r="G352">
        <v>302</v>
      </c>
      <c r="H352" t="str">
        <f>_xlfn.XLOOKUP(Table1[[#This Row],[ProductID]],Products!A:A,Products!B:B)</f>
        <v>Toys</v>
      </c>
      <c r="I352" t="str">
        <f>_xlfn.XLOOKUP(Table1[[#This Row],[ProductID]],Products!A:A,Products!C:C)</f>
        <v>Outdoor</v>
      </c>
      <c r="J352">
        <v>7</v>
      </c>
      <c r="K352" s="5">
        <f>_xlfn.XLOOKUP(Table1[[#This Row],[ProductID]],Products!A:A,Products!E:E)</f>
        <v>393.46</v>
      </c>
      <c r="L352" s="5">
        <v>435.97</v>
      </c>
      <c r="M352" s="6">
        <v>0.11</v>
      </c>
      <c r="N352" t="s">
        <v>9</v>
      </c>
      <c r="O352" s="5">
        <f t="shared" si="25"/>
        <v>388.01330000000002</v>
      </c>
      <c r="P352" s="5">
        <f t="shared" si="26"/>
        <v>2716.0931</v>
      </c>
      <c r="Q352" s="5">
        <f>Table1[[#This Row],[Quantity]]*(Table1[[#This Row],[Saleprice]]-Table1[[#This Row],[Costprice]])</f>
        <v>-38.12689999999975</v>
      </c>
      <c r="R352">
        <f t="shared" si="27"/>
        <v>2022</v>
      </c>
      <c r="S352">
        <f t="shared" si="28"/>
        <v>5</v>
      </c>
      <c r="T352" t="str">
        <f t="shared" si="29"/>
        <v>May</v>
      </c>
    </row>
    <row r="353" spans="1:20" x14ac:dyDescent="0.3">
      <c r="A353" s="3">
        <v>44688</v>
      </c>
      <c r="B353">
        <v>104</v>
      </c>
      <c r="C353" s="3">
        <f>_xlfn.XLOOKUP(B353,Stores!A:A,Stores!E:E)</f>
        <v>44297</v>
      </c>
      <c r="D353">
        <v>202</v>
      </c>
      <c r="E353" s="3">
        <f>_xlfn.XLOOKUP(D353,SalesReps!A:A,SalesReps!D:D)</f>
        <v>44610</v>
      </c>
      <c r="F353" s="3" t="str">
        <f>_xlfn.XLOOKUP(Table1[[#This Row],[RepID]],SalesReps!A:A,SalesReps!E:E)</f>
        <v>Active</v>
      </c>
      <c r="G353">
        <v>309</v>
      </c>
      <c r="H353" t="str">
        <f>_xlfn.XLOOKUP(Table1[[#This Row],[ProductID]],Products!A:A,Products!B:B)</f>
        <v>Electronics</v>
      </c>
      <c r="I353" t="str">
        <f>_xlfn.XLOOKUP(Table1[[#This Row],[ProductID]],Products!A:A,Products!C:C)</f>
        <v>Laptops</v>
      </c>
      <c r="J353">
        <v>9</v>
      </c>
      <c r="K353" s="5">
        <f>_xlfn.XLOOKUP(Table1[[#This Row],[ProductID]],Products!A:A,Products!E:E)</f>
        <v>229.68</v>
      </c>
      <c r="L353" s="5">
        <v>329.15</v>
      </c>
      <c r="M353" s="6">
        <v>0.09</v>
      </c>
      <c r="N353" t="s">
        <v>10</v>
      </c>
      <c r="O353" s="5">
        <f t="shared" si="25"/>
        <v>299.5265</v>
      </c>
      <c r="P353" s="5">
        <f t="shared" si="26"/>
        <v>2695.7384999999999</v>
      </c>
      <c r="Q353" s="5">
        <f>Table1[[#This Row],[Quantity]]*(Table1[[#This Row],[Saleprice]]-Table1[[#This Row],[Costprice]])</f>
        <v>628.61849999999993</v>
      </c>
      <c r="R353">
        <f t="shared" si="27"/>
        <v>2022</v>
      </c>
      <c r="S353">
        <f t="shared" si="28"/>
        <v>5</v>
      </c>
      <c r="T353" t="str">
        <f t="shared" si="29"/>
        <v>May</v>
      </c>
    </row>
    <row r="354" spans="1:20" x14ac:dyDescent="0.3">
      <c r="A354" s="3">
        <v>44688</v>
      </c>
      <c r="B354">
        <v>103</v>
      </c>
      <c r="C354" s="3">
        <f>_xlfn.XLOOKUP(B354,Stores!A:A,Stores!E:E)</f>
        <v>43952</v>
      </c>
      <c r="D354">
        <v>207</v>
      </c>
      <c r="E354" s="3">
        <f>_xlfn.XLOOKUP(D354,SalesReps!A:A,SalesReps!D:D)</f>
        <v>44656</v>
      </c>
      <c r="F354" s="3" t="str">
        <f>_xlfn.XLOOKUP(Table1[[#This Row],[RepID]],SalesReps!A:A,SalesReps!E:E)</f>
        <v>Active</v>
      </c>
      <c r="G354">
        <v>306</v>
      </c>
      <c r="H354" t="str">
        <f>_xlfn.XLOOKUP(Table1[[#This Row],[ProductID]],Products!A:A,Products!B:B)</f>
        <v>Clothing</v>
      </c>
      <c r="I354" t="str">
        <f>_xlfn.XLOOKUP(Table1[[#This Row],[ProductID]],Products!A:A,Products!C:C)</f>
        <v>Men</v>
      </c>
      <c r="J354">
        <v>4</v>
      </c>
      <c r="K354" s="5">
        <f>_xlfn.XLOOKUP(Table1[[#This Row],[ProductID]],Products!A:A,Products!E:E)</f>
        <v>185.69</v>
      </c>
      <c r="L354" s="5">
        <v>250.95</v>
      </c>
      <c r="M354" s="6">
        <v>0.19</v>
      </c>
      <c r="N354" t="s">
        <v>9</v>
      </c>
      <c r="O354" s="5">
        <f t="shared" si="25"/>
        <v>203.26949999999999</v>
      </c>
      <c r="P354" s="5">
        <f t="shared" si="26"/>
        <v>813.07799999999997</v>
      </c>
      <c r="Q354" s="5">
        <f>Table1[[#This Row],[Quantity]]*(Table1[[#This Row],[Saleprice]]-Table1[[#This Row],[Costprice]])</f>
        <v>70.317999999999984</v>
      </c>
      <c r="R354">
        <f t="shared" si="27"/>
        <v>2022</v>
      </c>
      <c r="S354">
        <f t="shared" si="28"/>
        <v>5</v>
      </c>
      <c r="T354" t="str">
        <f t="shared" si="29"/>
        <v>May</v>
      </c>
    </row>
    <row r="355" spans="1:20" x14ac:dyDescent="0.3">
      <c r="A355" s="3">
        <v>44688</v>
      </c>
      <c r="B355">
        <v>106</v>
      </c>
      <c r="C355" s="3">
        <f>_xlfn.XLOOKUP(B355,Stores!A:A,Stores!E:E)</f>
        <v>43918</v>
      </c>
      <c r="D355">
        <v>212</v>
      </c>
      <c r="E355" s="3">
        <f>_xlfn.XLOOKUP(D355,SalesReps!A:A,SalesReps!D:D)</f>
        <v>44671</v>
      </c>
      <c r="F355" s="3" t="str">
        <f>_xlfn.XLOOKUP(Table1[[#This Row],[RepID]],SalesReps!A:A,SalesReps!E:E)</f>
        <v>Active</v>
      </c>
      <c r="G355">
        <v>311</v>
      </c>
      <c r="H355" t="str">
        <f>_xlfn.XLOOKUP(Table1[[#This Row],[ProductID]],Products!A:A,Products!B:B)</f>
        <v>Home &amp; Kitchen</v>
      </c>
      <c r="I355" t="str">
        <f>_xlfn.XLOOKUP(Table1[[#This Row],[ProductID]],Products!A:A,Products!C:C)</f>
        <v>Furniture</v>
      </c>
      <c r="J355">
        <v>3</v>
      </c>
      <c r="K355" s="5">
        <f>_xlfn.XLOOKUP(Table1[[#This Row],[ProductID]],Products!A:A,Products!E:E)</f>
        <v>16.23</v>
      </c>
      <c r="L355" s="5">
        <v>101.43</v>
      </c>
      <c r="M355" s="6">
        <v>0.24</v>
      </c>
      <c r="N355" t="s">
        <v>10</v>
      </c>
      <c r="O355" s="5">
        <f t="shared" si="25"/>
        <v>77.086800000000011</v>
      </c>
      <c r="P355" s="5">
        <f t="shared" si="26"/>
        <v>231.26040000000003</v>
      </c>
      <c r="Q355" s="5">
        <f>Table1[[#This Row],[Quantity]]*(Table1[[#This Row],[Saleprice]]-Table1[[#This Row],[Costprice]])</f>
        <v>182.57040000000001</v>
      </c>
      <c r="R355">
        <f t="shared" si="27"/>
        <v>2022</v>
      </c>
      <c r="S355">
        <f t="shared" si="28"/>
        <v>5</v>
      </c>
      <c r="T355" t="str">
        <f t="shared" si="29"/>
        <v>May</v>
      </c>
    </row>
    <row r="356" spans="1:20" x14ac:dyDescent="0.3">
      <c r="A356" s="3">
        <v>44689</v>
      </c>
      <c r="B356">
        <v>104</v>
      </c>
      <c r="C356" s="3">
        <f>_xlfn.XLOOKUP(B356,Stores!A:A,Stores!E:E)</f>
        <v>44297</v>
      </c>
      <c r="D356">
        <v>202</v>
      </c>
      <c r="E356" s="3">
        <f>_xlfn.XLOOKUP(D356,SalesReps!A:A,SalesReps!D:D)</f>
        <v>44610</v>
      </c>
      <c r="F356" s="3" t="str">
        <f>_xlfn.XLOOKUP(Table1[[#This Row],[RepID]],SalesReps!A:A,SalesReps!E:E)</f>
        <v>Active</v>
      </c>
      <c r="G356">
        <v>310</v>
      </c>
      <c r="H356" t="str">
        <f>_xlfn.XLOOKUP(Table1[[#This Row],[ProductID]],Products!A:A,Products!B:B)</f>
        <v>Home &amp; Kitchen</v>
      </c>
      <c r="I356" t="str">
        <f>_xlfn.XLOOKUP(Table1[[#This Row],[ProductID]],Products!A:A,Products!C:C)</f>
        <v>Furniture</v>
      </c>
      <c r="J356">
        <v>2</v>
      </c>
      <c r="K356" s="5">
        <f>_xlfn.XLOOKUP(Table1[[#This Row],[ProductID]],Products!A:A,Products!E:E)</f>
        <v>160.31</v>
      </c>
      <c r="L356" s="5">
        <v>228.86</v>
      </c>
      <c r="M356" s="6">
        <v>0.22</v>
      </c>
      <c r="N356" t="s">
        <v>10</v>
      </c>
      <c r="O356" s="5">
        <f t="shared" si="25"/>
        <v>178.51080000000002</v>
      </c>
      <c r="P356" s="5">
        <f t="shared" si="26"/>
        <v>357.02160000000003</v>
      </c>
      <c r="Q356" s="5">
        <f>Table1[[#This Row],[Quantity]]*(Table1[[#This Row],[Saleprice]]-Table1[[#This Row],[Costprice]])</f>
        <v>36.40160000000003</v>
      </c>
      <c r="R356">
        <f t="shared" si="27"/>
        <v>2022</v>
      </c>
      <c r="S356">
        <f t="shared" si="28"/>
        <v>5</v>
      </c>
      <c r="T356" t="str">
        <f t="shared" si="29"/>
        <v>May</v>
      </c>
    </row>
    <row r="357" spans="1:20" x14ac:dyDescent="0.3">
      <c r="A357" s="3">
        <v>44689</v>
      </c>
      <c r="B357">
        <v>104</v>
      </c>
      <c r="C357" s="3">
        <f>_xlfn.XLOOKUP(B357,Stores!A:A,Stores!E:E)</f>
        <v>44297</v>
      </c>
      <c r="D357">
        <v>202</v>
      </c>
      <c r="E357" s="3">
        <f>_xlfn.XLOOKUP(D357,SalesReps!A:A,SalesReps!D:D)</f>
        <v>44610</v>
      </c>
      <c r="F357" s="3" t="str">
        <f>_xlfn.XLOOKUP(Table1[[#This Row],[RepID]],SalesReps!A:A,SalesReps!E:E)</f>
        <v>Active</v>
      </c>
      <c r="G357">
        <v>309</v>
      </c>
      <c r="H357" t="str">
        <f>_xlfn.XLOOKUP(Table1[[#This Row],[ProductID]],Products!A:A,Products!B:B)</f>
        <v>Electronics</v>
      </c>
      <c r="I357" t="str">
        <f>_xlfn.XLOOKUP(Table1[[#This Row],[ProductID]],Products!A:A,Products!C:C)</f>
        <v>Laptops</v>
      </c>
      <c r="J357">
        <v>9</v>
      </c>
      <c r="K357" s="5">
        <f>_xlfn.XLOOKUP(Table1[[#This Row],[ProductID]],Products!A:A,Products!E:E)</f>
        <v>229.68</v>
      </c>
      <c r="L357" s="5">
        <v>329.15</v>
      </c>
      <c r="M357" s="6">
        <v>0.09</v>
      </c>
      <c r="N357" t="s">
        <v>10</v>
      </c>
      <c r="O357" s="5">
        <f t="shared" si="25"/>
        <v>299.5265</v>
      </c>
      <c r="P357" s="5">
        <f t="shared" si="26"/>
        <v>2695.7384999999999</v>
      </c>
      <c r="Q357" s="5">
        <f>Table1[[#This Row],[Quantity]]*(Table1[[#This Row],[Saleprice]]-Table1[[#This Row],[Costprice]])</f>
        <v>628.61849999999993</v>
      </c>
      <c r="R357">
        <f t="shared" si="27"/>
        <v>2022</v>
      </c>
      <c r="S357">
        <f t="shared" si="28"/>
        <v>5</v>
      </c>
      <c r="T357" t="str">
        <f t="shared" si="29"/>
        <v>May</v>
      </c>
    </row>
    <row r="358" spans="1:20" x14ac:dyDescent="0.3">
      <c r="A358" s="3">
        <v>44689</v>
      </c>
      <c r="B358">
        <v>104</v>
      </c>
      <c r="C358" s="3">
        <f>_xlfn.XLOOKUP(B358,Stores!A:A,Stores!E:E)</f>
        <v>44297</v>
      </c>
      <c r="D358">
        <v>202</v>
      </c>
      <c r="E358" s="3">
        <f>_xlfn.XLOOKUP(D358,SalesReps!A:A,SalesReps!D:D)</f>
        <v>44610</v>
      </c>
      <c r="F358" s="3" t="str">
        <f>_xlfn.XLOOKUP(Table1[[#This Row],[RepID]],SalesReps!A:A,SalesReps!E:E)</f>
        <v>Active</v>
      </c>
      <c r="G358">
        <v>313</v>
      </c>
      <c r="H358" t="str">
        <f>_xlfn.XLOOKUP(Table1[[#This Row],[ProductID]],Products!A:A,Products!B:B)</f>
        <v>Clothing</v>
      </c>
      <c r="I358" t="str">
        <f>_xlfn.XLOOKUP(Table1[[#This Row],[ProductID]],Products!A:A,Products!C:C)</f>
        <v>Women</v>
      </c>
      <c r="J358">
        <v>8</v>
      </c>
      <c r="K358" s="5">
        <f>_xlfn.XLOOKUP(Table1[[#This Row],[ProductID]],Products!A:A,Products!E:E)</f>
        <v>104</v>
      </c>
      <c r="L358" s="5">
        <v>137.81</v>
      </c>
      <c r="M358" s="6">
        <v>0.16</v>
      </c>
      <c r="N358" t="s">
        <v>10</v>
      </c>
      <c r="O358" s="5">
        <f t="shared" si="25"/>
        <v>115.7604</v>
      </c>
      <c r="P358" s="5">
        <f t="shared" si="26"/>
        <v>926.08320000000003</v>
      </c>
      <c r="Q358" s="5">
        <f>Table1[[#This Row],[Quantity]]*(Table1[[#This Row],[Saleprice]]-Table1[[#This Row],[Costprice]])</f>
        <v>94.083200000000033</v>
      </c>
      <c r="R358">
        <f t="shared" si="27"/>
        <v>2022</v>
      </c>
      <c r="S358">
        <f t="shared" si="28"/>
        <v>5</v>
      </c>
      <c r="T358" t="str">
        <f t="shared" si="29"/>
        <v>May</v>
      </c>
    </row>
    <row r="359" spans="1:20" x14ac:dyDescent="0.3">
      <c r="A359" s="3">
        <v>44689</v>
      </c>
      <c r="B359">
        <v>103</v>
      </c>
      <c r="C359" s="3">
        <f>_xlfn.XLOOKUP(B359,Stores!A:A,Stores!E:E)</f>
        <v>43952</v>
      </c>
      <c r="D359">
        <v>207</v>
      </c>
      <c r="E359" s="3">
        <f>_xlfn.XLOOKUP(D359,SalesReps!A:A,SalesReps!D:D)</f>
        <v>44656</v>
      </c>
      <c r="F359" s="3" t="str">
        <f>_xlfn.XLOOKUP(Table1[[#This Row],[RepID]],SalesReps!A:A,SalesReps!E:E)</f>
        <v>Active</v>
      </c>
      <c r="G359">
        <v>306</v>
      </c>
      <c r="H359" t="str">
        <f>_xlfn.XLOOKUP(Table1[[#This Row],[ProductID]],Products!A:A,Products!B:B)</f>
        <v>Clothing</v>
      </c>
      <c r="I359" t="str">
        <f>_xlfn.XLOOKUP(Table1[[#This Row],[ProductID]],Products!A:A,Products!C:C)</f>
        <v>Men</v>
      </c>
      <c r="J359">
        <v>4</v>
      </c>
      <c r="K359" s="5">
        <f>_xlfn.XLOOKUP(Table1[[#This Row],[ProductID]],Products!A:A,Products!E:E)</f>
        <v>185.69</v>
      </c>
      <c r="L359" s="5">
        <v>250.95</v>
      </c>
      <c r="M359" s="6">
        <v>0.19</v>
      </c>
      <c r="N359" t="s">
        <v>9</v>
      </c>
      <c r="O359" s="5">
        <f t="shared" si="25"/>
        <v>203.26949999999999</v>
      </c>
      <c r="P359" s="5">
        <f t="shared" si="26"/>
        <v>813.07799999999997</v>
      </c>
      <c r="Q359" s="5">
        <f>Table1[[#This Row],[Quantity]]*(Table1[[#This Row],[Saleprice]]-Table1[[#This Row],[Costprice]])</f>
        <v>70.317999999999984</v>
      </c>
      <c r="R359">
        <f t="shared" si="27"/>
        <v>2022</v>
      </c>
      <c r="S359">
        <f t="shared" si="28"/>
        <v>5</v>
      </c>
      <c r="T359" t="str">
        <f t="shared" si="29"/>
        <v>May</v>
      </c>
    </row>
    <row r="360" spans="1:20" x14ac:dyDescent="0.3">
      <c r="A360" s="3">
        <v>44689</v>
      </c>
      <c r="B360">
        <v>105</v>
      </c>
      <c r="C360" s="3">
        <f>_xlfn.XLOOKUP(B360,Stores!A:A,Stores!E:E)</f>
        <v>44161</v>
      </c>
      <c r="D360">
        <v>216</v>
      </c>
      <c r="E360" s="3">
        <f>_xlfn.XLOOKUP(D360,SalesReps!A:A,SalesReps!D:D)</f>
        <v>44672</v>
      </c>
      <c r="F360" s="3" t="str">
        <f>_xlfn.XLOOKUP(Table1[[#This Row],[RepID]],SalesReps!A:A,SalesReps!E:E)</f>
        <v>Left</v>
      </c>
      <c r="G360">
        <v>310</v>
      </c>
      <c r="H360" t="str">
        <f>_xlfn.XLOOKUP(Table1[[#This Row],[ProductID]],Products!A:A,Products!B:B)</f>
        <v>Home &amp; Kitchen</v>
      </c>
      <c r="I360" t="str">
        <f>_xlfn.XLOOKUP(Table1[[#This Row],[ProductID]],Products!A:A,Products!C:C)</f>
        <v>Furniture</v>
      </c>
      <c r="J360">
        <v>6</v>
      </c>
      <c r="K360" s="5">
        <f>_xlfn.XLOOKUP(Table1[[#This Row],[ProductID]],Products!A:A,Products!E:E)</f>
        <v>160.31</v>
      </c>
      <c r="L360" s="5">
        <v>187.18</v>
      </c>
      <c r="M360" s="6">
        <v>0.15</v>
      </c>
      <c r="N360" t="s">
        <v>10</v>
      </c>
      <c r="O360" s="5">
        <f t="shared" si="25"/>
        <v>159.10300000000001</v>
      </c>
      <c r="P360" s="5">
        <f t="shared" si="26"/>
        <v>954.61800000000005</v>
      </c>
      <c r="Q360" s="5">
        <f>Table1[[#This Row],[Quantity]]*(Table1[[#This Row],[Saleprice]]-Table1[[#This Row],[Costprice]])</f>
        <v>-7.2419999999999618</v>
      </c>
      <c r="R360">
        <f t="shared" si="27"/>
        <v>2022</v>
      </c>
      <c r="S360">
        <f t="shared" si="28"/>
        <v>5</v>
      </c>
      <c r="T360" t="str">
        <f t="shared" si="29"/>
        <v>May</v>
      </c>
    </row>
    <row r="361" spans="1:20" x14ac:dyDescent="0.3">
      <c r="A361" s="3">
        <v>44689</v>
      </c>
      <c r="B361">
        <v>103</v>
      </c>
      <c r="C361" s="3">
        <f>_xlfn.XLOOKUP(B361,Stores!A:A,Stores!E:E)</f>
        <v>43952</v>
      </c>
      <c r="D361">
        <v>207</v>
      </c>
      <c r="E361" s="3">
        <f>_xlfn.XLOOKUP(D361,SalesReps!A:A,SalesReps!D:D)</f>
        <v>44656</v>
      </c>
      <c r="F361" s="3" t="str">
        <f>_xlfn.XLOOKUP(Table1[[#This Row],[RepID]],SalesReps!A:A,SalesReps!E:E)</f>
        <v>Active</v>
      </c>
      <c r="G361">
        <v>320</v>
      </c>
      <c r="H361" t="str">
        <f>_xlfn.XLOOKUP(Table1[[#This Row],[ProductID]],Products!A:A,Products!B:B)</f>
        <v>Toys</v>
      </c>
      <c r="I361" t="str">
        <f>_xlfn.XLOOKUP(Table1[[#This Row],[ProductID]],Products!A:A,Products!C:C)</f>
        <v>Outdoor</v>
      </c>
      <c r="J361">
        <v>9</v>
      </c>
      <c r="K361" s="5">
        <f>_xlfn.XLOOKUP(Table1[[#This Row],[ProductID]],Products!A:A,Products!E:E)</f>
        <v>304.58999999999997</v>
      </c>
      <c r="L361" s="5">
        <v>374.95</v>
      </c>
      <c r="M361" s="6">
        <v>0.22</v>
      </c>
      <c r="N361" t="s">
        <v>9</v>
      </c>
      <c r="O361" s="5">
        <f t="shared" si="25"/>
        <v>292.46100000000001</v>
      </c>
      <c r="P361" s="5">
        <f t="shared" si="26"/>
        <v>2632.1490000000003</v>
      </c>
      <c r="Q361" s="5">
        <f>Table1[[#This Row],[Quantity]]*(Table1[[#This Row],[Saleprice]]-Table1[[#This Row],[Costprice]])</f>
        <v>-109.16099999999966</v>
      </c>
      <c r="R361">
        <f t="shared" si="27"/>
        <v>2022</v>
      </c>
      <c r="S361">
        <f t="shared" si="28"/>
        <v>5</v>
      </c>
      <c r="T361" t="str">
        <f t="shared" si="29"/>
        <v>May</v>
      </c>
    </row>
    <row r="362" spans="1:20" x14ac:dyDescent="0.3">
      <c r="A362" s="3">
        <v>44691</v>
      </c>
      <c r="B362">
        <v>101</v>
      </c>
      <c r="C362" s="3">
        <f>_xlfn.XLOOKUP(B362,Stores!A:A,Stores!E:E)</f>
        <v>44691</v>
      </c>
      <c r="D362">
        <v>206</v>
      </c>
      <c r="E362" s="3">
        <f>_xlfn.XLOOKUP(D362,SalesReps!A:A,SalesReps!D:D)</f>
        <v>44357</v>
      </c>
      <c r="F362" s="3" t="str">
        <f>_xlfn.XLOOKUP(Table1[[#This Row],[RepID]],SalesReps!A:A,SalesReps!E:E)</f>
        <v>Active</v>
      </c>
      <c r="G362">
        <v>304</v>
      </c>
      <c r="H362" t="str">
        <f>_xlfn.XLOOKUP(Table1[[#This Row],[ProductID]],Products!A:A,Products!B:B)</f>
        <v>Home &amp; Kitchen</v>
      </c>
      <c r="I362" t="str">
        <f>_xlfn.XLOOKUP(Table1[[#This Row],[ProductID]],Products!A:A,Products!C:C)</f>
        <v>Furniture</v>
      </c>
      <c r="J362">
        <v>8</v>
      </c>
      <c r="K362" s="5">
        <f>_xlfn.XLOOKUP(Table1[[#This Row],[ProductID]],Products!A:A,Products!E:E)</f>
        <v>345.38</v>
      </c>
      <c r="L362" s="5">
        <v>401.66</v>
      </c>
      <c r="M362" s="6">
        <v>0.09</v>
      </c>
      <c r="N362" t="s">
        <v>8</v>
      </c>
      <c r="O362" s="5">
        <f t="shared" si="25"/>
        <v>365.51060000000001</v>
      </c>
      <c r="P362" s="5">
        <f t="shared" si="26"/>
        <v>2924.0848000000001</v>
      </c>
      <c r="Q362" s="5">
        <f>Table1[[#This Row],[Quantity]]*(Table1[[#This Row],[Saleprice]]-Table1[[#This Row],[Costprice]])</f>
        <v>161.04480000000012</v>
      </c>
      <c r="R362">
        <f t="shared" si="27"/>
        <v>2022</v>
      </c>
      <c r="S362">
        <f t="shared" si="28"/>
        <v>5</v>
      </c>
      <c r="T362" t="str">
        <f t="shared" si="29"/>
        <v>May</v>
      </c>
    </row>
    <row r="363" spans="1:20" x14ac:dyDescent="0.3">
      <c r="A363" s="3">
        <v>44691</v>
      </c>
      <c r="B363">
        <v>105</v>
      </c>
      <c r="C363" s="3">
        <f>_xlfn.XLOOKUP(B363,Stores!A:A,Stores!E:E)</f>
        <v>44161</v>
      </c>
      <c r="D363">
        <v>216</v>
      </c>
      <c r="E363" s="3">
        <f>_xlfn.XLOOKUP(D363,SalesReps!A:A,SalesReps!D:D)</f>
        <v>44672</v>
      </c>
      <c r="F363" s="3" t="str">
        <f>_xlfn.XLOOKUP(Table1[[#This Row],[RepID]],SalesReps!A:A,SalesReps!E:E)</f>
        <v>Left</v>
      </c>
      <c r="G363">
        <v>305</v>
      </c>
      <c r="H363" t="str">
        <f>_xlfn.XLOOKUP(Table1[[#This Row],[ProductID]],Products!A:A,Products!B:B)</f>
        <v>Electronics</v>
      </c>
      <c r="I363" t="str">
        <f>_xlfn.XLOOKUP(Table1[[#This Row],[ProductID]],Products!A:A,Products!C:C)</f>
        <v>Accessories</v>
      </c>
      <c r="J363">
        <v>3</v>
      </c>
      <c r="K363" s="5">
        <f>_xlfn.XLOOKUP(Table1[[#This Row],[ProductID]],Products!A:A,Products!E:E)</f>
        <v>275.32</v>
      </c>
      <c r="L363" s="5">
        <v>296.31</v>
      </c>
      <c r="M363" s="6">
        <v>0.09</v>
      </c>
      <c r="N363" t="s">
        <v>10</v>
      </c>
      <c r="O363" s="5">
        <f t="shared" si="25"/>
        <v>269.64210000000003</v>
      </c>
      <c r="P363" s="5">
        <f t="shared" si="26"/>
        <v>808.92630000000008</v>
      </c>
      <c r="Q363" s="5">
        <f>Table1[[#This Row],[Quantity]]*(Table1[[#This Row],[Saleprice]]-Table1[[#This Row],[Costprice]])</f>
        <v>-17.033699999999897</v>
      </c>
      <c r="R363">
        <f t="shared" si="27"/>
        <v>2022</v>
      </c>
      <c r="S363">
        <f t="shared" si="28"/>
        <v>5</v>
      </c>
      <c r="T363" t="str">
        <f t="shared" si="29"/>
        <v>May</v>
      </c>
    </row>
    <row r="364" spans="1:20" x14ac:dyDescent="0.3">
      <c r="A364" s="3">
        <v>44692</v>
      </c>
      <c r="B364">
        <v>101</v>
      </c>
      <c r="C364" s="3">
        <f>_xlfn.XLOOKUP(B364,Stores!A:A,Stores!E:E)</f>
        <v>44691</v>
      </c>
      <c r="D364">
        <v>201</v>
      </c>
      <c r="E364" s="3">
        <f>_xlfn.XLOOKUP(D364,SalesReps!A:A,SalesReps!D:D)</f>
        <v>44688</v>
      </c>
      <c r="F364" s="3" t="str">
        <f>_xlfn.XLOOKUP(Table1[[#This Row],[RepID]],SalesReps!A:A,SalesReps!E:E)</f>
        <v>Active</v>
      </c>
      <c r="G364">
        <v>317</v>
      </c>
      <c r="H364" t="str">
        <f>_xlfn.XLOOKUP(Table1[[#This Row],[ProductID]],Products!A:A,Products!B:B)</f>
        <v>Toys</v>
      </c>
      <c r="I364" t="str">
        <f>_xlfn.XLOOKUP(Table1[[#This Row],[ProductID]],Products!A:A,Products!C:C)</f>
        <v>Educational</v>
      </c>
      <c r="J364">
        <v>5</v>
      </c>
      <c r="K364" s="5">
        <f>_xlfn.XLOOKUP(Table1[[#This Row],[ProductID]],Products!A:A,Products!E:E)</f>
        <v>77.61</v>
      </c>
      <c r="L364" s="5">
        <v>144.5</v>
      </c>
      <c r="M364" s="6">
        <v>0.09</v>
      </c>
      <c r="N364" t="s">
        <v>8</v>
      </c>
      <c r="O364" s="5">
        <f t="shared" si="25"/>
        <v>131.495</v>
      </c>
      <c r="P364" s="5">
        <f t="shared" si="26"/>
        <v>657.47500000000002</v>
      </c>
      <c r="Q364" s="5">
        <f>Table1[[#This Row],[Quantity]]*(Table1[[#This Row],[Saleprice]]-Table1[[#This Row],[Costprice]])</f>
        <v>269.42500000000001</v>
      </c>
      <c r="R364">
        <f t="shared" si="27"/>
        <v>2022</v>
      </c>
      <c r="S364">
        <f t="shared" si="28"/>
        <v>5</v>
      </c>
      <c r="T364" t="str">
        <f t="shared" si="29"/>
        <v>May</v>
      </c>
    </row>
    <row r="365" spans="1:20" x14ac:dyDescent="0.3">
      <c r="A365" s="3">
        <v>44692</v>
      </c>
      <c r="B365">
        <v>106</v>
      </c>
      <c r="C365" s="3">
        <f>_xlfn.XLOOKUP(B365,Stores!A:A,Stores!E:E)</f>
        <v>43918</v>
      </c>
      <c r="D365">
        <v>212</v>
      </c>
      <c r="E365" s="3">
        <f>_xlfn.XLOOKUP(D365,SalesReps!A:A,SalesReps!D:D)</f>
        <v>44671</v>
      </c>
      <c r="F365" s="3" t="str">
        <f>_xlfn.XLOOKUP(Table1[[#This Row],[RepID]],SalesReps!A:A,SalesReps!E:E)</f>
        <v>Active</v>
      </c>
      <c r="G365">
        <v>314</v>
      </c>
      <c r="H365" t="str">
        <f>_xlfn.XLOOKUP(Table1[[#This Row],[ProductID]],Products!A:A,Products!B:B)</f>
        <v>Clothing</v>
      </c>
      <c r="I365" t="str">
        <f>_xlfn.XLOOKUP(Table1[[#This Row],[ProductID]],Products!A:A,Products!C:C)</f>
        <v>Kids</v>
      </c>
      <c r="J365">
        <v>6</v>
      </c>
      <c r="K365" s="5">
        <f>_xlfn.XLOOKUP(Table1[[#This Row],[ProductID]],Products!A:A,Products!E:E)</f>
        <v>276.47000000000003</v>
      </c>
      <c r="L365" s="5">
        <v>287</v>
      </c>
      <c r="M365" s="6">
        <v>0.23</v>
      </c>
      <c r="N365" t="s">
        <v>10</v>
      </c>
      <c r="O365" s="5">
        <f t="shared" si="25"/>
        <v>220.99</v>
      </c>
      <c r="P365" s="5">
        <f t="shared" si="26"/>
        <v>1325.94</v>
      </c>
      <c r="Q365" s="5">
        <f>Table1[[#This Row],[Quantity]]*(Table1[[#This Row],[Saleprice]]-Table1[[#This Row],[Costprice]])</f>
        <v>-332.88000000000011</v>
      </c>
      <c r="R365">
        <f t="shared" si="27"/>
        <v>2022</v>
      </c>
      <c r="S365">
        <f t="shared" si="28"/>
        <v>5</v>
      </c>
      <c r="T365" t="str">
        <f t="shared" si="29"/>
        <v>May</v>
      </c>
    </row>
    <row r="366" spans="1:20" x14ac:dyDescent="0.3">
      <c r="A366" s="3">
        <v>44692</v>
      </c>
      <c r="B366">
        <v>105</v>
      </c>
      <c r="C366" s="3">
        <f>_xlfn.XLOOKUP(B366,Stores!A:A,Stores!E:E)</f>
        <v>44161</v>
      </c>
      <c r="D366">
        <v>216</v>
      </c>
      <c r="E366" s="3">
        <f>_xlfn.XLOOKUP(D366,SalesReps!A:A,SalesReps!D:D)</f>
        <v>44672</v>
      </c>
      <c r="F366" s="3" t="str">
        <f>_xlfn.XLOOKUP(Table1[[#This Row],[RepID]],SalesReps!A:A,SalesReps!E:E)</f>
        <v>Left</v>
      </c>
      <c r="G366">
        <v>315</v>
      </c>
      <c r="H366" t="str">
        <f>_xlfn.XLOOKUP(Table1[[#This Row],[ProductID]],Products!A:A,Products!B:B)</f>
        <v>Toys</v>
      </c>
      <c r="I366" t="str">
        <f>_xlfn.XLOOKUP(Table1[[#This Row],[ProductID]],Products!A:A,Products!C:C)</f>
        <v>Board Games</v>
      </c>
      <c r="J366">
        <v>5</v>
      </c>
      <c r="K366" s="5">
        <f>_xlfn.XLOOKUP(Table1[[#This Row],[ProductID]],Products!A:A,Products!E:E)</f>
        <v>247.9</v>
      </c>
      <c r="L366" s="5">
        <v>261.83999999999997</v>
      </c>
      <c r="M366" s="6">
        <v>0.11</v>
      </c>
      <c r="N366" t="s">
        <v>10</v>
      </c>
      <c r="O366" s="5">
        <f t="shared" si="25"/>
        <v>233.03759999999997</v>
      </c>
      <c r="P366" s="5">
        <f t="shared" si="26"/>
        <v>1165.1879999999999</v>
      </c>
      <c r="Q366" s="5">
        <f>Table1[[#This Row],[Quantity]]*(Table1[[#This Row],[Saleprice]]-Table1[[#This Row],[Costprice]])</f>
        <v>-74.312000000000182</v>
      </c>
      <c r="R366">
        <f t="shared" si="27"/>
        <v>2022</v>
      </c>
      <c r="S366">
        <f t="shared" si="28"/>
        <v>5</v>
      </c>
      <c r="T366" t="str">
        <f t="shared" si="29"/>
        <v>May</v>
      </c>
    </row>
    <row r="367" spans="1:20" x14ac:dyDescent="0.3">
      <c r="A367" s="3">
        <v>44692</v>
      </c>
      <c r="B367">
        <v>101</v>
      </c>
      <c r="C367" s="3">
        <f>_xlfn.XLOOKUP(B367,Stores!A:A,Stores!E:E)</f>
        <v>44691</v>
      </c>
      <c r="D367">
        <v>206</v>
      </c>
      <c r="E367" s="3">
        <f>_xlfn.XLOOKUP(D367,SalesReps!A:A,SalesReps!D:D)</f>
        <v>44357</v>
      </c>
      <c r="F367" s="3" t="str">
        <f>_xlfn.XLOOKUP(Table1[[#This Row],[RepID]],SalesReps!A:A,SalesReps!E:E)</f>
        <v>Active</v>
      </c>
      <c r="G367">
        <v>305</v>
      </c>
      <c r="H367" t="str">
        <f>_xlfn.XLOOKUP(Table1[[#This Row],[ProductID]],Products!A:A,Products!B:B)</f>
        <v>Electronics</v>
      </c>
      <c r="I367" t="str">
        <f>_xlfn.XLOOKUP(Table1[[#This Row],[ProductID]],Products!A:A,Products!C:C)</f>
        <v>Accessories</v>
      </c>
      <c r="J367">
        <v>4</v>
      </c>
      <c r="K367" s="5">
        <f>_xlfn.XLOOKUP(Table1[[#This Row],[ProductID]],Products!A:A,Products!E:E)</f>
        <v>275.32</v>
      </c>
      <c r="L367" s="5">
        <v>313.81</v>
      </c>
      <c r="M367" s="6">
        <v>0.11</v>
      </c>
      <c r="N367" t="s">
        <v>8</v>
      </c>
      <c r="O367" s="5">
        <f t="shared" si="25"/>
        <v>279.29090000000002</v>
      </c>
      <c r="P367" s="5">
        <f t="shared" si="26"/>
        <v>1117.1636000000001</v>
      </c>
      <c r="Q367" s="5">
        <f>Table1[[#This Row],[Quantity]]*(Table1[[#This Row],[Saleprice]]-Table1[[#This Row],[Costprice]])</f>
        <v>15.883600000000115</v>
      </c>
      <c r="R367">
        <f t="shared" si="27"/>
        <v>2022</v>
      </c>
      <c r="S367">
        <f t="shared" si="28"/>
        <v>5</v>
      </c>
      <c r="T367" t="str">
        <f t="shared" si="29"/>
        <v>May</v>
      </c>
    </row>
    <row r="368" spans="1:20" x14ac:dyDescent="0.3">
      <c r="A368" s="3">
        <v>44692</v>
      </c>
      <c r="B368">
        <v>101</v>
      </c>
      <c r="C368" s="3">
        <f>_xlfn.XLOOKUP(B368,Stores!A:A,Stores!E:E)</f>
        <v>44691</v>
      </c>
      <c r="D368">
        <v>213</v>
      </c>
      <c r="E368" s="3">
        <f>_xlfn.XLOOKUP(D368,SalesReps!A:A,SalesReps!D:D)</f>
        <v>44255</v>
      </c>
      <c r="F368" s="3" t="str">
        <f>_xlfn.XLOOKUP(Table1[[#This Row],[RepID]],SalesReps!A:A,SalesReps!E:E)</f>
        <v>Active</v>
      </c>
      <c r="G368">
        <v>306</v>
      </c>
      <c r="H368" t="str">
        <f>_xlfn.XLOOKUP(Table1[[#This Row],[ProductID]],Products!A:A,Products!B:B)</f>
        <v>Clothing</v>
      </c>
      <c r="I368" t="str">
        <f>_xlfn.XLOOKUP(Table1[[#This Row],[ProductID]],Products!A:A,Products!C:C)</f>
        <v>Men</v>
      </c>
      <c r="J368">
        <v>4</v>
      </c>
      <c r="K368" s="5">
        <f>_xlfn.XLOOKUP(Table1[[#This Row],[ProductID]],Products!A:A,Products!E:E)</f>
        <v>185.69</v>
      </c>
      <c r="L368" s="5">
        <v>283.47000000000003</v>
      </c>
      <c r="M368" s="6">
        <v>0.13</v>
      </c>
      <c r="N368" t="s">
        <v>8</v>
      </c>
      <c r="O368" s="5">
        <f t="shared" si="25"/>
        <v>246.61890000000002</v>
      </c>
      <c r="P368" s="5">
        <f t="shared" si="26"/>
        <v>986.4756000000001</v>
      </c>
      <c r="Q368" s="5">
        <f>Table1[[#This Row],[Quantity]]*(Table1[[#This Row],[Saleprice]]-Table1[[#This Row],[Costprice]])</f>
        <v>243.71560000000011</v>
      </c>
      <c r="R368">
        <f t="shared" si="27"/>
        <v>2022</v>
      </c>
      <c r="S368">
        <f t="shared" si="28"/>
        <v>5</v>
      </c>
      <c r="T368" t="str">
        <f t="shared" si="29"/>
        <v>May</v>
      </c>
    </row>
    <row r="369" spans="1:20" x14ac:dyDescent="0.3">
      <c r="A369" s="3">
        <v>44693</v>
      </c>
      <c r="B369">
        <v>105</v>
      </c>
      <c r="C369" s="3">
        <f>_xlfn.XLOOKUP(B369,Stores!A:A,Stores!E:E)</f>
        <v>44161</v>
      </c>
      <c r="D369">
        <v>216</v>
      </c>
      <c r="E369" s="3">
        <f>_xlfn.XLOOKUP(D369,SalesReps!A:A,SalesReps!D:D)</f>
        <v>44672</v>
      </c>
      <c r="F369" s="3" t="str">
        <f>_xlfn.XLOOKUP(Table1[[#This Row],[RepID]],SalesReps!A:A,SalesReps!E:E)</f>
        <v>Left</v>
      </c>
      <c r="G369">
        <v>306</v>
      </c>
      <c r="H369" t="str">
        <f>_xlfn.XLOOKUP(Table1[[#This Row],[ProductID]],Products!A:A,Products!B:B)</f>
        <v>Clothing</v>
      </c>
      <c r="I369" t="str">
        <f>_xlfn.XLOOKUP(Table1[[#This Row],[ProductID]],Products!A:A,Products!C:C)</f>
        <v>Men</v>
      </c>
      <c r="J369">
        <v>3</v>
      </c>
      <c r="K369" s="5">
        <f>_xlfn.XLOOKUP(Table1[[#This Row],[ProductID]],Products!A:A,Products!E:E)</f>
        <v>185.69</v>
      </c>
      <c r="L369" s="5">
        <v>243.21</v>
      </c>
      <c r="M369" s="6">
        <v>0.17</v>
      </c>
      <c r="N369" t="s">
        <v>10</v>
      </c>
      <c r="O369" s="5">
        <f t="shared" si="25"/>
        <v>201.86429999999999</v>
      </c>
      <c r="P369" s="5">
        <f t="shared" si="26"/>
        <v>605.59289999999999</v>
      </c>
      <c r="Q369" s="5">
        <f>Table1[[#This Row],[Quantity]]*(Table1[[#This Row],[Saleprice]]-Table1[[#This Row],[Costprice]])</f>
        <v>48.522899999999964</v>
      </c>
      <c r="R369">
        <f t="shared" si="27"/>
        <v>2022</v>
      </c>
      <c r="S369">
        <f t="shared" si="28"/>
        <v>5</v>
      </c>
      <c r="T369" t="str">
        <f t="shared" si="29"/>
        <v>May</v>
      </c>
    </row>
    <row r="370" spans="1:20" x14ac:dyDescent="0.3">
      <c r="A370" s="3">
        <v>44693</v>
      </c>
      <c r="B370">
        <v>103</v>
      </c>
      <c r="C370" s="3">
        <f>_xlfn.XLOOKUP(B370,Stores!A:A,Stores!E:E)</f>
        <v>43952</v>
      </c>
      <c r="D370">
        <v>207</v>
      </c>
      <c r="E370" s="3">
        <f>_xlfn.XLOOKUP(D370,SalesReps!A:A,SalesReps!D:D)</f>
        <v>44656</v>
      </c>
      <c r="F370" s="3" t="str">
        <f>_xlfn.XLOOKUP(Table1[[#This Row],[RepID]],SalesReps!A:A,SalesReps!E:E)</f>
        <v>Active</v>
      </c>
      <c r="G370">
        <v>307</v>
      </c>
      <c r="H370" t="str">
        <f>_xlfn.XLOOKUP(Table1[[#This Row],[ProductID]],Products!A:A,Products!B:B)</f>
        <v>Toys</v>
      </c>
      <c r="I370" t="str">
        <f>_xlfn.XLOOKUP(Table1[[#This Row],[ProductID]],Products!A:A,Products!C:C)</f>
        <v>Outdoor</v>
      </c>
      <c r="J370">
        <v>3</v>
      </c>
      <c r="K370" s="5">
        <f>_xlfn.XLOOKUP(Table1[[#This Row],[ProductID]],Products!A:A,Products!E:E)</f>
        <v>15.17</v>
      </c>
      <c r="L370" s="5">
        <v>41.09</v>
      </c>
      <c r="M370" s="6">
        <v>0.19</v>
      </c>
      <c r="N370" t="s">
        <v>9</v>
      </c>
      <c r="O370" s="5">
        <f t="shared" si="25"/>
        <v>33.282900000000005</v>
      </c>
      <c r="P370" s="5">
        <f t="shared" si="26"/>
        <v>99.848700000000008</v>
      </c>
      <c r="Q370" s="5">
        <f>Table1[[#This Row],[Quantity]]*(Table1[[#This Row],[Saleprice]]-Table1[[#This Row],[Costprice]])</f>
        <v>54.33870000000001</v>
      </c>
      <c r="R370">
        <f t="shared" si="27"/>
        <v>2022</v>
      </c>
      <c r="S370">
        <f t="shared" si="28"/>
        <v>5</v>
      </c>
      <c r="T370" t="str">
        <f t="shared" si="29"/>
        <v>May</v>
      </c>
    </row>
    <row r="371" spans="1:20" x14ac:dyDescent="0.3">
      <c r="A371" s="3">
        <v>44694</v>
      </c>
      <c r="B371">
        <v>101</v>
      </c>
      <c r="C371" s="3">
        <f>_xlfn.XLOOKUP(B371,Stores!A:A,Stores!E:E)</f>
        <v>44691</v>
      </c>
      <c r="D371">
        <v>201</v>
      </c>
      <c r="E371" s="3">
        <f>_xlfn.XLOOKUP(D371,SalesReps!A:A,SalesReps!D:D)</f>
        <v>44688</v>
      </c>
      <c r="F371" s="3" t="str">
        <f>_xlfn.XLOOKUP(Table1[[#This Row],[RepID]],SalesReps!A:A,SalesReps!E:E)</f>
        <v>Active</v>
      </c>
      <c r="G371">
        <v>310</v>
      </c>
      <c r="H371" t="str">
        <f>_xlfn.XLOOKUP(Table1[[#This Row],[ProductID]],Products!A:A,Products!B:B)</f>
        <v>Home &amp; Kitchen</v>
      </c>
      <c r="I371" t="str">
        <f>_xlfn.XLOOKUP(Table1[[#This Row],[ProductID]],Products!A:A,Products!C:C)</f>
        <v>Furniture</v>
      </c>
      <c r="J371">
        <v>8</v>
      </c>
      <c r="K371" s="5">
        <f>_xlfn.XLOOKUP(Table1[[#This Row],[ProductID]],Products!A:A,Products!E:E)</f>
        <v>160.31</v>
      </c>
      <c r="L371" s="5">
        <v>258.3</v>
      </c>
      <c r="M371" s="6">
        <v>0.15</v>
      </c>
      <c r="N371" t="s">
        <v>8</v>
      </c>
      <c r="O371" s="5">
        <f t="shared" si="25"/>
        <v>219.55500000000001</v>
      </c>
      <c r="P371" s="5">
        <f t="shared" si="26"/>
        <v>1756.44</v>
      </c>
      <c r="Q371" s="5">
        <f>Table1[[#This Row],[Quantity]]*(Table1[[#This Row],[Saleprice]]-Table1[[#This Row],[Costprice]])</f>
        <v>473.96000000000004</v>
      </c>
      <c r="R371">
        <f t="shared" si="27"/>
        <v>2022</v>
      </c>
      <c r="S371">
        <f t="shared" si="28"/>
        <v>5</v>
      </c>
      <c r="T371" t="str">
        <f t="shared" si="29"/>
        <v>May</v>
      </c>
    </row>
    <row r="372" spans="1:20" x14ac:dyDescent="0.3">
      <c r="A372" s="3">
        <v>44694</v>
      </c>
      <c r="B372">
        <v>105</v>
      </c>
      <c r="C372" s="3">
        <f>_xlfn.XLOOKUP(B372,Stores!A:A,Stores!E:E)</f>
        <v>44161</v>
      </c>
      <c r="D372">
        <v>216</v>
      </c>
      <c r="E372" s="3">
        <f>_xlfn.XLOOKUP(D372,SalesReps!A:A,SalesReps!D:D)</f>
        <v>44672</v>
      </c>
      <c r="F372" s="3" t="str">
        <f>_xlfn.XLOOKUP(Table1[[#This Row],[RepID]],SalesReps!A:A,SalesReps!E:E)</f>
        <v>Left</v>
      </c>
      <c r="G372">
        <v>318</v>
      </c>
      <c r="H372" t="str">
        <f>_xlfn.XLOOKUP(Table1[[#This Row],[ProductID]],Products!A:A,Products!B:B)</f>
        <v>Electronics</v>
      </c>
      <c r="I372" t="str">
        <f>_xlfn.XLOOKUP(Table1[[#This Row],[ProductID]],Products!A:A,Products!C:C)</f>
        <v>Mobiles</v>
      </c>
      <c r="J372">
        <v>9</v>
      </c>
      <c r="K372" s="5">
        <f>_xlfn.XLOOKUP(Table1[[#This Row],[ProductID]],Products!A:A,Products!E:E)</f>
        <v>162.51</v>
      </c>
      <c r="L372" s="5">
        <v>249.89</v>
      </c>
      <c r="M372" s="6">
        <v>0.16</v>
      </c>
      <c r="N372" t="s">
        <v>10</v>
      </c>
      <c r="O372" s="5">
        <f t="shared" si="25"/>
        <v>209.90759999999997</v>
      </c>
      <c r="P372" s="5">
        <f t="shared" si="26"/>
        <v>1889.1683999999998</v>
      </c>
      <c r="Q372" s="5">
        <f>Table1[[#This Row],[Quantity]]*(Table1[[#This Row],[Saleprice]]-Table1[[#This Row],[Costprice]])</f>
        <v>426.57839999999987</v>
      </c>
      <c r="R372">
        <f t="shared" si="27"/>
        <v>2022</v>
      </c>
      <c r="S372">
        <f t="shared" si="28"/>
        <v>5</v>
      </c>
      <c r="T372" t="str">
        <f t="shared" si="29"/>
        <v>May</v>
      </c>
    </row>
    <row r="373" spans="1:20" x14ac:dyDescent="0.3">
      <c r="A373" s="3">
        <v>44694</v>
      </c>
      <c r="B373">
        <v>101</v>
      </c>
      <c r="C373" s="3">
        <f>_xlfn.XLOOKUP(B373,Stores!A:A,Stores!E:E)</f>
        <v>44691</v>
      </c>
      <c r="D373">
        <v>213</v>
      </c>
      <c r="E373" s="3">
        <f>_xlfn.XLOOKUP(D373,SalesReps!A:A,SalesReps!D:D)</f>
        <v>44255</v>
      </c>
      <c r="F373" s="3" t="str">
        <f>_xlfn.XLOOKUP(Table1[[#This Row],[RepID]],SalesReps!A:A,SalesReps!E:E)</f>
        <v>Active</v>
      </c>
      <c r="G373">
        <v>311</v>
      </c>
      <c r="H373" t="str">
        <f>_xlfn.XLOOKUP(Table1[[#This Row],[ProductID]],Products!A:A,Products!B:B)</f>
        <v>Home &amp; Kitchen</v>
      </c>
      <c r="I373" t="str">
        <f>_xlfn.XLOOKUP(Table1[[#This Row],[ProductID]],Products!A:A,Products!C:C)</f>
        <v>Furniture</v>
      </c>
      <c r="J373">
        <v>6</v>
      </c>
      <c r="K373" s="5">
        <f>_xlfn.XLOOKUP(Table1[[#This Row],[ProductID]],Products!A:A,Products!E:E)</f>
        <v>16.23</v>
      </c>
      <c r="L373" s="5">
        <v>73.739999999999995</v>
      </c>
      <c r="M373" s="6">
        <v>0.16</v>
      </c>
      <c r="N373" t="s">
        <v>8</v>
      </c>
      <c r="O373" s="5">
        <f t="shared" si="25"/>
        <v>61.941599999999994</v>
      </c>
      <c r="P373" s="5">
        <f t="shared" si="26"/>
        <v>371.64959999999996</v>
      </c>
      <c r="Q373" s="5">
        <f>Table1[[#This Row],[Quantity]]*(Table1[[#This Row],[Saleprice]]-Table1[[#This Row],[Costprice]])</f>
        <v>274.26959999999997</v>
      </c>
      <c r="R373">
        <f t="shared" si="27"/>
        <v>2022</v>
      </c>
      <c r="S373">
        <f t="shared" si="28"/>
        <v>5</v>
      </c>
      <c r="T373" t="str">
        <f t="shared" si="29"/>
        <v>May</v>
      </c>
    </row>
    <row r="374" spans="1:20" x14ac:dyDescent="0.3">
      <c r="A374" s="3">
        <v>44695</v>
      </c>
      <c r="B374">
        <v>101</v>
      </c>
      <c r="C374" s="3">
        <f>_xlfn.XLOOKUP(B374,Stores!A:A,Stores!E:E)</f>
        <v>44691</v>
      </c>
      <c r="D374">
        <v>201</v>
      </c>
      <c r="E374" s="3">
        <f>_xlfn.XLOOKUP(D374,SalesReps!A:A,SalesReps!D:D)</f>
        <v>44688</v>
      </c>
      <c r="F374" s="3" t="str">
        <f>_xlfn.XLOOKUP(Table1[[#This Row],[RepID]],SalesReps!A:A,SalesReps!E:E)</f>
        <v>Active</v>
      </c>
      <c r="G374">
        <v>318</v>
      </c>
      <c r="H374" t="str">
        <f>_xlfn.XLOOKUP(Table1[[#This Row],[ProductID]],Products!A:A,Products!B:B)</f>
        <v>Electronics</v>
      </c>
      <c r="I374" t="str">
        <f>_xlfn.XLOOKUP(Table1[[#This Row],[ProductID]],Products!A:A,Products!C:C)</f>
        <v>Mobiles</v>
      </c>
      <c r="J374">
        <v>2</v>
      </c>
      <c r="K374" s="5">
        <f>_xlfn.XLOOKUP(Table1[[#This Row],[ProductID]],Products!A:A,Products!E:E)</f>
        <v>162.51</v>
      </c>
      <c r="L374" s="5">
        <v>219.57</v>
      </c>
      <c r="M374" s="6">
        <v>0.13</v>
      </c>
      <c r="N374" t="s">
        <v>8</v>
      </c>
      <c r="O374" s="5">
        <f t="shared" si="25"/>
        <v>191.02590000000001</v>
      </c>
      <c r="P374" s="5">
        <f t="shared" si="26"/>
        <v>382.05180000000001</v>
      </c>
      <c r="Q374" s="5">
        <f>Table1[[#This Row],[Quantity]]*(Table1[[#This Row],[Saleprice]]-Table1[[#This Row],[Costprice]])</f>
        <v>57.031800000000032</v>
      </c>
      <c r="R374">
        <f t="shared" si="27"/>
        <v>2022</v>
      </c>
      <c r="S374">
        <f t="shared" si="28"/>
        <v>5</v>
      </c>
      <c r="T374" t="str">
        <f t="shared" si="29"/>
        <v>May</v>
      </c>
    </row>
    <row r="375" spans="1:20" x14ac:dyDescent="0.3">
      <c r="A375" s="3">
        <v>44695</v>
      </c>
      <c r="B375">
        <v>103</v>
      </c>
      <c r="C375" s="3">
        <f>_xlfn.XLOOKUP(B375,Stores!A:A,Stores!E:E)</f>
        <v>43952</v>
      </c>
      <c r="D375">
        <v>207</v>
      </c>
      <c r="E375" s="3">
        <f>_xlfn.XLOOKUP(D375,SalesReps!A:A,SalesReps!D:D)</f>
        <v>44656</v>
      </c>
      <c r="F375" s="3" t="str">
        <f>_xlfn.XLOOKUP(Table1[[#This Row],[RepID]],SalesReps!A:A,SalesReps!E:E)</f>
        <v>Active</v>
      </c>
      <c r="G375">
        <v>305</v>
      </c>
      <c r="H375" t="str">
        <f>_xlfn.XLOOKUP(Table1[[#This Row],[ProductID]],Products!A:A,Products!B:B)</f>
        <v>Electronics</v>
      </c>
      <c r="I375" t="str">
        <f>_xlfn.XLOOKUP(Table1[[#This Row],[ProductID]],Products!A:A,Products!C:C)</f>
        <v>Accessories</v>
      </c>
      <c r="J375">
        <v>3</v>
      </c>
      <c r="K375" s="5">
        <f>_xlfn.XLOOKUP(Table1[[#This Row],[ProductID]],Products!A:A,Products!E:E)</f>
        <v>275.32</v>
      </c>
      <c r="L375" s="5">
        <v>326.38</v>
      </c>
      <c r="M375" s="6">
        <v>0.19</v>
      </c>
      <c r="N375" t="s">
        <v>9</v>
      </c>
      <c r="O375" s="5">
        <f t="shared" si="25"/>
        <v>264.36779999999999</v>
      </c>
      <c r="P375" s="5">
        <f t="shared" si="26"/>
        <v>793.10339999999997</v>
      </c>
      <c r="Q375" s="5">
        <f>Table1[[#This Row],[Quantity]]*(Table1[[#This Row],[Saleprice]]-Table1[[#This Row],[Costprice]])</f>
        <v>-32.856600000000014</v>
      </c>
      <c r="R375">
        <f t="shared" si="27"/>
        <v>2022</v>
      </c>
      <c r="S375">
        <f t="shared" si="28"/>
        <v>5</v>
      </c>
      <c r="T375" t="str">
        <f t="shared" si="29"/>
        <v>May</v>
      </c>
    </row>
    <row r="376" spans="1:20" x14ac:dyDescent="0.3">
      <c r="A376" s="3">
        <v>44695</v>
      </c>
      <c r="B376">
        <v>105</v>
      </c>
      <c r="C376" s="3">
        <f>_xlfn.XLOOKUP(B376,Stores!A:A,Stores!E:E)</f>
        <v>44161</v>
      </c>
      <c r="D376">
        <v>216</v>
      </c>
      <c r="E376" s="3">
        <f>_xlfn.XLOOKUP(D376,SalesReps!A:A,SalesReps!D:D)</f>
        <v>44672</v>
      </c>
      <c r="F376" s="3" t="str">
        <f>_xlfn.XLOOKUP(Table1[[#This Row],[RepID]],SalesReps!A:A,SalesReps!E:E)</f>
        <v>Left</v>
      </c>
      <c r="G376">
        <v>303</v>
      </c>
      <c r="H376" t="str">
        <f>_xlfn.XLOOKUP(Table1[[#This Row],[ProductID]],Products!A:A,Products!B:B)</f>
        <v>Home &amp; Kitchen</v>
      </c>
      <c r="I376" t="str">
        <f>_xlfn.XLOOKUP(Table1[[#This Row],[ProductID]],Products!A:A,Products!C:C)</f>
        <v>Furniture</v>
      </c>
      <c r="J376">
        <v>9</v>
      </c>
      <c r="K376" s="5">
        <f>_xlfn.XLOOKUP(Table1[[#This Row],[ProductID]],Products!A:A,Products!E:E)</f>
        <v>192.04</v>
      </c>
      <c r="L376" s="5">
        <v>221.37</v>
      </c>
      <c r="M376" s="6">
        <v>0.06</v>
      </c>
      <c r="N376" t="s">
        <v>10</v>
      </c>
      <c r="O376" s="5">
        <f t="shared" si="25"/>
        <v>208.08779999999999</v>
      </c>
      <c r="P376" s="5">
        <f t="shared" si="26"/>
        <v>1872.7901999999999</v>
      </c>
      <c r="Q376" s="5">
        <f>Table1[[#This Row],[Quantity]]*(Table1[[#This Row],[Saleprice]]-Table1[[#This Row],[Costprice]])</f>
        <v>144.43019999999996</v>
      </c>
      <c r="R376">
        <f t="shared" si="27"/>
        <v>2022</v>
      </c>
      <c r="S376">
        <f t="shared" si="28"/>
        <v>5</v>
      </c>
      <c r="T376" t="str">
        <f t="shared" si="29"/>
        <v>May</v>
      </c>
    </row>
    <row r="377" spans="1:20" x14ac:dyDescent="0.3">
      <c r="A377" s="3">
        <v>44695</v>
      </c>
      <c r="B377">
        <v>104</v>
      </c>
      <c r="C377" s="3">
        <f>_xlfn.XLOOKUP(B377,Stores!A:A,Stores!E:E)</f>
        <v>44297</v>
      </c>
      <c r="D377">
        <v>202</v>
      </c>
      <c r="E377" s="3">
        <f>_xlfn.XLOOKUP(D377,SalesReps!A:A,SalesReps!D:D)</f>
        <v>44610</v>
      </c>
      <c r="F377" s="3" t="str">
        <f>_xlfn.XLOOKUP(Table1[[#This Row],[RepID]],SalesReps!A:A,SalesReps!E:E)</f>
        <v>Active</v>
      </c>
      <c r="G377">
        <v>310</v>
      </c>
      <c r="H377" t="str">
        <f>_xlfn.XLOOKUP(Table1[[#This Row],[ProductID]],Products!A:A,Products!B:B)</f>
        <v>Home &amp; Kitchen</v>
      </c>
      <c r="I377" t="str">
        <f>_xlfn.XLOOKUP(Table1[[#This Row],[ProductID]],Products!A:A,Products!C:C)</f>
        <v>Furniture</v>
      </c>
      <c r="J377">
        <v>8</v>
      </c>
      <c r="K377" s="5">
        <f>_xlfn.XLOOKUP(Table1[[#This Row],[ProductID]],Products!A:A,Products!E:E)</f>
        <v>160.31</v>
      </c>
      <c r="L377" s="5">
        <v>228.86</v>
      </c>
      <c r="M377" s="6">
        <v>0.22</v>
      </c>
      <c r="N377" t="s">
        <v>10</v>
      </c>
      <c r="O377" s="5">
        <f t="shared" si="25"/>
        <v>178.51080000000002</v>
      </c>
      <c r="P377" s="5">
        <f t="shared" si="26"/>
        <v>1428.0864000000001</v>
      </c>
      <c r="Q377" s="5">
        <f>Table1[[#This Row],[Quantity]]*(Table1[[#This Row],[Saleprice]]-Table1[[#This Row],[Costprice]])</f>
        <v>145.60640000000012</v>
      </c>
      <c r="R377">
        <f t="shared" si="27"/>
        <v>2022</v>
      </c>
      <c r="S377">
        <f t="shared" si="28"/>
        <v>5</v>
      </c>
      <c r="T377" t="str">
        <f t="shared" si="29"/>
        <v>May</v>
      </c>
    </row>
    <row r="378" spans="1:20" x14ac:dyDescent="0.3">
      <c r="A378" s="3">
        <v>44696</v>
      </c>
      <c r="B378">
        <v>101</v>
      </c>
      <c r="C378" s="3">
        <f>_xlfn.XLOOKUP(B378,Stores!A:A,Stores!E:E)</f>
        <v>44691</v>
      </c>
      <c r="D378">
        <v>201</v>
      </c>
      <c r="E378" s="3">
        <f>_xlfn.XLOOKUP(D378,SalesReps!A:A,SalesReps!D:D)</f>
        <v>44688</v>
      </c>
      <c r="F378" s="3" t="str">
        <f>_xlfn.XLOOKUP(Table1[[#This Row],[RepID]],SalesReps!A:A,SalesReps!E:E)</f>
        <v>Active</v>
      </c>
      <c r="G378">
        <v>311</v>
      </c>
      <c r="H378" t="str">
        <f>_xlfn.XLOOKUP(Table1[[#This Row],[ProductID]],Products!A:A,Products!B:B)</f>
        <v>Home &amp; Kitchen</v>
      </c>
      <c r="I378" t="str">
        <f>_xlfn.XLOOKUP(Table1[[#This Row],[ProductID]],Products!A:A,Products!C:C)</f>
        <v>Furniture</v>
      </c>
      <c r="J378">
        <v>9</v>
      </c>
      <c r="K378" s="5">
        <f>_xlfn.XLOOKUP(Table1[[#This Row],[ProductID]],Products!A:A,Products!E:E)</f>
        <v>16.23</v>
      </c>
      <c r="L378" s="5">
        <v>73.739999999999995</v>
      </c>
      <c r="M378" s="6">
        <v>0.16</v>
      </c>
      <c r="N378" t="s">
        <v>8</v>
      </c>
      <c r="O378" s="5">
        <f t="shared" si="25"/>
        <v>61.941599999999994</v>
      </c>
      <c r="P378" s="5">
        <f t="shared" si="26"/>
        <v>557.47439999999995</v>
      </c>
      <c r="Q378" s="5">
        <f>Table1[[#This Row],[Quantity]]*(Table1[[#This Row],[Saleprice]]-Table1[[#This Row],[Costprice]])</f>
        <v>411.4043999999999</v>
      </c>
      <c r="R378">
        <f t="shared" si="27"/>
        <v>2022</v>
      </c>
      <c r="S378">
        <f t="shared" si="28"/>
        <v>5</v>
      </c>
      <c r="T378" t="str">
        <f t="shared" si="29"/>
        <v>May</v>
      </c>
    </row>
    <row r="379" spans="1:20" x14ac:dyDescent="0.3">
      <c r="A379" s="3">
        <v>44696</v>
      </c>
      <c r="B379">
        <v>103</v>
      </c>
      <c r="C379" s="3">
        <f>_xlfn.XLOOKUP(B379,Stores!A:A,Stores!E:E)</f>
        <v>43952</v>
      </c>
      <c r="D379">
        <v>207</v>
      </c>
      <c r="E379" s="3">
        <f>_xlfn.XLOOKUP(D379,SalesReps!A:A,SalesReps!D:D)</f>
        <v>44656</v>
      </c>
      <c r="F379" s="3" t="str">
        <f>_xlfn.XLOOKUP(Table1[[#This Row],[RepID]],SalesReps!A:A,SalesReps!E:E)</f>
        <v>Active</v>
      </c>
      <c r="G379">
        <v>313</v>
      </c>
      <c r="H379" t="str">
        <f>_xlfn.XLOOKUP(Table1[[#This Row],[ProductID]],Products!A:A,Products!B:B)</f>
        <v>Clothing</v>
      </c>
      <c r="I379" t="str">
        <f>_xlfn.XLOOKUP(Table1[[#This Row],[ProductID]],Products!A:A,Products!C:C)</f>
        <v>Women</v>
      </c>
      <c r="J379">
        <v>1</v>
      </c>
      <c r="K379" s="5">
        <f>_xlfn.XLOOKUP(Table1[[#This Row],[ProductID]],Products!A:A,Products!E:E)</f>
        <v>104</v>
      </c>
      <c r="L379" s="5">
        <v>132.77000000000001</v>
      </c>
      <c r="M379" s="6">
        <v>0.06</v>
      </c>
      <c r="N379" t="s">
        <v>9</v>
      </c>
      <c r="O379" s="5">
        <f t="shared" si="25"/>
        <v>124.80380000000001</v>
      </c>
      <c r="P379" s="5">
        <f t="shared" si="26"/>
        <v>124.80380000000001</v>
      </c>
      <c r="Q379" s="5">
        <f>Table1[[#This Row],[Quantity]]*(Table1[[#This Row],[Saleprice]]-Table1[[#This Row],[Costprice]])</f>
        <v>20.80380000000001</v>
      </c>
      <c r="R379">
        <f t="shared" si="27"/>
        <v>2022</v>
      </c>
      <c r="S379">
        <f t="shared" si="28"/>
        <v>5</v>
      </c>
      <c r="T379" t="str">
        <f t="shared" si="29"/>
        <v>May</v>
      </c>
    </row>
    <row r="380" spans="1:20" x14ac:dyDescent="0.3">
      <c r="A380" s="3">
        <v>44696</v>
      </c>
      <c r="B380">
        <v>103</v>
      </c>
      <c r="C380" s="3">
        <f>_xlfn.XLOOKUP(B380,Stores!A:A,Stores!E:E)</f>
        <v>43952</v>
      </c>
      <c r="D380">
        <v>207</v>
      </c>
      <c r="E380" s="3">
        <f>_xlfn.XLOOKUP(D380,SalesReps!A:A,SalesReps!D:D)</f>
        <v>44656</v>
      </c>
      <c r="F380" s="3" t="str">
        <f>_xlfn.XLOOKUP(Table1[[#This Row],[RepID]],SalesReps!A:A,SalesReps!E:E)</f>
        <v>Active</v>
      </c>
      <c r="G380">
        <v>313</v>
      </c>
      <c r="H380" t="str">
        <f>_xlfn.XLOOKUP(Table1[[#This Row],[ProductID]],Products!A:A,Products!B:B)</f>
        <v>Clothing</v>
      </c>
      <c r="I380" t="str">
        <f>_xlfn.XLOOKUP(Table1[[#This Row],[ProductID]],Products!A:A,Products!C:C)</f>
        <v>Women</v>
      </c>
      <c r="J380">
        <v>4</v>
      </c>
      <c r="K380" s="5">
        <f>_xlfn.XLOOKUP(Table1[[#This Row],[ProductID]],Products!A:A,Products!E:E)</f>
        <v>104</v>
      </c>
      <c r="L380" s="5">
        <v>132.77000000000001</v>
      </c>
      <c r="M380" s="6">
        <v>0.06</v>
      </c>
      <c r="N380" t="s">
        <v>9</v>
      </c>
      <c r="O380" s="5">
        <f t="shared" si="25"/>
        <v>124.80380000000001</v>
      </c>
      <c r="P380" s="5">
        <f t="shared" si="26"/>
        <v>499.21520000000004</v>
      </c>
      <c r="Q380" s="5">
        <f>Table1[[#This Row],[Quantity]]*(Table1[[#This Row],[Saleprice]]-Table1[[#This Row],[Costprice]])</f>
        <v>83.215200000000038</v>
      </c>
      <c r="R380">
        <f t="shared" si="27"/>
        <v>2022</v>
      </c>
      <c r="S380">
        <f t="shared" si="28"/>
        <v>5</v>
      </c>
      <c r="T380" t="str">
        <f t="shared" si="29"/>
        <v>May</v>
      </c>
    </row>
    <row r="381" spans="1:20" x14ac:dyDescent="0.3">
      <c r="A381" s="3">
        <v>44697</v>
      </c>
      <c r="B381">
        <v>103</v>
      </c>
      <c r="C381" s="3">
        <f>_xlfn.XLOOKUP(B381,Stores!A:A,Stores!E:E)</f>
        <v>43952</v>
      </c>
      <c r="D381">
        <v>207</v>
      </c>
      <c r="E381" s="3">
        <f>_xlfn.XLOOKUP(D381,SalesReps!A:A,SalesReps!D:D)</f>
        <v>44656</v>
      </c>
      <c r="F381" s="3" t="str">
        <f>_xlfn.XLOOKUP(Table1[[#This Row],[RepID]],SalesReps!A:A,SalesReps!E:E)</f>
        <v>Active</v>
      </c>
      <c r="G381">
        <v>310</v>
      </c>
      <c r="H381" t="str">
        <f>_xlfn.XLOOKUP(Table1[[#This Row],[ProductID]],Products!A:A,Products!B:B)</f>
        <v>Home &amp; Kitchen</v>
      </c>
      <c r="I381" t="str">
        <f>_xlfn.XLOOKUP(Table1[[#This Row],[ProductID]],Products!A:A,Products!C:C)</f>
        <v>Furniture</v>
      </c>
      <c r="J381">
        <v>7</v>
      </c>
      <c r="K381" s="5">
        <f>_xlfn.XLOOKUP(Table1[[#This Row],[ProductID]],Products!A:A,Products!E:E)</f>
        <v>160.31</v>
      </c>
      <c r="L381" s="5">
        <v>198.57</v>
      </c>
      <c r="M381" s="6">
        <v>0.18</v>
      </c>
      <c r="N381" t="s">
        <v>9</v>
      </c>
      <c r="O381" s="5">
        <f t="shared" si="25"/>
        <v>162.82740000000001</v>
      </c>
      <c r="P381" s="5">
        <f t="shared" si="26"/>
        <v>1139.7918</v>
      </c>
      <c r="Q381" s="5">
        <f>Table1[[#This Row],[Quantity]]*(Table1[[#This Row],[Saleprice]]-Table1[[#This Row],[Costprice]])</f>
        <v>17.621800000000064</v>
      </c>
      <c r="R381">
        <f t="shared" si="27"/>
        <v>2022</v>
      </c>
      <c r="S381">
        <f t="shared" si="28"/>
        <v>5</v>
      </c>
      <c r="T381" t="str">
        <f t="shared" si="29"/>
        <v>May</v>
      </c>
    </row>
    <row r="382" spans="1:20" x14ac:dyDescent="0.3">
      <c r="A382" s="3">
        <v>44697</v>
      </c>
      <c r="B382">
        <v>101</v>
      </c>
      <c r="C382" s="3">
        <f>_xlfn.XLOOKUP(B382,Stores!A:A,Stores!E:E)</f>
        <v>44691</v>
      </c>
      <c r="D382">
        <v>203</v>
      </c>
      <c r="E382" s="3">
        <f>_xlfn.XLOOKUP(D382,SalesReps!A:A,SalesReps!D:D)</f>
        <v>44582</v>
      </c>
      <c r="F382" s="3" t="str">
        <f>_xlfn.XLOOKUP(Table1[[#This Row],[RepID]],SalesReps!A:A,SalesReps!E:E)</f>
        <v>Active</v>
      </c>
      <c r="G382">
        <v>309</v>
      </c>
      <c r="H382" t="str">
        <f>_xlfn.XLOOKUP(Table1[[#This Row],[ProductID]],Products!A:A,Products!B:B)</f>
        <v>Electronics</v>
      </c>
      <c r="I382" t="str">
        <f>_xlfn.XLOOKUP(Table1[[#This Row],[ProductID]],Products!A:A,Products!C:C)</f>
        <v>Laptops</v>
      </c>
      <c r="J382">
        <v>8</v>
      </c>
      <c r="K382" s="5">
        <f>_xlfn.XLOOKUP(Table1[[#This Row],[ProductID]],Products!A:A,Products!E:E)</f>
        <v>229.68</v>
      </c>
      <c r="L382" s="5">
        <v>323.99</v>
      </c>
      <c r="M382" s="6">
        <v>0.24</v>
      </c>
      <c r="N382" t="s">
        <v>8</v>
      </c>
      <c r="O382" s="5">
        <f t="shared" si="25"/>
        <v>246.23240000000001</v>
      </c>
      <c r="P382" s="5">
        <f t="shared" si="26"/>
        <v>1969.8592000000001</v>
      </c>
      <c r="Q382" s="5">
        <f>Table1[[#This Row],[Quantity]]*(Table1[[#This Row],[Saleprice]]-Table1[[#This Row],[Costprice]])</f>
        <v>132.41920000000005</v>
      </c>
      <c r="R382">
        <f t="shared" si="27"/>
        <v>2022</v>
      </c>
      <c r="S382">
        <f t="shared" si="28"/>
        <v>5</v>
      </c>
      <c r="T382" t="str">
        <f t="shared" si="29"/>
        <v>May</v>
      </c>
    </row>
    <row r="383" spans="1:20" x14ac:dyDescent="0.3">
      <c r="A383" s="3">
        <v>44698</v>
      </c>
      <c r="B383">
        <v>103</v>
      </c>
      <c r="C383" s="3">
        <f>_xlfn.XLOOKUP(B383,Stores!A:A,Stores!E:E)</f>
        <v>43952</v>
      </c>
      <c r="D383">
        <v>207</v>
      </c>
      <c r="E383" s="3">
        <f>_xlfn.XLOOKUP(D383,SalesReps!A:A,SalesReps!D:D)</f>
        <v>44656</v>
      </c>
      <c r="F383" s="3" t="str">
        <f>_xlfn.XLOOKUP(Table1[[#This Row],[RepID]],SalesReps!A:A,SalesReps!E:E)</f>
        <v>Active</v>
      </c>
      <c r="G383">
        <v>312</v>
      </c>
      <c r="H383" t="str">
        <f>_xlfn.XLOOKUP(Table1[[#This Row],[ProductID]],Products!A:A,Products!B:B)</f>
        <v>Toys</v>
      </c>
      <c r="I383" t="str">
        <f>_xlfn.XLOOKUP(Table1[[#This Row],[ProductID]],Products!A:A,Products!C:C)</f>
        <v>Board Games</v>
      </c>
      <c r="J383">
        <v>9</v>
      </c>
      <c r="K383" s="5">
        <f>_xlfn.XLOOKUP(Table1[[#This Row],[ProductID]],Products!A:A,Products!E:E)</f>
        <v>100.05</v>
      </c>
      <c r="L383" s="5">
        <v>144.93</v>
      </c>
      <c r="M383" s="6">
        <v>0.1</v>
      </c>
      <c r="N383" t="s">
        <v>9</v>
      </c>
      <c r="O383" s="5">
        <f t="shared" si="25"/>
        <v>130.43700000000001</v>
      </c>
      <c r="P383" s="5">
        <f t="shared" si="26"/>
        <v>1173.933</v>
      </c>
      <c r="Q383" s="5">
        <f>Table1[[#This Row],[Quantity]]*(Table1[[#This Row],[Saleprice]]-Table1[[#This Row],[Costprice]])</f>
        <v>273.48300000000012</v>
      </c>
      <c r="R383">
        <f t="shared" si="27"/>
        <v>2022</v>
      </c>
      <c r="S383">
        <f t="shared" si="28"/>
        <v>5</v>
      </c>
      <c r="T383" t="str">
        <f t="shared" si="29"/>
        <v>May</v>
      </c>
    </row>
    <row r="384" spans="1:20" x14ac:dyDescent="0.3">
      <c r="A384" s="3">
        <v>44698</v>
      </c>
      <c r="B384">
        <v>101</v>
      </c>
      <c r="C384" s="3">
        <f>_xlfn.XLOOKUP(B384,Stores!A:A,Stores!E:E)</f>
        <v>44691</v>
      </c>
      <c r="D384">
        <v>206</v>
      </c>
      <c r="E384" s="3">
        <f>_xlfn.XLOOKUP(D384,SalesReps!A:A,SalesReps!D:D)</f>
        <v>44357</v>
      </c>
      <c r="F384" s="3" t="str">
        <f>_xlfn.XLOOKUP(Table1[[#This Row],[RepID]],SalesReps!A:A,SalesReps!E:E)</f>
        <v>Active</v>
      </c>
      <c r="G384">
        <v>302</v>
      </c>
      <c r="H384" t="str">
        <f>_xlfn.XLOOKUP(Table1[[#This Row],[ProductID]],Products!A:A,Products!B:B)</f>
        <v>Toys</v>
      </c>
      <c r="I384" t="str">
        <f>_xlfn.XLOOKUP(Table1[[#This Row],[ProductID]],Products!A:A,Products!C:C)</f>
        <v>Outdoor</v>
      </c>
      <c r="J384">
        <v>3</v>
      </c>
      <c r="K384" s="5">
        <f>_xlfn.XLOOKUP(Table1[[#This Row],[ProductID]],Products!A:A,Products!E:E)</f>
        <v>393.46</v>
      </c>
      <c r="L384" s="5">
        <v>426.61</v>
      </c>
      <c r="M384" s="6">
        <v>0.08</v>
      </c>
      <c r="N384" t="s">
        <v>8</v>
      </c>
      <c r="O384" s="5">
        <f t="shared" si="25"/>
        <v>392.48120000000006</v>
      </c>
      <c r="P384" s="5">
        <f t="shared" si="26"/>
        <v>1177.4436000000001</v>
      </c>
      <c r="Q384" s="5">
        <f>Table1[[#This Row],[Quantity]]*(Table1[[#This Row],[Saleprice]]-Table1[[#This Row],[Costprice]])</f>
        <v>-2.9363999999997645</v>
      </c>
      <c r="R384">
        <f t="shared" si="27"/>
        <v>2022</v>
      </c>
      <c r="S384">
        <f t="shared" si="28"/>
        <v>5</v>
      </c>
      <c r="T384" t="str">
        <f t="shared" si="29"/>
        <v>May</v>
      </c>
    </row>
    <row r="385" spans="1:20" x14ac:dyDescent="0.3">
      <c r="A385" s="3">
        <v>44698</v>
      </c>
      <c r="B385">
        <v>101</v>
      </c>
      <c r="C385" s="3">
        <f>_xlfn.XLOOKUP(B385,Stores!A:A,Stores!E:E)</f>
        <v>44691</v>
      </c>
      <c r="D385">
        <v>213</v>
      </c>
      <c r="E385" s="3">
        <f>_xlfn.XLOOKUP(D385,SalesReps!A:A,SalesReps!D:D)</f>
        <v>44255</v>
      </c>
      <c r="F385" s="3" t="str">
        <f>_xlfn.XLOOKUP(Table1[[#This Row],[RepID]],SalesReps!A:A,SalesReps!E:E)</f>
        <v>Active</v>
      </c>
      <c r="G385">
        <v>307</v>
      </c>
      <c r="H385" t="str">
        <f>_xlfn.XLOOKUP(Table1[[#This Row],[ProductID]],Products!A:A,Products!B:B)</f>
        <v>Toys</v>
      </c>
      <c r="I385" t="str">
        <f>_xlfn.XLOOKUP(Table1[[#This Row],[ProductID]],Products!A:A,Products!C:C)</f>
        <v>Outdoor</v>
      </c>
      <c r="J385">
        <v>1</v>
      </c>
      <c r="K385" s="5">
        <f>_xlfn.XLOOKUP(Table1[[#This Row],[ProductID]],Products!A:A,Products!E:E)</f>
        <v>15.17</v>
      </c>
      <c r="L385" s="5">
        <v>68.45</v>
      </c>
      <c r="M385" s="6">
        <v>0.19</v>
      </c>
      <c r="N385" t="s">
        <v>8</v>
      </c>
      <c r="O385" s="5">
        <f t="shared" si="25"/>
        <v>55.444500000000005</v>
      </c>
      <c r="P385" s="5">
        <f t="shared" si="26"/>
        <v>55.444500000000005</v>
      </c>
      <c r="Q385" s="5">
        <f>Table1[[#This Row],[Quantity]]*(Table1[[#This Row],[Saleprice]]-Table1[[#This Row],[Costprice]])</f>
        <v>40.274500000000003</v>
      </c>
      <c r="R385">
        <f t="shared" si="27"/>
        <v>2022</v>
      </c>
      <c r="S385">
        <f t="shared" si="28"/>
        <v>5</v>
      </c>
      <c r="T385" t="str">
        <f t="shared" si="29"/>
        <v>May</v>
      </c>
    </row>
    <row r="386" spans="1:20" x14ac:dyDescent="0.3">
      <c r="A386" s="3">
        <v>44698</v>
      </c>
      <c r="B386">
        <v>101</v>
      </c>
      <c r="C386" s="3">
        <f>_xlfn.XLOOKUP(B386,Stores!A:A,Stores!E:E)</f>
        <v>44691</v>
      </c>
      <c r="D386">
        <v>206</v>
      </c>
      <c r="E386" s="3">
        <f>_xlfn.XLOOKUP(D386,SalesReps!A:A,SalesReps!D:D)</f>
        <v>44357</v>
      </c>
      <c r="F386" s="3" t="str">
        <f>_xlfn.XLOOKUP(Table1[[#This Row],[RepID]],SalesReps!A:A,SalesReps!E:E)</f>
        <v>Active</v>
      </c>
      <c r="G386">
        <v>304</v>
      </c>
      <c r="H386" t="str">
        <f>_xlfn.XLOOKUP(Table1[[#This Row],[ProductID]],Products!A:A,Products!B:B)</f>
        <v>Home &amp; Kitchen</v>
      </c>
      <c r="I386" t="str">
        <f>_xlfn.XLOOKUP(Table1[[#This Row],[ProductID]],Products!A:A,Products!C:C)</f>
        <v>Furniture</v>
      </c>
      <c r="J386">
        <v>1</v>
      </c>
      <c r="K386" s="5">
        <f>_xlfn.XLOOKUP(Table1[[#This Row],[ProductID]],Products!A:A,Products!E:E)</f>
        <v>345.38</v>
      </c>
      <c r="L386" s="5">
        <v>401.66</v>
      </c>
      <c r="M386" s="6">
        <v>0.09</v>
      </c>
      <c r="N386" t="s">
        <v>8</v>
      </c>
      <c r="O386" s="5">
        <f t="shared" ref="O386:O449" si="30">L386*(1-M386)</f>
        <v>365.51060000000001</v>
      </c>
      <c r="P386" s="5">
        <f t="shared" ref="P386:P449" si="31">O386*J386</f>
        <v>365.51060000000001</v>
      </c>
      <c r="Q386" s="5">
        <f>Table1[[#This Row],[Quantity]]*(Table1[[#This Row],[Saleprice]]-Table1[[#This Row],[Costprice]])</f>
        <v>20.130600000000015</v>
      </c>
      <c r="R386">
        <f t="shared" ref="R386:R449" si="32">YEAR(A386)</f>
        <v>2022</v>
      </c>
      <c r="S386">
        <f t="shared" ref="S386:S449" si="33">MONTH(A386)</f>
        <v>5</v>
      </c>
      <c r="T386" t="str">
        <f t="shared" ref="T386:T449" si="34">TEXT(A386,"MMMM")</f>
        <v>May</v>
      </c>
    </row>
    <row r="387" spans="1:20" x14ac:dyDescent="0.3">
      <c r="A387" s="3">
        <v>44698</v>
      </c>
      <c r="B387">
        <v>105</v>
      </c>
      <c r="C387" s="3">
        <f>_xlfn.XLOOKUP(B387,Stores!A:A,Stores!E:E)</f>
        <v>44161</v>
      </c>
      <c r="D387">
        <v>216</v>
      </c>
      <c r="E387" s="3">
        <f>_xlfn.XLOOKUP(D387,SalesReps!A:A,SalesReps!D:D)</f>
        <v>44672</v>
      </c>
      <c r="F387" s="3" t="str">
        <f>_xlfn.XLOOKUP(Table1[[#This Row],[RepID]],SalesReps!A:A,SalesReps!E:E)</f>
        <v>Left</v>
      </c>
      <c r="G387">
        <v>303</v>
      </c>
      <c r="H387" t="str">
        <f>_xlfn.XLOOKUP(Table1[[#This Row],[ProductID]],Products!A:A,Products!B:B)</f>
        <v>Home &amp; Kitchen</v>
      </c>
      <c r="I387" t="str">
        <f>_xlfn.XLOOKUP(Table1[[#This Row],[ProductID]],Products!A:A,Products!C:C)</f>
        <v>Furniture</v>
      </c>
      <c r="J387">
        <v>3</v>
      </c>
      <c r="K387" s="5">
        <f>_xlfn.XLOOKUP(Table1[[#This Row],[ProductID]],Products!A:A,Products!E:E)</f>
        <v>192.04</v>
      </c>
      <c r="L387" s="5">
        <v>221.37</v>
      </c>
      <c r="M387" s="6">
        <v>0.06</v>
      </c>
      <c r="N387" t="s">
        <v>10</v>
      </c>
      <c r="O387" s="5">
        <f t="shared" si="30"/>
        <v>208.08779999999999</v>
      </c>
      <c r="P387" s="5">
        <f t="shared" si="31"/>
        <v>624.26339999999993</v>
      </c>
      <c r="Q387" s="5">
        <f>Table1[[#This Row],[Quantity]]*(Table1[[#This Row],[Saleprice]]-Table1[[#This Row],[Costprice]])</f>
        <v>48.143399999999986</v>
      </c>
      <c r="R387">
        <f t="shared" si="32"/>
        <v>2022</v>
      </c>
      <c r="S387">
        <f t="shared" si="33"/>
        <v>5</v>
      </c>
      <c r="T387" t="str">
        <f t="shared" si="34"/>
        <v>May</v>
      </c>
    </row>
    <row r="388" spans="1:20" x14ac:dyDescent="0.3">
      <c r="A388" s="3">
        <v>44698</v>
      </c>
      <c r="B388">
        <v>105</v>
      </c>
      <c r="C388" s="3">
        <f>_xlfn.XLOOKUP(B388,Stores!A:A,Stores!E:E)</f>
        <v>44161</v>
      </c>
      <c r="D388">
        <v>216</v>
      </c>
      <c r="E388" s="3">
        <f>_xlfn.XLOOKUP(D388,SalesReps!A:A,SalesReps!D:D)</f>
        <v>44672</v>
      </c>
      <c r="F388" s="3" t="str">
        <f>_xlfn.XLOOKUP(Table1[[#This Row],[RepID]],SalesReps!A:A,SalesReps!E:E)</f>
        <v>Left</v>
      </c>
      <c r="G388">
        <v>306</v>
      </c>
      <c r="H388" t="str">
        <f>_xlfn.XLOOKUP(Table1[[#This Row],[ProductID]],Products!A:A,Products!B:B)</f>
        <v>Clothing</v>
      </c>
      <c r="I388" t="str">
        <f>_xlfn.XLOOKUP(Table1[[#This Row],[ProductID]],Products!A:A,Products!C:C)</f>
        <v>Men</v>
      </c>
      <c r="J388">
        <v>9</v>
      </c>
      <c r="K388" s="5">
        <f>_xlfn.XLOOKUP(Table1[[#This Row],[ProductID]],Products!A:A,Products!E:E)</f>
        <v>185.69</v>
      </c>
      <c r="L388" s="5">
        <v>243.21</v>
      </c>
      <c r="M388" s="6">
        <v>0.17</v>
      </c>
      <c r="N388" t="s">
        <v>10</v>
      </c>
      <c r="O388" s="5">
        <f t="shared" si="30"/>
        <v>201.86429999999999</v>
      </c>
      <c r="P388" s="5">
        <f t="shared" si="31"/>
        <v>1816.7786999999998</v>
      </c>
      <c r="Q388" s="5">
        <f>Table1[[#This Row],[Quantity]]*(Table1[[#This Row],[Saleprice]]-Table1[[#This Row],[Costprice]])</f>
        <v>145.56869999999989</v>
      </c>
      <c r="R388">
        <f t="shared" si="32"/>
        <v>2022</v>
      </c>
      <c r="S388">
        <f t="shared" si="33"/>
        <v>5</v>
      </c>
      <c r="T388" t="str">
        <f t="shared" si="34"/>
        <v>May</v>
      </c>
    </row>
    <row r="389" spans="1:20" x14ac:dyDescent="0.3">
      <c r="A389" s="3">
        <v>44699</v>
      </c>
      <c r="B389">
        <v>105</v>
      </c>
      <c r="C389" s="3">
        <f>_xlfn.XLOOKUP(B389,Stores!A:A,Stores!E:E)</f>
        <v>44161</v>
      </c>
      <c r="D389">
        <v>216</v>
      </c>
      <c r="E389" s="3">
        <f>_xlfn.XLOOKUP(D389,SalesReps!A:A,SalesReps!D:D)</f>
        <v>44672</v>
      </c>
      <c r="F389" s="3" t="str">
        <f>_xlfn.XLOOKUP(Table1[[#This Row],[RepID]],SalesReps!A:A,SalesReps!E:E)</f>
        <v>Left</v>
      </c>
      <c r="G389">
        <v>314</v>
      </c>
      <c r="H389" t="str">
        <f>_xlfn.XLOOKUP(Table1[[#This Row],[ProductID]],Products!A:A,Products!B:B)</f>
        <v>Clothing</v>
      </c>
      <c r="I389" t="str">
        <f>_xlfn.XLOOKUP(Table1[[#This Row],[ProductID]],Products!A:A,Products!C:C)</f>
        <v>Kids</v>
      </c>
      <c r="J389">
        <v>1</v>
      </c>
      <c r="K389" s="5">
        <f>_xlfn.XLOOKUP(Table1[[#This Row],[ProductID]],Products!A:A,Products!E:E)</f>
        <v>276.47000000000003</v>
      </c>
      <c r="L389" s="5">
        <v>322.16000000000003</v>
      </c>
      <c r="M389" s="6">
        <v>0.19</v>
      </c>
      <c r="N389" t="s">
        <v>10</v>
      </c>
      <c r="O389" s="5">
        <f t="shared" si="30"/>
        <v>260.94960000000003</v>
      </c>
      <c r="P389" s="5">
        <f t="shared" si="31"/>
        <v>260.94960000000003</v>
      </c>
      <c r="Q389" s="5">
        <f>Table1[[#This Row],[Quantity]]*(Table1[[#This Row],[Saleprice]]-Table1[[#This Row],[Costprice]])</f>
        <v>-15.520399999999995</v>
      </c>
      <c r="R389">
        <f t="shared" si="32"/>
        <v>2022</v>
      </c>
      <c r="S389">
        <f t="shared" si="33"/>
        <v>5</v>
      </c>
      <c r="T389" t="str">
        <f t="shared" si="34"/>
        <v>May</v>
      </c>
    </row>
    <row r="390" spans="1:20" x14ac:dyDescent="0.3">
      <c r="A390" s="3">
        <v>44699</v>
      </c>
      <c r="B390">
        <v>106</v>
      </c>
      <c r="C390" s="3">
        <f>_xlfn.XLOOKUP(B390,Stores!A:A,Stores!E:E)</f>
        <v>43918</v>
      </c>
      <c r="D390">
        <v>212</v>
      </c>
      <c r="E390" s="3">
        <f>_xlfn.XLOOKUP(D390,SalesReps!A:A,SalesReps!D:D)</f>
        <v>44671</v>
      </c>
      <c r="F390" s="3" t="str">
        <f>_xlfn.XLOOKUP(Table1[[#This Row],[RepID]],SalesReps!A:A,SalesReps!E:E)</f>
        <v>Active</v>
      </c>
      <c r="G390">
        <v>305</v>
      </c>
      <c r="H390" t="str">
        <f>_xlfn.XLOOKUP(Table1[[#This Row],[ProductID]],Products!A:A,Products!B:B)</f>
        <v>Electronics</v>
      </c>
      <c r="I390" t="str">
        <f>_xlfn.XLOOKUP(Table1[[#This Row],[ProductID]],Products!A:A,Products!C:C)</f>
        <v>Accessories</v>
      </c>
      <c r="J390">
        <v>6</v>
      </c>
      <c r="K390" s="5">
        <f>_xlfn.XLOOKUP(Table1[[#This Row],[ProductID]],Products!A:A,Products!E:E)</f>
        <v>275.32</v>
      </c>
      <c r="L390" s="5">
        <v>333.34</v>
      </c>
      <c r="M390" s="6">
        <v>0.13</v>
      </c>
      <c r="N390" t="s">
        <v>10</v>
      </c>
      <c r="O390" s="5">
        <f t="shared" si="30"/>
        <v>290.00579999999997</v>
      </c>
      <c r="P390" s="5">
        <f t="shared" si="31"/>
        <v>1740.0347999999999</v>
      </c>
      <c r="Q390" s="5">
        <f>Table1[[#This Row],[Quantity]]*(Table1[[#This Row],[Saleprice]]-Table1[[#This Row],[Costprice]])</f>
        <v>88.114799999999832</v>
      </c>
      <c r="R390">
        <f t="shared" si="32"/>
        <v>2022</v>
      </c>
      <c r="S390">
        <f t="shared" si="33"/>
        <v>5</v>
      </c>
      <c r="T390" t="str">
        <f t="shared" si="34"/>
        <v>May</v>
      </c>
    </row>
    <row r="391" spans="1:20" x14ac:dyDescent="0.3">
      <c r="A391" s="3">
        <v>44699</v>
      </c>
      <c r="B391">
        <v>103</v>
      </c>
      <c r="C391" s="3">
        <f>_xlfn.XLOOKUP(B391,Stores!A:A,Stores!E:E)</f>
        <v>43952</v>
      </c>
      <c r="D391">
        <v>207</v>
      </c>
      <c r="E391" s="3">
        <f>_xlfn.XLOOKUP(D391,SalesReps!A:A,SalesReps!D:D)</f>
        <v>44656</v>
      </c>
      <c r="F391" s="3" t="str">
        <f>_xlfn.XLOOKUP(Table1[[#This Row],[RepID]],SalesReps!A:A,SalesReps!E:E)</f>
        <v>Active</v>
      </c>
      <c r="G391">
        <v>305</v>
      </c>
      <c r="H391" t="str">
        <f>_xlfn.XLOOKUP(Table1[[#This Row],[ProductID]],Products!A:A,Products!B:B)</f>
        <v>Electronics</v>
      </c>
      <c r="I391" t="str">
        <f>_xlfn.XLOOKUP(Table1[[#This Row],[ProductID]],Products!A:A,Products!C:C)</f>
        <v>Accessories</v>
      </c>
      <c r="J391">
        <v>4</v>
      </c>
      <c r="K391" s="5">
        <f>_xlfn.XLOOKUP(Table1[[#This Row],[ProductID]],Products!A:A,Products!E:E)</f>
        <v>275.32</v>
      </c>
      <c r="L391" s="5">
        <v>326.38</v>
      </c>
      <c r="M391" s="6">
        <v>0.19</v>
      </c>
      <c r="N391" t="s">
        <v>9</v>
      </c>
      <c r="O391" s="5">
        <f t="shared" si="30"/>
        <v>264.36779999999999</v>
      </c>
      <c r="P391" s="5">
        <f t="shared" si="31"/>
        <v>1057.4712</v>
      </c>
      <c r="Q391" s="5">
        <f>Table1[[#This Row],[Quantity]]*(Table1[[#This Row],[Saleprice]]-Table1[[#This Row],[Costprice]])</f>
        <v>-43.808800000000019</v>
      </c>
      <c r="R391">
        <f t="shared" si="32"/>
        <v>2022</v>
      </c>
      <c r="S391">
        <f t="shared" si="33"/>
        <v>5</v>
      </c>
      <c r="T391" t="str">
        <f t="shared" si="34"/>
        <v>May</v>
      </c>
    </row>
    <row r="392" spans="1:20" x14ac:dyDescent="0.3">
      <c r="A392" s="3">
        <v>44699</v>
      </c>
      <c r="B392">
        <v>103</v>
      </c>
      <c r="C392" s="3">
        <f>_xlfn.XLOOKUP(B392,Stores!A:A,Stores!E:E)</f>
        <v>43952</v>
      </c>
      <c r="D392">
        <v>207</v>
      </c>
      <c r="E392" s="3">
        <f>_xlfn.XLOOKUP(D392,SalesReps!A:A,SalesReps!D:D)</f>
        <v>44656</v>
      </c>
      <c r="F392" s="3" t="str">
        <f>_xlfn.XLOOKUP(Table1[[#This Row],[RepID]],SalesReps!A:A,SalesReps!E:E)</f>
        <v>Active</v>
      </c>
      <c r="G392">
        <v>311</v>
      </c>
      <c r="H392" t="str">
        <f>_xlfn.XLOOKUP(Table1[[#This Row],[ProductID]],Products!A:A,Products!B:B)</f>
        <v>Home &amp; Kitchen</v>
      </c>
      <c r="I392" t="str">
        <f>_xlfn.XLOOKUP(Table1[[#This Row],[ProductID]],Products!A:A,Products!C:C)</f>
        <v>Furniture</v>
      </c>
      <c r="J392">
        <v>9</v>
      </c>
      <c r="K392" s="5">
        <f>_xlfn.XLOOKUP(Table1[[#This Row],[ProductID]],Products!A:A,Products!E:E)</f>
        <v>16.23</v>
      </c>
      <c r="L392" s="5">
        <v>50.27</v>
      </c>
      <c r="M392" s="6">
        <v>0.09</v>
      </c>
      <c r="N392" t="s">
        <v>9</v>
      </c>
      <c r="O392" s="5">
        <f t="shared" si="30"/>
        <v>45.745700000000006</v>
      </c>
      <c r="P392" s="5">
        <f t="shared" si="31"/>
        <v>411.71130000000005</v>
      </c>
      <c r="Q392" s="5">
        <f>Table1[[#This Row],[Quantity]]*(Table1[[#This Row],[Saleprice]]-Table1[[#This Row],[Costprice]])</f>
        <v>265.64130000000006</v>
      </c>
      <c r="R392">
        <f t="shared" si="32"/>
        <v>2022</v>
      </c>
      <c r="S392">
        <f t="shared" si="33"/>
        <v>5</v>
      </c>
      <c r="T392" t="str">
        <f t="shared" si="34"/>
        <v>May</v>
      </c>
    </row>
    <row r="393" spans="1:20" x14ac:dyDescent="0.3">
      <c r="A393" s="3">
        <v>44699</v>
      </c>
      <c r="B393">
        <v>103</v>
      </c>
      <c r="C393" s="3">
        <f>_xlfn.XLOOKUP(B393,Stores!A:A,Stores!E:E)</f>
        <v>43952</v>
      </c>
      <c r="D393">
        <v>207</v>
      </c>
      <c r="E393" s="3">
        <f>_xlfn.XLOOKUP(D393,SalesReps!A:A,SalesReps!D:D)</f>
        <v>44656</v>
      </c>
      <c r="F393" s="3" t="str">
        <f>_xlfn.XLOOKUP(Table1[[#This Row],[RepID]],SalesReps!A:A,SalesReps!E:E)</f>
        <v>Active</v>
      </c>
      <c r="G393">
        <v>305</v>
      </c>
      <c r="H393" t="str">
        <f>_xlfn.XLOOKUP(Table1[[#This Row],[ProductID]],Products!A:A,Products!B:B)</f>
        <v>Electronics</v>
      </c>
      <c r="I393" t="str">
        <f>_xlfn.XLOOKUP(Table1[[#This Row],[ProductID]],Products!A:A,Products!C:C)</f>
        <v>Accessories</v>
      </c>
      <c r="J393">
        <v>5</v>
      </c>
      <c r="K393" s="5">
        <f>_xlfn.XLOOKUP(Table1[[#This Row],[ProductID]],Products!A:A,Products!E:E)</f>
        <v>275.32</v>
      </c>
      <c r="L393" s="5">
        <v>326.38</v>
      </c>
      <c r="M393" s="6">
        <v>0.19</v>
      </c>
      <c r="N393" t="s">
        <v>9</v>
      </c>
      <c r="O393" s="5">
        <f t="shared" si="30"/>
        <v>264.36779999999999</v>
      </c>
      <c r="P393" s="5">
        <f t="shared" si="31"/>
        <v>1321.8389999999999</v>
      </c>
      <c r="Q393" s="5">
        <f>Table1[[#This Row],[Quantity]]*(Table1[[#This Row],[Saleprice]]-Table1[[#This Row],[Costprice]])</f>
        <v>-54.761000000000024</v>
      </c>
      <c r="R393">
        <f t="shared" si="32"/>
        <v>2022</v>
      </c>
      <c r="S393">
        <f t="shared" si="33"/>
        <v>5</v>
      </c>
      <c r="T393" t="str">
        <f t="shared" si="34"/>
        <v>May</v>
      </c>
    </row>
    <row r="394" spans="1:20" x14ac:dyDescent="0.3">
      <c r="A394" s="3">
        <v>44700</v>
      </c>
      <c r="B394">
        <v>103</v>
      </c>
      <c r="C394" s="3">
        <f>_xlfn.XLOOKUP(B394,Stores!A:A,Stores!E:E)</f>
        <v>43952</v>
      </c>
      <c r="D394">
        <v>207</v>
      </c>
      <c r="E394" s="3">
        <f>_xlfn.XLOOKUP(D394,SalesReps!A:A,SalesReps!D:D)</f>
        <v>44656</v>
      </c>
      <c r="F394" s="3" t="str">
        <f>_xlfn.XLOOKUP(Table1[[#This Row],[RepID]],SalesReps!A:A,SalesReps!E:E)</f>
        <v>Active</v>
      </c>
      <c r="G394">
        <v>314</v>
      </c>
      <c r="H394" t="str">
        <f>_xlfn.XLOOKUP(Table1[[#This Row],[ProductID]],Products!A:A,Products!B:B)</f>
        <v>Clothing</v>
      </c>
      <c r="I394" t="str">
        <f>_xlfn.XLOOKUP(Table1[[#This Row],[ProductID]],Products!A:A,Products!C:C)</f>
        <v>Kids</v>
      </c>
      <c r="J394">
        <v>7</v>
      </c>
      <c r="K394" s="5">
        <f>_xlfn.XLOOKUP(Table1[[#This Row],[ProductID]],Products!A:A,Products!E:E)</f>
        <v>276.47000000000003</v>
      </c>
      <c r="L394" s="5">
        <v>352.15</v>
      </c>
      <c r="M394" s="6">
        <v>0.1</v>
      </c>
      <c r="N394" t="s">
        <v>9</v>
      </c>
      <c r="O394" s="5">
        <f t="shared" si="30"/>
        <v>316.935</v>
      </c>
      <c r="P394" s="5">
        <f t="shared" si="31"/>
        <v>2218.5450000000001</v>
      </c>
      <c r="Q394" s="5">
        <f>Table1[[#This Row],[Quantity]]*(Table1[[#This Row],[Saleprice]]-Table1[[#This Row],[Costprice]])</f>
        <v>283.25499999999982</v>
      </c>
      <c r="R394">
        <f t="shared" si="32"/>
        <v>2022</v>
      </c>
      <c r="S394">
        <f t="shared" si="33"/>
        <v>5</v>
      </c>
      <c r="T394" t="str">
        <f t="shared" si="34"/>
        <v>May</v>
      </c>
    </row>
    <row r="395" spans="1:20" x14ac:dyDescent="0.3">
      <c r="A395" s="3">
        <v>44700</v>
      </c>
      <c r="B395">
        <v>103</v>
      </c>
      <c r="C395" s="3">
        <f>_xlfn.XLOOKUP(B395,Stores!A:A,Stores!E:E)</f>
        <v>43952</v>
      </c>
      <c r="D395">
        <v>207</v>
      </c>
      <c r="E395" s="3">
        <f>_xlfn.XLOOKUP(D395,SalesReps!A:A,SalesReps!D:D)</f>
        <v>44656</v>
      </c>
      <c r="F395" s="3" t="str">
        <f>_xlfn.XLOOKUP(Table1[[#This Row],[RepID]],SalesReps!A:A,SalesReps!E:E)</f>
        <v>Active</v>
      </c>
      <c r="G395">
        <v>313</v>
      </c>
      <c r="H395" t="str">
        <f>_xlfn.XLOOKUP(Table1[[#This Row],[ProductID]],Products!A:A,Products!B:B)</f>
        <v>Clothing</v>
      </c>
      <c r="I395" t="str">
        <f>_xlfn.XLOOKUP(Table1[[#This Row],[ProductID]],Products!A:A,Products!C:C)</f>
        <v>Women</v>
      </c>
      <c r="J395">
        <v>6</v>
      </c>
      <c r="K395" s="5">
        <f>_xlfn.XLOOKUP(Table1[[#This Row],[ProductID]],Products!A:A,Products!E:E)</f>
        <v>104</v>
      </c>
      <c r="L395" s="5">
        <v>132.77000000000001</v>
      </c>
      <c r="M395" s="6">
        <v>0.06</v>
      </c>
      <c r="N395" t="s">
        <v>9</v>
      </c>
      <c r="O395" s="5">
        <f t="shared" si="30"/>
        <v>124.80380000000001</v>
      </c>
      <c r="P395" s="5">
        <f t="shared" si="31"/>
        <v>748.82280000000003</v>
      </c>
      <c r="Q395" s="5">
        <f>Table1[[#This Row],[Quantity]]*(Table1[[#This Row],[Saleprice]]-Table1[[#This Row],[Costprice]])</f>
        <v>124.82280000000006</v>
      </c>
      <c r="R395">
        <f t="shared" si="32"/>
        <v>2022</v>
      </c>
      <c r="S395">
        <f t="shared" si="33"/>
        <v>5</v>
      </c>
      <c r="T395" t="str">
        <f t="shared" si="34"/>
        <v>May</v>
      </c>
    </row>
    <row r="396" spans="1:20" x14ac:dyDescent="0.3">
      <c r="A396" s="3">
        <v>44701</v>
      </c>
      <c r="B396">
        <v>101</v>
      </c>
      <c r="C396" s="3">
        <f>_xlfn.XLOOKUP(B396,Stores!A:A,Stores!E:E)</f>
        <v>44691</v>
      </c>
      <c r="D396">
        <v>206</v>
      </c>
      <c r="E396" s="3">
        <f>_xlfn.XLOOKUP(D396,SalesReps!A:A,SalesReps!D:D)</f>
        <v>44357</v>
      </c>
      <c r="F396" s="3" t="str">
        <f>_xlfn.XLOOKUP(Table1[[#This Row],[RepID]],SalesReps!A:A,SalesReps!E:E)</f>
        <v>Active</v>
      </c>
      <c r="G396">
        <v>311</v>
      </c>
      <c r="H396" t="str">
        <f>_xlfn.XLOOKUP(Table1[[#This Row],[ProductID]],Products!A:A,Products!B:B)</f>
        <v>Home &amp; Kitchen</v>
      </c>
      <c r="I396" t="str">
        <f>_xlfn.XLOOKUP(Table1[[#This Row],[ProductID]],Products!A:A,Products!C:C)</f>
        <v>Furniture</v>
      </c>
      <c r="J396">
        <v>3</v>
      </c>
      <c r="K396" s="5">
        <f>_xlfn.XLOOKUP(Table1[[#This Row],[ProductID]],Products!A:A,Products!E:E)</f>
        <v>16.23</v>
      </c>
      <c r="L396" s="5">
        <v>73.739999999999995</v>
      </c>
      <c r="M396" s="6">
        <v>0.16</v>
      </c>
      <c r="N396" t="s">
        <v>8</v>
      </c>
      <c r="O396" s="5">
        <f t="shared" si="30"/>
        <v>61.941599999999994</v>
      </c>
      <c r="P396" s="5">
        <f t="shared" si="31"/>
        <v>185.82479999999998</v>
      </c>
      <c r="Q396" s="5">
        <f>Table1[[#This Row],[Quantity]]*(Table1[[#This Row],[Saleprice]]-Table1[[#This Row],[Costprice]])</f>
        <v>137.13479999999998</v>
      </c>
      <c r="R396">
        <f t="shared" si="32"/>
        <v>2022</v>
      </c>
      <c r="S396">
        <f t="shared" si="33"/>
        <v>5</v>
      </c>
      <c r="T396" t="str">
        <f t="shared" si="34"/>
        <v>May</v>
      </c>
    </row>
    <row r="397" spans="1:20" x14ac:dyDescent="0.3">
      <c r="A397" s="3">
        <v>44702</v>
      </c>
      <c r="B397">
        <v>101</v>
      </c>
      <c r="C397" s="3">
        <f>_xlfn.XLOOKUP(B397,Stores!A:A,Stores!E:E)</f>
        <v>44691</v>
      </c>
      <c r="D397">
        <v>201</v>
      </c>
      <c r="E397" s="3">
        <f>_xlfn.XLOOKUP(D397,SalesReps!A:A,SalesReps!D:D)</f>
        <v>44688</v>
      </c>
      <c r="F397" s="3" t="str">
        <f>_xlfn.XLOOKUP(Table1[[#This Row],[RepID]],SalesReps!A:A,SalesReps!E:E)</f>
        <v>Active</v>
      </c>
      <c r="G397">
        <v>314</v>
      </c>
      <c r="H397" t="str">
        <f>_xlfn.XLOOKUP(Table1[[#This Row],[ProductID]],Products!A:A,Products!B:B)</f>
        <v>Clothing</v>
      </c>
      <c r="I397" t="str">
        <f>_xlfn.XLOOKUP(Table1[[#This Row],[ProductID]],Products!A:A,Products!C:C)</f>
        <v>Kids</v>
      </c>
      <c r="J397">
        <v>2</v>
      </c>
      <c r="K397" s="5">
        <f>_xlfn.XLOOKUP(Table1[[#This Row],[ProductID]],Products!A:A,Products!E:E)</f>
        <v>276.47000000000003</v>
      </c>
      <c r="L397" s="5">
        <v>349.36</v>
      </c>
      <c r="M397" s="6">
        <v>0.06</v>
      </c>
      <c r="N397" t="s">
        <v>8</v>
      </c>
      <c r="O397" s="5">
        <f t="shared" si="30"/>
        <v>328.39839999999998</v>
      </c>
      <c r="P397" s="5">
        <f t="shared" si="31"/>
        <v>656.79679999999996</v>
      </c>
      <c r="Q397" s="5">
        <f>Table1[[#This Row],[Quantity]]*(Table1[[#This Row],[Saleprice]]-Table1[[#This Row],[Costprice]])</f>
        <v>103.85679999999991</v>
      </c>
      <c r="R397">
        <f t="shared" si="32"/>
        <v>2022</v>
      </c>
      <c r="S397">
        <f t="shared" si="33"/>
        <v>5</v>
      </c>
      <c r="T397" t="str">
        <f t="shared" si="34"/>
        <v>May</v>
      </c>
    </row>
    <row r="398" spans="1:20" x14ac:dyDescent="0.3">
      <c r="A398" s="3">
        <v>44702</v>
      </c>
      <c r="B398">
        <v>103</v>
      </c>
      <c r="C398" s="3">
        <f>_xlfn.XLOOKUP(B398,Stores!A:A,Stores!E:E)</f>
        <v>43952</v>
      </c>
      <c r="D398">
        <v>207</v>
      </c>
      <c r="E398" s="3">
        <f>_xlfn.XLOOKUP(D398,SalesReps!A:A,SalesReps!D:D)</f>
        <v>44656</v>
      </c>
      <c r="F398" s="3" t="str">
        <f>_xlfn.XLOOKUP(Table1[[#This Row],[RepID]],SalesReps!A:A,SalesReps!E:E)</f>
        <v>Active</v>
      </c>
      <c r="G398">
        <v>313</v>
      </c>
      <c r="H398" t="str">
        <f>_xlfn.XLOOKUP(Table1[[#This Row],[ProductID]],Products!A:A,Products!B:B)</f>
        <v>Clothing</v>
      </c>
      <c r="I398" t="str">
        <f>_xlfn.XLOOKUP(Table1[[#This Row],[ProductID]],Products!A:A,Products!C:C)</f>
        <v>Women</v>
      </c>
      <c r="J398">
        <v>5</v>
      </c>
      <c r="K398" s="5">
        <f>_xlfn.XLOOKUP(Table1[[#This Row],[ProductID]],Products!A:A,Products!E:E)</f>
        <v>104</v>
      </c>
      <c r="L398" s="5">
        <v>132.77000000000001</v>
      </c>
      <c r="M398" s="6">
        <v>0.06</v>
      </c>
      <c r="N398" t="s">
        <v>9</v>
      </c>
      <c r="O398" s="5">
        <f t="shared" si="30"/>
        <v>124.80380000000001</v>
      </c>
      <c r="P398" s="5">
        <f t="shared" si="31"/>
        <v>624.01900000000001</v>
      </c>
      <c r="Q398" s="5">
        <f>Table1[[#This Row],[Quantity]]*(Table1[[#This Row],[Saleprice]]-Table1[[#This Row],[Costprice]])</f>
        <v>104.01900000000005</v>
      </c>
      <c r="R398">
        <f t="shared" si="32"/>
        <v>2022</v>
      </c>
      <c r="S398">
        <f t="shared" si="33"/>
        <v>5</v>
      </c>
      <c r="T398" t="str">
        <f t="shared" si="34"/>
        <v>May</v>
      </c>
    </row>
    <row r="399" spans="1:20" x14ac:dyDescent="0.3">
      <c r="A399" s="3">
        <v>44704</v>
      </c>
      <c r="B399">
        <v>106</v>
      </c>
      <c r="C399" s="3">
        <f>_xlfn.XLOOKUP(B399,Stores!A:A,Stores!E:E)</f>
        <v>43918</v>
      </c>
      <c r="D399">
        <v>212</v>
      </c>
      <c r="E399" s="3">
        <f>_xlfn.XLOOKUP(D399,SalesReps!A:A,SalesReps!D:D)</f>
        <v>44671</v>
      </c>
      <c r="F399" s="3" t="str">
        <f>_xlfn.XLOOKUP(Table1[[#This Row],[RepID]],SalesReps!A:A,SalesReps!E:E)</f>
        <v>Active</v>
      </c>
      <c r="G399">
        <v>309</v>
      </c>
      <c r="H399" t="str">
        <f>_xlfn.XLOOKUP(Table1[[#This Row],[ProductID]],Products!A:A,Products!B:B)</f>
        <v>Electronics</v>
      </c>
      <c r="I399" t="str">
        <f>_xlfn.XLOOKUP(Table1[[#This Row],[ProductID]],Products!A:A,Products!C:C)</f>
        <v>Laptops</v>
      </c>
      <c r="J399">
        <v>2</v>
      </c>
      <c r="K399" s="5">
        <f>_xlfn.XLOOKUP(Table1[[#This Row],[ProductID]],Products!A:A,Products!E:E)</f>
        <v>229.68</v>
      </c>
      <c r="L399" s="5">
        <v>251.67</v>
      </c>
      <c r="M399" s="6">
        <v>0.12</v>
      </c>
      <c r="N399" t="s">
        <v>10</v>
      </c>
      <c r="O399" s="5">
        <f t="shared" si="30"/>
        <v>221.46959999999999</v>
      </c>
      <c r="P399" s="5">
        <f t="shared" si="31"/>
        <v>442.93919999999997</v>
      </c>
      <c r="Q399" s="5">
        <f>Table1[[#This Row],[Quantity]]*(Table1[[#This Row],[Saleprice]]-Table1[[#This Row],[Costprice]])</f>
        <v>-16.420800000000042</v>
      </c>
      <c r="R399">
        <f t="shared" si="32"/>
        <v>2022</v>
      </c>
      <c r="S399">
        <f t="shared" si="33"/>
        <v>5</v>
      </c>
      <c r="T399" t="str">
        <f t="shared" si="34"/>
        <v>May</v>
      </c>
    </row>
    <row r="400" spans="1:20" x14ac:dyDescent="0.3">
      <c r="A400" s="3">
        <v>44704</v>
      </c>
      <c r="B400">
        <v>101</v>
      </c>
      <c r="C400" s="3">
        <f>_xlfn.XLOOKUP(B400,Stores!A:A,Stores!E:E)</f>
        <v>44691</v>
      </c>
      <c r="D400">
        <v>201</v>
      </c>
      <c r="E400" s="3">
        <f>_xlfn.XLOOKUP(D400,SalesReps!A:A,SalesReps!D:D)</f>
        <v>44688</v>
      </c>
      <c r="F400" s="3" t="str">
        <f>_xlfn.XLOOKUP(Table1[[#This Row],[RepID]],SalesReps!A:A,SalesReps!E:E)</f>
        <v>Active</v>
      </c>
      <c r="G400">
        <v>314</v>
      </c>
      <c r="H400" t="str">
        <f>_xlfn.XLOOKUP(Table1[[#This Row],[ProductID]],Products!A:A,Products!B:B)</f>
        <v>Clothing</v>
      </c>
      <c r="I400" t="str">
        <f>_xlfn.XLOOKUP(Table1[[#This Row],[ProductID]],Products!A:A,Products!C:C)</f>
        <v>Kids</v>
      </c>
      <c r="J400">
        <v>4</v>
      </c>
      <c r="K400" s="5">
        <f>_xlfn.XLOOKUP(Table1[[#This Row],[ProductID]],Products!A:A,Products!E:E)</f>
        <v>276.47000000000003</v>
      </c>
      <c r="L400" s="5">
        <v>349.36</v>
      </c>
      <c r="M400" s="6">
        <v>0.06</v>
      </c>
      <c r="N400" t="s">
        <v>8</v>
      </c>
      <c r="O400" s="5">
        <f t="shared" si="30"/>
        <v>328.39839999999998</v>
      </c>
      <c r="P400" s="5">
        <f t="shared" si="31"/>
        <v>1313.5935999999999</v>
      </c>
      <c r="Q400" s="5">
        <f>Table1[[#This Row],[Quantity]]*(Table1[[#This Row],[Saleprice]]-Table1[[#This Row],[Costprice]])</f>
        <v>207.71359999999981</v>
      </c>
      <c r="R400">
        <f t="shared" si="32"/>
        <v>2022</v>
      </c>
      <c r="S400">
        <f t="shared" si="33"/>
        <v>5</v>
      </c>
      <c r="T400" t="str">
        <f t="shared" si="34"/>
        <v>May</v>
      </c>
    </row>
    <row r="401" spans="1:20" x14ac:dyDescent="0.3">
      <c r="A401" s="3">
        <v>44704</v>
      </c>
      <c r="B401">
        <v>105</v>
      </c>
      <c r="C401" s="3">
        <f>_xlfn.XLOOKUP(B401,Stores!A:A,Stores!E:E)</f>
        <v>44161</v>
      </c>
      <c r="D401">
        <v>216</v>
      </c>
      <c r="E401" s="3">
        <f>_xlfn.XLOOKUP(D401,SalesReps!A:A,SalesReps!D:D)</f>
        <v>44672</v>
      </c>
      <c r="F401" s="3" t="str">
        <f>_xlfn.XLOOKUP(Table1[[#This Row],[RepID]],SalesReps!A:A,SalesReps!E:E)</f>
        <v>Left</v>
      </c>
      <c r="G401">
        <v>306</v>
      </c>
      <c r="H401" t="str">
        <f>_xlfn.XLOOKUP(Table1[[#This Row],[ProductID]],Products!A:A,Products!B:B)</f>
        <v>Clothing</v>
      </c>
      <c r="I401" t="str">
        <f>_xlfn.XLOOKUP(Table1[[#This Row],[ProductID]],Products!A:A,Products!C:C)</f>
        <v>Men</v>
      </c>
      <c r="J401">
        <v>4</v>
      </c>
      <c r="K401" s="5">
        <f>_xlfn.XLOOKUP(Table1[[#This Row],[ProductID]],Products!A:A,Products!E:E)</f>
        <v>185.69</v>
      </c>
      <c r="L401" s="5">
        <v>243.21</v>
      </c>
      <c r="M401" s="6">
        <v>0.17</v>
      </c>
      <c r="N401" t="s">
        <v>10</v>
      </c>
      <c r="O401" s="5">
        <f t="shared" si="30"/>
        <v>201.86429999999999</v>
      </c>
      <c r="P401" s="5">
        <f t="shared" si="31"/>
        <v>807.45719999999994</v>
      </c>
      <c r="Q401" s="5">
        <f>Table1[[#This Row],[Quantity]]*(Table1[[#This Row],[Saleprice]]-Table1[[#This Row],[Costprice]])</f>
        <v>64.697199999999953</v>
      </c>
      <c r="R401">
        <f t="shared" si="32"/>
        <v>2022</v>
      </c>
      <c r="S401">
        <f t="shared" si="33"/>
        <v>5</v>
      </c>
      <c r="T401" t="str">
        <f t="shared" si="34"/>
        <v>May</v>
      </c>
    </row>
    <row r="402" spans="1:20" x14ac:dyDescent="0.3">
      <c r="A402" s="3">
        <v>44704</v>
      </c>
      <c r="B402">
        <v>103</v>
      </c>
      <c r="C402" s="3">
        <f>_xlfn.XLOOKUP(B402,Stores!A:A,Stores!E:E)</f>
        <v>43952</v>
      </c>
      <c r="D402">
        <v>207</v>
      </c>
      <c r="E402" s="3">
        <f>_xlfn.XLOOKUP(D402,SalesReps!A:A,SalesReps!D:D)</f>
        <v>44656</v>
      </c>
      <c r="F402" s="3" t="str">
        <f>_xlfn.XLOOKUP(Table1[[#This Row],[RepID]],SalesReps!A:A,SalesReps!E:E)</f>
        <v>Active</v>
      </c>
      <c r="G402">
        <v>315</v>
      </c>
      <c r="H402" t="str">
        <f>_xlfn.XLOOKUP(Table1[[#This Row],[ProductID]],Products!A:A,Products!B:B)</f>
        <v>Toys</v>
      </c>
      <c r="I402" t="str">
        <f>_xlfn.XLOOKUP(Table1[[#This Row],[ProductID]],Products!A:A,Products!C:C)</f>
        <v>Board Games</v>
      </c>
      <c r="J402">
        <v>4</v>
      </c>
      <c r="K402" s="5">
        <f>_xlfn.XLOOKUP(Table1[[#This Row],[ProductID]],Products!A:A,Products!E:E)</f>
        <v>247.9</v>
      </c>
      <c r="L402" s="5">
        <v>267.97000000000003</v>
      </c>
      <c r="M402" s="6">
        <v>7.0000000000000007E-2</v>
      </c>
      <c r="N402" t="s">
        <v>9</v>
      </c>
      <c r="O402" s="5">
        <f t="shared" si="30"/>
        <v>249.21210000000002</v>
      </c>
      <c r="P402" s="5">
        <f t="shared" si="31"/>
        <v>996.84840000000008</v>
      </c>
      <c r="Q402" s="5">
        <f>Table1[[#This Row],[Quantity]]*(Table1[[#This Row],[Saleprice]]-Table1[[#This Row],[Costprice]])</f>
        <v>5.2484000000000606</v>
      </c>
      <c r="R402">
        <f t="shared" si="32"/>
        <v>2022</v>
      </c>
      <c r="S402">
        <f t="shared" si="33"/>
        <v>5</v>
      </c>
      <c r="T402" t="str">
        <f t="shared" si="34"/>
        <v>May</v>
      </c>
    </row>
    <row r="403" spans="1:20" x14ac:dyDescent="0.3">
      <c r="A403" s="3">
        <v>44704</v>
      </c>
      <c r="B403">
        <v>106</v>
      </c>
      <c r="C403" s="3">
        <f>_xlfn.XLOOKUP(B403,Stores!A:A,Stores!E:E)</f>
        <v>43918</v>
      </c>
      <c r="D403">
        <v>212</v>
      </c>
      <c r="E403" s="3">
        <f>_xlfn.XLOOKUP(D403,SalesReps!A:A,SalesReps!D:D)</f>
        <v>44671</v>
      </c>
      <c r="F403" s="3" t="str">
        <f>_xlfn.XLOOKUP(Table1[[#This Row],[RepID]],SalesReps!A:A,SalesReps!E:E)</f>
        <v>Active</v>
      </c>
      <c r="G403">
        <v>313</v>
      </c>
      <c r="H403" t="str">
        <f>_xlfn.XLOOKUP(Table1[[#This Row],[ProductID]],Products!A:A,Products!B:B)</f>
        <v>Clothing</v>
      </c>
      <c r="I403" t="str">
        <f>_xlfn.XLOOKUP(Table1[[#This Row],[ProductID]],Products!A:A,Products!C:C)</f>
        <v>Women</v>
      </c>
      <c r="J403">
        <v>7</v>
      </c>
      <c r="K403" s="5">
        <f>_xlfn.XLOOKUP(Table1[[#This Row],[ProductID]],Products!A:A,Products!E:E)</f>
        <v>104</v>
      </c>
      <c r="L403" s="5">
        <v>134.80000000000001</v>
      </c>
      <c r="M403" s="6">
        <v>0.24</v>
      </c>
      <c r="N403" t="s">
        <v>10</v>
      </c>
      <c r="O403" s="5">
        <f t="shared" si="30"/>
        <v>102.44800000000001</v>
      </c>
      <c r="P403" s="5">
        <f t="shared" si="31"/>
        <v>717.13600000000008</v>
      </c>
      <c r="Q403" s="5">
        <f>Table1[[#This Row],[Quantity]]*(Table1[[#This Row],[Saleprice]]-Table1[[#This Row],[Costprice]])</f>
        <v>-10.863999999999947</v>
      </c>
      <c r="R403">
        <f t="shared" si="32"/>
        <v>2022</v>
      </c>
      <c r="S403">
        <f t="shared" si="33"/>
        <v>5</v>
      </c>
      <c r="T403" t="str">
        <f t="shared" si="34"/>
        <v>May</v>
      </c>
    </row>
    <row r="404" spans="1:20" x14ac:dyDescent="0.3">
      <c r="A404" s="3">
        <v>44704</v>
      </c>
      <c r="B404">
        <v>103</v>
      </c>
      <c r="C404" s="3">
        <f>_xlfn.XLOOKUP(B404,Stores!A:A,Stores!E:E)</f>
        <v>43952</v>
      </c>
      <c r="D404">
        <v>207</v>
      </c>
      <c r="E404" s="3">
        <f>_xlfn.XLOOKUP(D404,SalesReps!A:A,SalesReps!D:D)</f>
        <v>44656</v>
      </c>
      <c r="F404" s="3" t="str">
        <f>_xlfn.XLOOKUP(Table1[[#This Row],[RepID]],SalesReps!A:A,SalesReps!E:E)</f>
        <v>Active</v>
      </c>
      <c r="G404">
        <v>315</v>
      </c>
      <c r="H404" t="str">
        <f>_xlfn.XLOOKUP(Table1[[#This Row],[ProductID]],Products!A:A,Products!B:B)</f>
        <v>Toys</v>
      </c>
      <c r="I404" t="str">
        <f>_xlfn.XLOOKUP(Table1[[#This Row],[ProductID]],Products!A:A,Products!C:C)</f>
        <v>Board Games</v>
      </c>
      <c r="J404">
        <v>9</v>
      </c>
      <c r="K404" s="5">
        <f>_xlfn.XLOOKUP(Table1[[#This Row],[ProductID]],Products!A:A,Products!E:E)</f>
        <v>247.9</v>
      </c>
      <c r="L404" s="5">
        <v>267.97000000000003</v>
      </c>
      <c r="M404" s="6">
        <v>7.0000000000000007E-2</v>
      </c>
      <c r="N404" t="s">
        <v>9</v>
      </c>
      <c r="O404" s="5">
        <f t="shared" si="30"/>
        <v>249.21210000000002</v>
      </c>
      <c r="P404" s="5">
        <f t="shared" si="31"/>
        <v>2242.9089000000004</v>
      </c>
      <c r="Q404" s="5">
        <f>Table1[[#This Row],[Quantity]]*(Table1[[#This Row],[Saleprice]]-Table1[[#This Row],[Costprice]])</f>
        <v>11.808900000000136</v>
      </c>
      <c r="R404">
        <f t="shared" si="32"/>
        <v>2022</v>
      </c>
      <c r="S404">
        <f t="shared" si="33"/>
        <v>5</v>
      </c>
      <c r="T404" t="str">
        <f t="shared" si="34"/>
        <v>May</v>
      </c>
    </row>
    <row r="405" spans="1:20" x14ac:dyDescent="0.3">
      <c r="A405" s="3">
        <v>44705</v>
      </c>
      <c r="B405">
        <v>103</v>
      </c>
      <c r="C405" s="3">
        <f>_xlfn.XLOOKUP(B405,Stores!A:A,Stores!E:E)</f>
        <v>43952</v>
      </c>
      <c r="D405">
        <v>207</v>
      </c>
      <c r="E405" s="3">
        <f>_xlfn.XLOOKUP(D405,SalesReps!A:A,SalesReps!D:D)</f>
        <v>44656</v>
      </c>
      <c r="F405" s="3" t="str">
        <f>_xlfn.XLOOKUP(Table1[[#This Row],[RepID]],SalesReps!A:A,SalesReps!E:E)</f>
        <v>Active</v>
      </c>
      <c r="G405">
        <v>315</v>
      </c>
      <c r="H405" t="str">
        <f>_xlfn.XLOOKUP(Table1[[#This Row],[ProductID]],Products!A:A,Products!B:B)</f>
        <v>Toys</v>
      </c>
      <c r="I405" t="str">
        <f>_xlfn.XLOOKUP(Table1[[#This Row],[ProductID]],Products!A:A,Products!C:C)</f>
        <v>Board Games</v>
      </c>
      <c r="J405">
        <v>7</v>
      </c>
      <c r="K405" s="5">
        <f>_xlfn.XLOOKUP(Table1[[#This Row],[ProductID]],Products!A:A,Products!E:E)</f>
        <v>247.9</v>
      </c>
      <c r="L405" s="5">
        <v>267.97000000000003</v>
      </c>
      <c r="M405" s="6">
        <v>7.0000000000000007E-2</v>
      </c>
      <c r="N405" t="s">
        <v>9</v>
      </c>
      <c r="O405" s="5">
        <f t="shared" si="30"/>
        <v>249.21210000000002</v>
      </c>
      <c r="P405" s="5">
        <f t="shared" si="31"/>
        <v>1744.4847000000002</v>
      </c>
      <c r="Q405" s="5">
        <f>Table1[[#This Row],[Quantity]]*(Table1[[#This Row],[Saleprice]]-Table1[[#This Row],[Costprice]])</f>
        <v>9.184700000000106</v>
      </c>
      <c r="R405">
        <f t="shared" si="32"/>
        <v>2022</v>
      </c>
      <c r="S405">
        <f t="shared" si="33"/>
        <v>5</v>
      </c>
      <c r="T405" t="str">
        <f t="shared" si="34"/>
        <v>May</v>
      </c>
    </row>
    <row r="406" spans="1:20" x14ac:dyDescent="0.3">
      <c r="A406" s="3">
        <v>44705</v>
      </c>
      <c r="B406">
        <v>101</v>
      </c>
      <c r="C406" s="3">
        <f>_xlfn.XLOOKUP(B406,Stores!A:A,Stores!E:E)</f>
        <v>44691</v>
      </c>
      <c r="D406">
        <v>213</v>
      </c>
      <c r="E406" s="3">
        <f>_xlfn.XLOOKUP(D406,SalesReps!A:A,SalesReps!D:D)</f>
        <v>44255</v>
      </c>
      <c r="F406" s="3" t="str">
        <f>_xlfn.XLOOKUP(Table1[[#This Row],[RepID]],SalesReps!A:A,SalesReps!E:E)</f>
        <v>Active</v>
      </c>
      <c r="G406">
        <v>306</v>
      </c>
      <c r="H406" t="str">
        <f>_xlfn.XLOOKUP(Table1[[#This Row],[ProductID]],Products!A:A,Products!B:B)</f>
        <v>Clothing</v>
      </c>
      <c r="I406" t="str">
        <f>_xlfn.XLOOKUP(Table1[[#This Row],[ProductID]],Products!A:A,Products!C:C)</f>
        <v>Men</v>
      </c>
      <c r="J406">
        <v>1</v>
      </c>
      <c r="K406" s="5">
        <f>_xlfn.XLOOKUP(Table1[[#This Row],[ProductID]],Products!A:A,Products!E:E)</f>
        <v>185.69</v>
      </c>
      <c r="L406" s="5">
        <v>283.47000000000003</v>
      </c>
      <c r="M406" s="6">
        <v>0.13</v>
      </c>
      <c r="N406" t="s">
        <v>8</v>
      </c>
      <c r="O406" s="5">
        <f t="shared" si="30"/>
        <v>246.61890000000002</v>
      </c>
      <c r="P406" s="5">
        <f t="shared" si="31"/>
        <v>246.61890000000002</v>
      </c>
      <c r="Q406" s="5">
        <f>Table1[[#This Row],[Quantity]]*(Table1[[#This Row],[Saleprice]]-Table1[[#This Row],[Costprice]])</f>
        <v>60.928900000000027</v>
      </c>
      <c r="R406">
        <f t="shared" si="32"/>
        <v>2022</v>
      </c>
      <c r="S406">
        <f t="shared" si="33"/>
        <v>5</v>
      </c>
      <c r="T406" t="str">
        <f t="shared" si="34"/>
        <v>May</v>
      </c>
    </row>
    <row r="407" spans="1:20" x14ac:dyDescent="0.3">
      <c r="A407" s="3">
        <v>44705</v>
      </c>
      <c r="B407">
        <v>105</v>
      </c>
      <c r="C407" s="3">
        <f>_xlfn.XLOOKUP(B407,Stores!A:A,Stores!E:E)</f>
        <v>44161</v>
      </c>
      <c r="D407">
        <v>216</v>
      </c>
      <c r="E407" s="3">
        <f>_xlfn.XLOOKUP(D407,SalesReps!A:A,SalesReps!D:D)</f>
        <v>44672</v>
      </c>
      <c r="F407" s="3" t="str">
        <f>_xlfn.XLOOKUP(Table1[[#This Row],[RepID]],SalesReps!A:A,SalesReps!E:E)</f>
        <v>Left</v>
      </c>
      <c r="G407">
        <v>318</v>
      </c>
      <c r="H407" t="str">
        <f>_xlfn.XLOOKUP(Table1[[#This Row],[ProductID]],Products!A:A,Products!B:B)</f>
        <v>Electronics</v>
      </c>
      <c r="I407" t="str">
        <f>_xlfn.XLOOKUP(Table1[[#This Row],[ProductID]],Products!A:A,Products!C:C)</f>
        <v>Mobiles</v>
      </c>
      <c r="J407">
        <v>3</v>
      </c>
      <c r="K407" s="5">
        <f>_xlfn.XLOOKUP(Table1[[#This Row],[ProductID]],Products!A:A,Products!E:E)</f>
        <v>162.51</v>
      </c>
      <c r="L407" s="5">
        <v>249.89</v>
      </c>
      <c r="M407" s="6">
        <v>0.16</v>
      </c>
      <c r="N407" t="s">
        <v>10</v>
      </c>
      <c r="O407" s="5">
        <f t="shared" si="30"/>
        <v>209.90759999999997</v>
      </c>
      <c r="P407" s="5">
        <f t="shared" si="31"/>
        <v>629.72279999999989</v>
      </c>
      <c r="Q407" s="5">
        <f>Table1[[#This Row],[Quantity]]*(Table1[[#This Row],[Saleprice]]-Table1[[#This Row],[Costprice]])</f>
        <v>142.19279999999995</v>
      </c>
      <c r="R407">
        <f t="shared" si="32"/>
        <v>2022</v>
      </c>
      <c r="S407">
        <f t="shared" si="33"/>
        <v>5</v>
      </c>
      <c r="T407" t="str">
        <f t="shared" si="34"/>
        <v>May</v>
      </c>
    </row>
    <row r="408" spans="1:20" x14ac:dyDescent="0.3">
      <c r="A408" s="3">
        <v>44706</v>
      </c>
      <c r="B408">
        <v>101</v>
      </c>
      <c r="C408" s="3">
        <f>_xlfn.XLOOKUP(B408,Stores!A:A,Stores!E:E)</f>
        <v>44691</v>
      </c>
      <c r="D408">
        <v>206</v>
      </c>
      <c r="E408" s="3">
        <f>_xlfn.XLOOKUP(D408,SalesReps!A:A,SalesReps!D:D)</f>
        <v>44357</v>
      </c>
      <c r="F408" s="3" t="str">
        <f>_xlfn.XLOOKUP(Table1[[#This Row],[RepID]],SalesReps!A:A,SalesReps!E:E)</f>
        <v>Active</v>
      </c>
      <c r="G408">
        <v>301</v>
      </c>
      <c r="H408" t="str">
        <f>_xlfn.XLOOKUP(Table1[[#This Row],[ProductID]],Products!A:A,Products!B:B)</f>
        <v>Electronics</v>
      </c>
      <c r="I408" t="str">
        <f>_xlfn.XLOOKUP(Table1[[#This Row],[ProductID]],Products!A:A,Products!C:C)</f>
        <v>Mobiles</v>
      </c>
      <c r="J408">
        <v>5</v>
      </c>
      <c r="K408" s="5">
        <f>_xlfn.XLOOKUP(Table1[[#This Row],[ProductID]],Products!A:A,Products!E:E)</f>
        <v>159.16</v>
      </c>
      <c r="L408" s="5">
        <v>204.55</v>
      </c>
      <c r="M408" s="6">
        <v>0.09</v>
      </c>
      <c r="N408" t="s">
        <v>8</v>
      </c>
      <c r="O408" s="5">
        <f t="shared" si="30"/>
        <v>186.1405</v>
      </c>
      <c r="P408" s="5">
        <f t="shared" si="31"/>
        <v>930.70249999999999</v>
      </c>
      <c r="Q408" s="5">
        <f>Table1[[#This Row],[Quantity]]*(Table1[[#This Row],[Saleprice]]-Table1[[#This Row],[Costprice]])</f>
        <v>134.90250000000003</v>
      </c>
      <c r="R408">
        <f t="shared" si="32"/>
        <v>2022</v>
      </c>
      <c r="S408">
        <f t="shared" si="33"/>
        <v>5</v>
      </c>
      <c r="T408" t="str">
        <f t="shared" si="34"/>
        <v>May</v>
      </c>
    </row>
    <row r="409" spans="1:20" x14ac:dyDescent="0.3">
      <c r="A409" s="3">
        <v>44706</v>
      </c>
      <c r="B409">
        <v>101</v>
      </c>
      <c r="C409" s="3">
        <f>_xlfn.XLOOKUP(B409,Stores!A:A,Stores!E:E)</f>
        <v>44691</v>
      </c>
      <c r="D409">
        <v>201</v>
      </c>
      <c r="E409" s="3">
        <f>_xlfn.XLOOKUP(D409,SalesReps!A:A,SalesReps!D:D)</f>
        <v>44688</v>
      </c>
      <c r="F409" s="3" t="str">
        <f>_xlfn.XLOOKUP(Table1[[#This Row],[RepID]],SalesReps!A:A,SalesReps!E:E)</f>
        <v>Active</v>
      </c>
      <c r="G409">
        <v>301</v>
      </c>
      <c r="H409" t="str">
        <f>_xlfn.XLOOKUP(Table1[[#This Row],[ProductID]],Products!A:A,Products!B:B)</f>
        <v>Electronics</v>
      </c>
      <c r="I409" t="str">
        <f>_xlfn.XLOOKUP(Table1[[#This Row],[ProductID]],Products!A:A,Products!C:C)</f>
        <v>Mobiles</v>
      </c>
      <c r="J409">
        <v>1</v>
      </c>
      <c r="K409" s="5">
        <f>_xlfn.XLOOKUP(Table1[[#This Row],[ProductID]],Products!A:A,Products!E:E)</f>
        <v>159.16</v>
      </c>
      <c r="L409" s="5">
        <v>204.55</v>
      </c>
      <c r="M409" s="6">
        <v>0.09</v>
      </c>
      <c r="N409" t="s">
        <v>8</v>
      </c>
      <c r="O409" s="5">
        <f t="shared" si="30"/>
        <v>186.1405</v>
      </c>
      <c r="P409" s="5">
        <f t="shared" si="31"/>
        <v>186.1405</v>
      </c>
      <c r="Q409" s="5">
        <f>Table1[[#This Row],[Quantity]]*(Table1[[#This Row],[Saleprice]]-Table1[[#This Row],[Costprice]])</f>
        <v>26.980500000000006</v>
      </c>
      <c r="R409">
        <f t="shared" si="32"/>
        <v>2022</v>
      </c>
      <c r="S409">
        <f t="shared" si="33"/>
        <v>5</v>
      </c>
      <c r="T409" t="str">
        <f t="shared" si="34"/>
        <v>May</v>
      </c>
    </row>
    <row r="410" spans="1:20" x14ac:dyDescent="0.3">
      <c r="A410" s="3">
        <v>44706</v>
      </c>
      <c r="B410">
        <v>101</v>
      </c>
      <c r="C410" s="3">
        <f>_xlfn.XLOOKUP(B410,Stores!A:A,Stores!E:E)</f>
        <v>44691</v>
      </c>
      <c r="D410">
        <v>201</v>
      </c>
      <c r="E410" s="3">
        <f>_xlfn.XLOOKUP(D410,SalesReps!A:A,SalesReps!D:D)</f>
        <v>44688</v>
      </c>
      <c r="F410" s="3" t="str">
        <f>_xlfn.XLOOKUP(Table1[[#This Row],[RepID]],SalesReps!A:A,SalesReps!E:E)</f>
        <v>Active</v>
      </c>
      <c r="G410">
        <v>320</v>
      </c>
      <c r="H410" t="str">
        <f>_xlfn.XLOOKUP(Table1[[#This Row],[ProductID]],Products!A:A,Products!B:B)</f>
        <v>Toys</v>
      </c>
      <c r="I410" t="str">
        <f>_xlfn.XLOOKUP(Table1[[#This Row],[ProductID]],Products!A:A,Products!C:C)</f>
        <v>Outdoor</v>
      </c>
      <c r="J410">
        <v>1</v>
      </c>
      <c r="K410" s="5">
        <f>_xlfn.XLOOKUP(Table1[[#This Row],[ProductID]],Products!A:A,Products!E:E)</f>
        <v>304.58999999999997</v>
      </c>
      <c r="L410" s="5">
        <v>379.61</v>
      </c>
      <c r="M410" s="6">
        <v>0.16</v>
      </c>
      <c r="N410" t="s">
        <v>8</v>
      </c>
      <c r="O410" s="5">
        <f t="shared" si="30"/>
        <v>318.87240000000003</v>
      </c>
      <c r="P410" s="5">
        <f t="shared" si="31"/>
        <v>318.87240000000003</v>
      </c>
      <c r="Q410" s="5">
        <f>Table1[[#This Row],[Quantity]]*(Table1[[#This Row],[Saleprice]]-Table1[[#This Row],[Costprice]])</f>
        <v>14.282400000000052</v>
      </c>
      <c r="R410">
        <f t="shared" si="32"/>
        <v>2022</v>
      </c>
      <c r="S410">
        <f t="shared" si="33"/>
        <v>5</v>
      </c>
      <c r="T410" t="str">
        <f t="shared" si="34"/>
        <v>May</v>
      </c>
    </row>
    <row r="411" spans="1:20" x14ac:dyDescent="0.3">
      <c r="A411" s="3">
        <v>44706</v>
      </c>
      <c r="B411">
        <v>103</v>
      </c>
      <c r="C411" s="3">
        <f>_xlfn.XLOOKUP(B411,Stores!A:A,Stores!E:E)</f>
        <v>43952</v>
      </c>
      <c r="D411">
        <v>207</v>
      </c>
      <c r="E411" s="3">
        <f>_xlfn.XLOOKUP(D411,SalesReps!A:A,SalesReps!D:D)</f>
        <v>44656</v>
      </c>
      <c r="F411" s="3" t="str">
        <f>_xlfn.XLOOKUP(Table1[[#This Row],[RepID]],SalesReps!A:A,SalesReps!E:E)</f>
        <v>Active</v>
      </c>
      <c r="G411">
        <v>316</v>
      </c>
      <c r="H411" t="str">
        <f>_xlfn.XLOOKUP(Table1[[#This Row],[ProductID]],Products!A:A,Products!B:B)</f>
        <v>Home &amp; Kitchen</v>
      </c>
      <c r="I411" t="str">
        <f>_xlfn.XLOOKUP(Table1[[#This Row],[ProductID]],Products!A:A,Products!C:C)</f>
        <v>Furniture</v>
      </c>
      <c r="J411">
        <v>2</v>
      </c>
      <c r="K411" s="5">
        <f>_xlfn.XLOOKUP(Table1[[#This Row],[ProductID]],Products!A:A,Products!E:E)</f>
        <v>334.95</v>
      </c>
      <c r="L411" s="5">
        <v>387.55</v>
      </c>
      <c r="M411" s="6">
        <v>0.16</v>
      </c>
      <c r="N411" t="s">
        <v>9</v>
      </c>
      <c r="O411" s="5">
        <f t="shared" si="30"/>
        <v>325.54199999999997</v>
      </c>
      <c r="P411" s="5">
        <f t="shared" si="31"/>
        <v>651.08399999999995</v>
      </c>
      <c r="Q411" s="5">
        <f>Table1[[#This Row],[Quantity]]*(Table1[[#This Row],[Saleprice]]-Table1[[#This Row],[Costprice]])</f>
        <v>-18.816000000000031</v>
      </c>
      <c r="R411">
        <f t="shared" si="32"/>
        <v>2022</v>
      </c>
      <c r="S411">
        <f t="shared" si="33"/>
        <v>5</v>
      </c>
      <c r="T411" t="str">
        <f t="shared" si="34"/>
        <v>May</v>
      </c>
    </row>
    <row r="412" spans="1:20" x14ac:dyDescent="0.3">
      <c r="A412" s="3">
        <v>44706</v>
      </c>
      <c r="B412">
        <v>103</v>
      </c>
      <c r="C412" s="3">
        <f>_xlfn.XLOOKUP(B412,Stores!A:A,Stores!E:E)</f>
        <v>43952</v>
      </c>
      <c r="D412">
        <v>207</v>
      </c>
      <c r="E412" s="3">
        <f>_xlfn.XLOOKUP(D412,SalesReps!A:A,SalesReps!D:D)</f>
        <v>44656</v>
      </c>
      <c r="F412" s="3" t="str">
        <f>_xlfn.XLOOKUP(Table1[[#This Row],[RepID]],SalesReps!A:A,SalesReps!E:E)</f>
        <v>Active</v>
      </c>
      <c r="G412">
        <v>301</v>
      </c>
      <c r="H412" t="str">
        <f>_xlfn.XLOOKUP(Table1[[#This Row],[ProductID]],Products!A:A,Products!B:B)</f>
        <v>Electronics</v>
      </c>
      <c r="I412" t="str">
        <f>_xlfn.XLOOKUP(Table1[[#This Row],[ProductID]],Products!A:A,Products!C:C)</f>
        <v>Mobiles</v>
      </c>
      <c r="J412">
        <v>2</v>
      </c>
      <c r="K412" s="5">
        <f>_xlfn.XLOOKUP(Table1[[#This Row],[ProductID]],Products!A:A,Products!E:E)</f>
        <v>159.16</v>
      </c>
      <c r="L412" s="5">
        <v>244.18</v>
      </c>
      <c r="M412" s="6">
        <v>0.14000000000000001</v>
      </c>
      <c r="N412" t="s">
        <v>9</v>
      </c>
      <c r="O412" s="5">
        <f t="shared" si="30"/>
        <v>209.9948</v>
      </c>
      <c r="P412" s="5">
        <f t="shared" si="31"/>
        <v>419.9896</v>
      </c>
      <c r="Q412" s="5">
        <f>Table1[[#This Row],[Quantity]]*(Table1[[#This Row],[Saleprice]]-Table1[[#This Row],[Costprice]])</f>
        <v>101.6696</v>
      </c>
      <c r="R412">
        <f t="shared" si="32"/>
        <v>2022</v>
      </c>
      <c r="S412">
        <f t="shared" si="33"/>
        <v>5</v>
      </c>
      <c r="T412" t="str">
        <f t="shared" si="34"/>
        <v>May</v>
      </c>
    </row>
    <row r="413" spans="1:20" x14ac:dyDescent="0.3">
      <c r="A413" s="3">
        <v>44706</v>
      </c>
      <c r="B413">
        <v>101</v>
      </c>
      <c r="C413" s="3">
        <f>_xlfn.XLOOKUP(B413,Stores!A:A,Stores!E:E)</f>
        <v>44691</v>
      </c>
      <c r="D413">
        <v>206</v>
      </c>
      <c r="E413" s="3">
        <f>_xlfn.XLOOKUP(D413,SalesReps!A:A,SalesReps!D:D)</f>
        <v>44357</v>
      </c>
      <c r="F413" s="3" t="str">
        <f>_xlfn.XLOOKUP(Table1[[#This Row],[RepID]],SalesReps!A:A,SalesReps!E:E)</f>
        <v>Active</v>
      </c>
      <c r="G413">
        <v>312</v>
      </c>
      <c r="H413" t="str">
        <f>_xlfn.XLOOKUP(Table1[[#This Row],[ProductID]],Products!A:A,Products!B:B)</f>
        <v>Toys</v>
      </c>
      <c r="I413" t="str">
        <f>_xlfn.XLOOKUP(Table1[[#This Row],[ProductID]],Products!A:A,Products!C:C)</f>
        <v>Board Games</v>
      </c>
      <c r="J413">
        <v>8</v>
      </c>
      <c r="K413" s="5">
        <f>_xlfn.XLOOKUP(Table1[[#This Row],[ProductID]],Products!A:A,Products!E:E)</f>
        <v>100.05</v>
      </c>
      <c r="L413" s="5">
        <v>118.03</v>
      </c>
      <c r="M413" s="6">
        <v>0.19</v>
      </c>
      <c r="N413" t="s">
        <v>8</v>
      </c>
      <c r="O413" s="5">
        <f t="shared" si="30"/>
        <v>95.604300000000009</v>
      </c>
      <c r="P413" s="5">
        <f t="shared" si="31"/>
        <v>764.83440000000007</v>
      </c>
      <c r="Q413" s="5">
        <f>Table1[[#This Row],[Quantity]]*(Table1[[#This Row],[Saleprice]]-Table1[[#This Row],[Costprice]])</f>
        <v>-35.565599999999904</v>
      </c>
      <c r="R413">
        <f t="shared" si="32"/>
        <v>2022</v>
      </c>
      <c r="S413">
        <f t="shared" si="33"/>
        <v>5</v>
      </c>
      <c r="T413" t="str">
        <f t="shared" si="34"/>
        <v>May</v>
      </c>
    </row>
    <row r="414" spans="1:20" x14ac:dyDescent="0.3">
      <c r="A414" s="3">
        <v>44706</v>
      </c>
      <c r="B414">
        <v>101</v>
      </c>
      <c r="C414" s="3">
        <f>_xlfn.XLOOKUP(B414,Stores!A:A,Stores!E:E)</f>
        <v>44691</v>
      </c>
      <c r="D414">
        <v>213</v>
      </c>
      <c r="E414" s="3">
        <f>_xlfn.XLOOKUP(D414,SalesReps!A:A,SalesReps!D:D)</f>
        <v>44255</v>
      </c>
      <c r="F414" s="3" t="str">
        <f>_xlfn.XLOOKUP(Table1[[#This Row],[RepID]],SalesReps!A:A,SalesReps!E:E)</f>
        <v>Active</v>
      </c>
      <c r="G414">
        <v>320</v>
      </c>
      <c r="H414" t="str">
        <f>_xlfn.XLOOKUP(Table1[[#This Row],[ProductID]],Products!A:A,Products!B:B)</f>
        <v>Toys</v>
      </c>
      <c r="I414" t="str">
        <f>_xlfn.XLOOKUP(Table1[[#This Row],[ProductID]],Products!A:A,Products!C:C)</f>
        <v>Outdoor</v>
      </c>
      <c r="J414">
        <v>4</v>
      </c>
      <c r="K414" s="5">
        <f>_xlfn.XLOOKUP(Table1[[#This Row],[ProductID]],Products!A:A,Products!E:E)</f>
        <v>304.58999999999997</v>
      </c>
      <c r="L414" s="5">
        <v>379.61</v>
      </c>
      <c r="M414" s="6">
        <v>0.16</v>
      </c>
      <c r="N414" t="s">
        <v>8</v>
      </c>
      <c r="O414" s="5">
        <f t="shared" si="30"/>
        <v>318.87240000000003</v>
      </c>
      <c r="P414" s="5">
        <f t="shared" si="31"/>
        <v>1275.4896000000001</v>
      </c>
      <c r="Q414" s="5">
        <f>Table1[[#This Row],[Quantity]]*(Table1[[#This Row],[Saleprice]]-Table1[[#This Row],[Costprice]])</f>
        <v>57.12960000000021</v>
      </c>
      <c r="R414">
        <f t="shared" si="32"/>
        <v>2022</v>
      </c>
      <c r="S414">
        <f t="shared" si="33"/>
        <v>5</v>
      </c>
      <c r="T414" t="str">
        <f t="shared" si="34"/>
        <v>May</v>
      </c>
    </row>
    <row r="415" spans="1:20" x14ac:dyDescent="0.3">
      <c r="A415" s="3">
        <v>44707</v>
      </c>
      <c r="B415">
        <v>103</v>
      </c>
      <c r="C415" s="3">
        <f>_xlfn.XLOOKUP(B415,Stores!A:A,Stores!E:E)</f>
        <v>43952</v>
      </c>
      <c r="D415">
        <v>207</v>
      </c>
      <c r="E415" s="3">
        <f>_xlfn.XLOOKUP(D415,SalesReps!A:A,SalesReps!D:D)</f>
        <v>44656</v>
      </c>
      <c r="F415" s="3" t="str">
        <f>_xlfn.XLOOKUP(Table1[[#This Row],[RepID]],SalesReps!A:A,SalesReps!E:E)</f>
        <v>Active</v>
      </c>
      <c r="G415">
        <v>313</v>
      </c>
      <c r="H415" t="str">
        <f>_xlfn.XLOOKUP(Table1[[#This Row],[ProductID]],Products!A:A,Products!B:B)</f>
        <v>Clothing</v>
      </c>
      <c r="I415" t="str">
        <f>_xlfn.XLOOKUP(Table1[[#This Row],[ProductID]],Products!A:A,Products!C:C)</f>
        <v>Women</v>
      </c>
      <c r="J415">
        <v>7</v>
      </c>
      <c r="K415" s="5">
        <f>_xlfn.XLOOKUP(Table1[[#This Row],[ProductID]],Products!A:A,Products!E:E)</f>
        <v>104</v>
      </c>
      <c r="L415" s="5">
        <v>132.77000000000001</v>
      </c>
      <c r="M415" s="6">
        <v>0.06</v>
      </c>
      <c r="N415" t="s">
        <v>9</v>
      </c>
      <c r="O415" s="5">
        <f t="shared" si="30"/>
        <v>124.80380000000001</v>
      </c>
      <c r="P415" s="5">
        <f t="shared" si="31"/>
        <v>873.62660000000005</v>
      </c>
      <c r="Q415" s="5">
        <f>Table1[[#This Row],[Quantity]]*(Table1[[#This Row],[Saleprice]]-Table1[[#This Row],[Costprice]])</f>
        <v>145.62660000000005</v>
      </c>
      <c r="R415">
        <f t="shared" si="32"/>
        <v>2022</v>
      </c>
      <c r="S415">
        <f t="shared" si="33"/>
        <v>5</v>
      </c>
      <c r="T415" t="str">
        <f t="shared" si="34"/>
        <v>May</v>
      </c>
    </row>
    <row r="416" spans="1:20" x14ac:dyDescent="0.3">
      <c r="A416" s="3">
        <v>44707</v>
      </c>
      <c r="B416">
        <v>105</v>
      </c>
      <c r="C416" s="3">
        <f>_xlfn.XLOOKUP(B416,Stores!A:A,Stores!E:E)</f>
        <v>44161</v>
      </c>
      <c r="D416">
        <v>216</v>
      </c>
      <c r="E416" s="3">
        <f>_xlfn.XLOOKUP(D416,SalesReps!A:A,SalesReps!D:D)</f>
        <v>44672</v>
      </c>
      <c r="F416" s="3" t="str">
        <f>_xlfn.XLOOKUP(Table1[[#This Row],[RepID]],SalesReps!A:A,SalesReps!E:E)</f>
        <v>Left</v>
      </c>
      <c r="G416">
        <v>307</v>
      </c>
      <c r="H416" t="str">
        <f>_xlfn.XLOOKUP(Table1[[#This Row],[ProductID]],Products!A:A,Products!B:B)</f>
        <v>Toys</v>
      </c>
      <c r="I416" t="str">
        <f>_xlfn.XLOOKUP(Table1[[#This Row],[ProductID]],Products!A:A,Products!C:C)</f>
        <v>Outdoor</v>
      </c>
      <c r="J416">
        <v>4</v>
      </c>
      <c r="K416" s="5">
        <f>_xlfn.XLOOKUP(Table1[[#This Row],[ProductID]],Products!A:A,Products!E:E)</f>
        <v>15.17</v>
      </c>
      <c r="L416" s="5">
        <v>29.31</v>
      </c>
      <c r="M416" s="6">
        <v>0.24</v>
      </c>
      <c r="N416" t="s">
        <v>10</v>
      </c>
      <c r="O416" s="5">
        <f t="shared" si="30"/>
        <v>22.275600000000001</v>
      </c>
      <c r="P416" s="5">
        <f t="shared" si="31"/>
        <v>89.102400000000003</v>
      </c>
      <c r="Q416" s="5">
        <f>Table1[[#This Row],[Quantity]]*(Table1[[#This Row],[Saleprice]]-Table1[[#This Row],[Costprice]])</f>
        <v>28.422400000000003</v>
      </c>
      <c r="R416">
        <f t="shared" si="32"/>
        <v>2022</v>
      </c>
      <c r="S416">
        <f t="shared" si="33"/>
        <v>5</v>
      </c>
      <c r="T416" t="str">
        <f t="shared" si="34"/>
        <v>May</v>
      </c>
    </row>
    <row r="417" spans="1:20" x14ac:dyDescent="0.3">
      <c r="A417" s="3">
        <v>44707</v>
      </c>
      <c r="B417">
        <v>105</v>
      </c>
      <c r="C417" s="3">
        <f>_xlfn.XLOOKUP(B417,Stores!A:A,Stores!E:E)</f>
        <v>44161</v>
      </c>
      <c r="D417">
        <v>216</v>
      </c>
      <c r="E417" s="3">
        <f>_xlfn.XLOOKUP(D417,SalesReps!A:A,SalesReps!D:D)</f>
        <v>44672</v>
      </c>
      <c r="F417" s="3" t="str">
        <f>_xlfn.XLOOKUP(Table1[[#This Row],[RepID]],SalesReps!A:A,SalesReps!E:E)</f>
        <v>Left</v>
      </c>
      <c r="G417">
        <v>304</v>
      </c>
      <c r="H417" t="str">
        <f>_xlfn.XLOOKUP(Table1[[#This Row],[ProductID]],Products!A:A,Products!B:B)</f>
        <v>Home &amp; Kitchen</v>
      </c>
      <c r="I417" t="str">
        <f>_xlfn.XLOOKUP(Table1[[#This Row],[ProductID]],Products!A:A,Products!C:C)</f>
        <v>Furniture</v>
      </c>
      <c r="J417">
        <v>8</v>
      </c>
      <c r="K417" s="5">
        <f>_xlfn.XLOOKUP(Table1[[#This Row],[ProductID]],Products!A:A,Products!E:E)</f>
        <v>345.38</v>
      </c>
      <c r="L417" s="5">
        <v>360.4</v>
      </c>
      <c r="M417" s="6">
        <v>0.14000000000000001</v>
      </c>
      <c r="N417" t="s">
        <v>10</v>
      </c>
      <c r="O417" s="5">
        <f t="shared" si="30"/>
        <v>309.94399999999996</v>
      </c>
      <c r="P417" s="5">
        <f t="shared" si="31"/>
        <v>2479.5519999999997</v>
      </c>
      <c r="Q417" s="5">
        <f>Table1[[#This Row],[Quantity]]*(Table1[[#This Row],[Saleprice]]-Table1[[#This Row],[Costprice]])</f>
        <v>-283.48800000000028</v>
      </c>
      <c r="R417">
        <f t="shared" si="32"/>
        <v>2022</v>
      </c>
      <c r="S417">
        <f t="shared" si="33"/>
        <v>5</v>
      </c>
      <c r="T417" t="str">
        <f t="shared" si="34"/>
        <v>May</v>
      </c>
    </row>
    <row r="418" spans="1:20" x14ac:dyDescent="0.3">
      <c r="A418" s="3">
        <v>44708</v>
      </c>
      <c r="B418">
        <v>101</v>
      </c>
      <c r="C418" s="3">
        <f>_xlfn.XLOOKUP(B418,Stores!A:A,Stores!E:E)</f>
        <v>44691</v>
      </c>
      <c r="D418">
        <v>203</v>
      </c>
      <c r="E418" s="3">
        <f>_xlfn.XLOOKUP(D418,SalesReps!A:A,SalesReps!D:D)</f>
        <v>44582</v>
      </c>
      <c r="F418" s="3" t="str">
        <f>_xlfn.XLOOKUP(Table1[[#This Row],[RepID]],SalesReps!A:A,SalesReps!E:E)</f>
        <v>Active</v>
      </c>
      <c r="G418">
        <v>316</v>
      </c>
      <c r="H418" t="str">
        <f>_xlfn.XLOOKUP(Table1[[#This Row],[ProductID]],Products!A:A,Products!B:B)</f>
        <v>Home &amp; Kitchen</v>
      </c>
      <c r="I418" t="str">
        <f>_xlfn.XLOOKUP(Table1[[#This Row],[ProductID]],Products!A:A,Products!C:C)</f>
        <v>Furniture</v>
      </c>
      <c r="J418">
        <v>9</v>
      </c>
      <c r="K418" s="5">
        <f>_xlfn.XLOOKUP(Table1[[#This Row],[ProductID]],Products!A:A,Products!E:E)</f>
        <v>334.95</v>
      </c>
      <c r="L418" s="5">
        <v>424.18</v>
      </c>
      <c r="M418" s="6">
        <v>0.1</v>
      </c>
      <c r="N418" t="s">
        <v>8</v>
      </c>
      <c r="O418" s="5">
        <f t="shared" si="30"/>
        <v>381.762</v>
      </c>
      <c r="P418" s="5">
        <f t="shared" si="31"/>
        <v>3435.8580000000002</v>
      </c>
      <c r="Q418" s="5">
        <f>Table1[[#This Row],[Quantity]]*(Table1[[#This Row],[Saleprice]]-Table1[[#This Row],[Costprice]])</f>
        <v>421.30800000000011</v>
      </c>
      <c r="R418">
        <f t="shared" si="32"/>
        <v>2022</v>
      </c>
      <c r="S418">
        <f t="shared" si="33"/>
        <v>5</v>
      </c>
      <c r="T418" t="str">
        <f t="shared" si="34"/>
        <v>May</v>
      </c>
    </row>
    <row r="419" spans="1:20" x14ac:dyDescent="0.3">
      <c r="A419" s="3">
        <v>44708</v>
      </c>
      <c r="B419">
        <v>105</v>
      </c>
      <c r="C419" s="3">
        <f>_xlfn.XLOOKUP(B419,Stores!A:A,Stores!E:E)</f>
        <v>44161</v>
      </c>
      <c r="D419">
        <v>216</v>
      </c>
      <c r="E419" s="3">
        <f>_xlfn.XLOOKUP(D419,SalesReps!A:A,SalesReps!D:D)</f>
        <v>44672</v>
      </c>
      <c r="F419" s="3" t="str">
        <f>_xlfn.XLOOKUP(Table1[[#This Row],[RepID]],SalesReps!A:A,SalesReps!E:E)</f>
        <v>Left</v>
      </c>
      <c r="G419">
        <v>314</v>
      </c>
      <c r="H419" t="str">
        <f>_xlfn.XLOOKUP(Table1[[#This Row],[ProductID]],Products!A:A,Products!B:B)</f>
        <v>Clothing</v>
      </c>
      <c r="I419" t="str">
        <f>_xlfn.XLOOKUP(Table1[[#This Row],[ProductID]],Products!A:A,Products!C:C)</f>
        <v>Kids</v>
      </c>
      <c r="J419">
        <v>3</v>
      </c>
      <c r="K419" s="5">
        <f>_xlfn.XLOOKUP(Table1[[#This Row],[ProductID]],Products!A:A,Products!E:E)</f>
        <v>276.47000000000003</v>
      </c>
      <c r="L419" s="5">
        <v>322.16000000000003</v>
      </c>
      <c r="M419" s="6">
        <v>0.19</v>
      </c>
      <c r="N419" t="s">
        <v>10</v>
      </c>
      <c r="O419" s="5">
        <f t="shared" si="30"/>
        <v>260.94960000000003</v>
      </c>
      <c r="P419" s="5">
        <f t="shared" si="31"/>
        <v>782.8488000000001</v>
      </c>
      <c r="Q419" s="5">
        <f>Table1[[#This Row],[Quantity]]*(Table1[[#This Row],[Saleprice]]-Table1[[#This Row],[Costprice]])</f>
        <v>-46.561199999999985</v>
      </c>
      <c r="R419">
        <f t="shared" si="32"/>
        <v>2022</v>
      </c>
      <c r="S419">
        <f t="shared" si="33"/>
        <v>5</v>
      </c>
      <c r="T419" t="str">
        <f t="shared" si="34"/>
        <v>May</v>
      </c>
    </row>
    <row r="420" spans="1:20" x14ac:dyDescent="0.3">
      <c r="A420" s="3">
        <v>44708</v>
      </c>
      <c r="B420">
        <v>105</v>
      </c>
      <c r="C420" s="3">
        <f>_xlfn.XLOOKUP(B420,Stores!A:A,Stores!E:E)</f>
        <v>44161</v>
      </c>
      <c r="D420">
        <v>216</v>
      </c>
      <c r="E420" s="3">
        <f>_xlfn.XLOOKUP(D420,SalesReps!A:A,SalesReps!D:D)</f>
        <v>44672</v>
      </c>
      <c r="F420" s="3" t="str">
        <f>_xlfn.XLOOKUP(Table1[[#This Row],[RepID]],SalesReps!A:A,SalesReps!E:E)</f>
        <v>Left</v>
      </c>
      <c r="G420">
        <v>309</v>
      </c>
      <c r="H420" t="str">
        <f>_xlfn.XLOOKUP(Table1[[#This Row],[ProductID]],Products!A:A,Products!B:B)</f>
        <v>Electronics</v>
      </c>
      <c r="I420" t="str">
        <f>_xlfn.XLOOKUP(Table1[[#This Row],[ProductID]],Products!A:A,Products!C:C)</f>
        <v>Laptops</v>
      </c>
      <c r="J420">
        <v>2</v>
      </c>
      <c r="K420" s="5">
        <f>_xlfn.XLOOKUP(Table1[[#This Row],[ProductID]],Products!A:A,Products!E:E)</f>
        <v>229.68</v>
      </c>
      <c r="L420" s="5">
        <v>236.4</v>
      </c>
      <c r="M420" s="6">
        <v>0.15</v>
      </c>
      <c r="N420" t="s">
        <v>10</v>
      </c>
      <c r="O420" s="5">
        <f t="shared" si="30"/>
        <v>200.94</v>
      </c>
      <c r="P420" s="5">
        <f t="shared" si="31"/>
        <v>401.88</v>
      </c>
      <c r="Q420" s="5">
        <f>Table1[[#This Row],[Quantity]]*(Table1[[#This Row],[Saleprice]]-Table1[[#This Row],[Costprice]])</f>
        <v>-57.480000000000018</v>
      </c>
      <c r="R420">
        <f t="shared" si="32"/>
        <v>2022</v>
      </c>
      <c r="S420">
        <f t="shared" si="33"/>
        <v>5</v>
      </c>
      <c r="T420" t="str">
        <f t="shared" si="34"/>
        <v>May</v>
      </c>
    </row>
    <row r="421" spans="1:20" x14ac:dyDescent="0.3">
      <c r="A421" s="3">
        <v>44708</v>
      </c>
      <c r="B421">
        <v>105</v>
      </c>
      <c r="C421" s="3">
        <f>_xlfn.XLOOKUP(B421,Stores!A:A,Stores!E:E)</f>
        <v>44161</v>
      </c>
      <c r="D421">
        <v>216</v>
      </c>
      <c r="E421" s="3">
        <f>_xlfn.XLOOKUP(D421,SalesReps!A:A,SalesReps!D:D)</f>
        <v>44672</v>
      </c>
      <c r="F421" s="3" t="str">
        <f>_xlfn.XLOOKUP(Table1[[#This Row],[RepID]],SalesReps!A:A,SalesReps!E:E)</f>
        <v>Left</v>
      </c>
      <c r="G421">
        <v>305</v>
      </c>
      <c r="H421" t="str">
        <f>_xlfn.XLOOKUP(Table1[[#This Row],[ProductID]],Products!A:A,Products!B:B)</f>
        <v>Electronics</v>
      </c>
      <c r="I421" t="str">
        <f>_xlfn.XLOOKUP(Table1[[#This Row],[ProductID]],Products!A:A,Products!C:C)</f>
        <v>Accessories</v>
      </c>
      <c r="J421">
        <v>5</v>
      </c>
      <c r="K421" s="5">
        <f>_xlfn.XLOOKUP(Table1[[#This Row],[ProductID]],Products!A:A,Products!E:E)</f>
        <v>275.32</v>
      </c>
      <c r="L421" s="5">
        <v>296.31</v>
      </c>
      <c r="M421" s="6">
        <v>0.09</v>
      </c>
      <c r="N421" t="s">
        <v>10</v>
      </c>
      <c r="O421" s="5">
        <f t="shared" si="30"/>
        <v>269.64210000000003</v>
      </c>
      <c r="P421" s="5">
        <f t="shared" si="31"/>
        <v>1348.2105000000001</v>
      </c>
      <c r="Q421" s="5">
        <f>Table1[[#This Row],[Quantity]]*(Table1[[#This Row],[Saleprice]]-Table1[[#This Row],[Costprice]])</f>
        <v>-28.389499999999828</v>
      </c>
      <c r="R421">
        <f t="shared" si="32"/>
        <v>2022</v>
      </c>
      <c r="S421">
        <f t="shared" si="33"/>
        <v>5</v>
      </c>
      <c r="T421" t="str">
        <f t="shared" si="34"/>
        <v>May</v>
      </c>
    </row>
    <row r="422" spans="1:20" x14ac:dyDescent="0.3">
      <c r="A422" s="3">
        <v>44709</v>
      </c>
      <c r="B422">
        <v>103</v>
      </c>
      <c r="C422" s="3">
        <f>_xlfn.XLOOKUP(B422,Stores!A:A,Stores!E:E)</f>
        <v>43952</v>
      </c>
      <c r="D422">
        <v>207</v>
      </c>
      <c r="E422" s="3">
        <f>_xlfn.XLOOKUP(D422,SalesReps!A:A,SalesReps!D:D)</f>
        <v>44656</v>
      </c>
      <c r="F422" s="3" t="str">
        <f>_xlfn.XLOOKUP(Table1[[#This Row],[RepID]],SalesReps!A:A,SalesReps!E:E)</f>
        <v>Active</v>
      </c>
      <c r="G422">
        <v>317</v>
      </c>
      <c r="H422" t="str">
        <f>_xlfn.XLOOKUP(Table1[[#This Row],[ProductID]],Products!A:A,Products!B:B)</f>
        <v>Toys</v>
      </c>
      <c r="I422" t="str">
        <f>_xlfn.XLOOKUP(Table1[[#This Row],[ProductID]],Products!A:A,Products!C:C)</f>
        <v>Educational</v>
      </c>
      <c r="J422">
        <v>9</v>
      </c>
      <c r="K422" s="5">
        <f>_xlfn.XLOOKUP(Table1[[#This Row],[ProductID]],Products!A:A,Products!E:E)</f>
        <v>77.61</v>
      </c>
      <c r="L422" s="5">
        <v>118.45</v>
      </c>
      <c r="M422" s="6">
        <v>0.06</v>
      </c>
      <c r="N422" t="s">
        <v>9</v>
      </c>
      <c r="O422" s="5">
        <f t="shared" si="30"/>
        <v>111.34299999999999</v>
      </c>
      <c r="P422" s="5">
        <f t="shared" si="31"/>
        <v>1002.0869999999999</v>
      </c>
      <c r="Q422" s="5">
        <f>Table1[[#This Row],[Quantity]]*(Table1[[#This Row],[Saleprice]]-Table1[[#This Row],[Costprice]])</f>
        <v>303.59699999999992</v>
      </c>
      <c r="R422">
        <f t="shared" si="32"/>
        <v>2022</v>
      </c>
      <c r="S422">
        <f t="shared" si="33"/>
        <v>5</v>
      </c>
      <c r="T422" t="str">
        <f t="shared" si="34"/>
        <v>May</v>
      </c>
    </row>
    <row r="423" spans="1:20" x14ac:dyDescent="0.3">
      <c r="A423" s="3">
        <v>44709</v>
      </c>
      <c r="B423">
        <v>101</v>
      </c>
      <c r="C423" s="3">
        <f>_xlfn.XLOOKUP(B423,Stores!A:A,Stores!E:E)</f>
        <v>44691</v>
      </c>
      <c r="D423">
        <v>201</v>
      </c>
      <c r="E423" s="3">
        <f>_xlfn.XLOOKUP(D423,SalesReps!A:A,SalesReps!D:D)</f>
        <v>44688</v>
      </c>
      <c r="F423" s="3" t="str">
        <f>_xlfn.XLOOKUP(Table1[[#This Row],[RepID]],SalesReps!A:A,SalesReps!E:E)</f>
        <v>Active</v>
      </c>
      <c r="G423">
        <v>316</v>
      </c>
      <c r="H423" t="str">
        <f>_xlfn.XLOOKUP(Table1[[#This Row],[ProductID]],Products!A:A,Products!B:B)</f>
        <v>Home &amp; Kitchen</v>
      </c>
      <c r="I423" t="str">
        <f>_xlfn.XLOOKUP(Table1[[#This Row],[ProductID]],Products!A:A,Products!C:C)</f>
        <v>Furniture</v>
      </c>
      <c r="J423">
        <v>1</v>
      </c>
      <c r="K423" s="5">
        <f>_xlfn.XLOOKUP(Table1[[#This Row],[ProductID]],Products!A:A,Products!E:E)</f>
        <v>334.95</v>
      </c>
      <c r="L423" s="5">
        <v>424.18</v>
      </c>
      <c r="M423" s="6">
        <v>0.1</v>
      </c>
      <c r="N423" t="s">
        <v>8</v>
      </c>
      <c r="O423" s="5">
        <f t="shared" si="30"/>
        <v>381.762</v>
      </c>
      <c r="P423" s="5">
        <f t="shared" si="31"/>
        <v>381.762</v>
      </c>
      <c r="Q423" s="5">
        <f>Table1[[#This Row],[Quantity]]*(Table1[[#This Row],[Saleprice]]-Table1[[#This Row],[Costprice]])</f>
        <v>46.812000000000012</v>
      </c>
      <c r="R423">
        <f t="shared" si="32"/>
        <v>2022</v>
      </c>
      <c r="S423">
        <f t="shared" si="33"/>
        <v>5</v>
      </c>
      <c r="T423" t="str">
        <f t="shared" si="34"/>
        <v>May</v>
      </c>
    </row>
    <row r="424" spans="1:20" x14ac:dyDescent="0.3">
      <c r="A424" s="3">
        <v>44709</v>
      </c>
      <c r="B424">
        <v>101</v>
      </c>
      <c r="C424" s="3">
        <f>_xlfn.XLOOKUP(B424,Stores!A:A,Stores!E:E)</f>
        <v>44691</v>
      </c>
      <c r="D424">
        <v>201</v>
      </c>
      <c r="E424" s="3">
        <f>_xlfn.XLOOKUP(D424,SalesReps!A:A,SalesReps!D:D)</f>
        <v>44688</v>
      </c>
      <c r="F424" s="3" t="str">
        <f>_xlfn.XLOOKUP(Table1[[#This Row],[RepID]],SalesReps!A:A,SalesReps!E:E)</f>
        <v>Active</v>
      </c>
      <c r="G424">
        <v>320</v>
      </c>
      <c r="H424" t="str">
        <f>_xlfn.XLOOKUP(Table1[[#This Row],[ProductID]],Products!A:A,Products!B:B)</f>
        <v>Toys</v>
      </c>
      <c r="I424" t="str">
        <f>_xlfn.XLOOKUP(Table1[[#This Row],[ProductID]],Products!A:A,Products!C:C)</f>
        <v>Outdoor</v>
      </c>
      <c r="J424">
        <v>6</v>
      </c>
      <c r="K424" s="5">
        <f>_xlfn.XLOOKUP(Table1[[#This Row],[ProductID]],Products!A:A,Products!E:E)</f>
        <v>304.58999999999997</v>
      </c>
      <c r="L424" s="5">
        <v>379.61</v>
      </c>
      <c r="M424" s="6">
        <v>0.16</v>
      </c>
      <c r="N424" t="s">
        <v>8</v>
      </c>
      <c r="O424" s="5">
        <f t="shared" si="30"/>
        <v>318.87240000000003</v>
      </c>
      <c r="P424" s="5">
        <f t="shared" si="31"/>
        <v>1913.2344000000003</v>
      </c>
      <c r="Q424" s="5">
        <f>Table1[[#This Row],[Quantity]]*(Table1[[#This Row],[Saleprice]]-Table1[[#This Row],[Costprice]])</f>
        <v>85.694400000000314</v>
      </c>
      <c r="R424">
        <f t="shared" si="32"/>
        <v>2022</v>
      </c>
      <c r="S424">
        <f t="shared" si="33"/>
        <v>5</v>
      </c>
      <c r="T424" t="str">
        <f t="shared" si="34"/>
        <v>May</v>
      </c>
    </row>
    <row r="425" spans="1:20" x14ac:dyDescent="0.3">
      <c r="A425" s="3">
        <v>44709</v>
      </c>
      <c r="B425">
        <v>103</v>
      </c>
      <c r="C425" s="3">
        <f>_xlfn.XLOOKUP(B425,Stores!A:A,Stores!E:E)</f>
        <v>43952</v>
      </c>
      <c r="D425">
        <v>207</v>
      </c>
      <c r="E425" s="3">
        <f>_xlfn.XLOOKUP(D425,SalesReps!A:A,SalesReps!D:D)</f>
        <v>44656</v>
      </c>
      <c r="F425" s="3" t="str">
        <f>_xlfn.XLOOKUP(Table1[[#This Row],[RepID]],SalesReps!A:A,SalesReps!E:E)</f>
        <v>Active</v>
      </c>
      <c r="G425">
        <v>303</v>
      </c>
      <c r="H425" t="str">
        <f>_xlfn.XLOOKUP(Table1[[#This Row],[ProductID]],Products!A:A,Products!B:B)</f>
        <v>Home &amp; Kitchen</v>
      </c>
      <c r="I425" t="str">
        <f>_xlfn.XLOOKUP(Table1[[#This Row],[ProductID]],Products!A:A,Products!C:C)</f>
        <v>Furniture</v>
      </c>
      <c r="J425">
        <v>3</v>
      </c>
      <c r="K425" s="5">
        <f>_xlfn.XLOOKUP(Table1[[#This Row],[ProductID]],Products!A:A,Products!E:E)</f>
        <v>192.04</v>
      </c>
      <c r="L425" s="5">
        <v>289.35000000000002</v>
      </c>
      <c r="M425" s="6">
        <v>0.22</v>
      </c>
      <c r="N425" t="s">
        <v>9</v>
      </c>
      <c r="O425" s="5">
        <f t="shared" si="30"/>
        <v>225.69300000000001</v>
      </c>
      <c r="P425" s="5">
        <f t="shared" si="31"/>
        <v>677.07900000000006</v>
      </c>
      <c r="Q425" s="5">
        <f>Table1[[#This Row],[Quantity]]*(Table1[[#This Row],[Saleprice]]-Table1[[#This Row],[Costprice]])</f>
        <v>100.95900000000006</v>
      </c>
      <c r="R425">
        <f t="shared" si="32"/>
        <v>2022</v>
      </c>
      <c r="S425">
        <f t="shared" si="33"/>
        <v>5</v>
      </c>
      <c r="T425" t="str">
        <f t="shared" si="34"/>
        <v>May</v>
      </c>
    </row>
    <row r="426" spans="1:20" x14ac:dyDescent="0.3">
      <c r="A426" s="3">
        <v>44710</v>
      </c>
      <c r="B426">
        <v>109</v>
      </c>
      <c r="C426" s="3">
        <f>_xlfn.XLOOKUP(B426,Stores!A:A,Stores!E:E)</f>
        <v>44600</v>
      </c>
      <c r="D426">
        <v>214</v>
      </c>
      <c r="E426" s="3">
        <f>_xlfn.XLOOKUP(D426,SalesReps!A:A,SalesReps!D:D)</f>
        <v>44707</v>
      </c>
      <c r="F426" s="3" t="str">
        <f>_xlfn.XLOOKUP(Table1[[#This Row],[RepID]],SalesReps!A:A,SalesReps!E:E)</f>
        <v>Active</v>
      </c>
      <c r="G426">
        <v>319</v>
      </c>
      <c r="H426" t="str">
        <f>_xlfn.XLOOKUP(Table1[[#This Row],[ProductID]],Products!A:A,Products!B:B)</f>
        <v>Toys</v>
      </c>
      <c r="I426" t="str">
        <f>_xlfn.XLOOKUP(Table1[[#This Row],[ProductID]],Products!A:A,Products!C:C)</f>
        <v>Board Games</v>
      </c>
      <c r="J426">
        <v>6</v>
      </c>
      <c r="K426" s="5">
        <f>_xlfn.XLOOKUP(Table1[[#This Row],[ProductID]],Products!A:A,Products!E:E)</f>
        <v>81.069999999999993</v>
      </c>
      <c r="L426" s="5">
        <v>174.51</v>
      </c>
      <c r="M426" s="6">
        <v>0.24</v>
      </c>
      <c r="N426" t="s">
        <v>11</v>
      </c>
      <c r="O426" s="5">
        <f t="shared" si="30"/>
        <v>132.6276</v>
      </c>
      <c r="P426" s="5">
        <f t="shared" si="31"/>
        <v>795.76559999999995</v>
      </c>
      <c r="Q426" s="5">
        <f>Table1[[#This Row],[Quantity]]*(Table1[[#This Row],[Saleprice]]-Table1[[#This Row],[Costprice]])</f>
        <v>309.34560000000005</v>
      </c>
      <c r="R426">
        <f t="shared" si="32"/>
        <v>2022</v>
      </c>
      <c r="S426">
        <f t="shared" si="33"/>
        <v>5</v>
      </c>
      <c r="T426" t="str">
        <f t="shared" si="34"/>
        <v>May</v>
      </c>
    </row>
    <row r="427" spans="1:20" x14ac:dyDescent="0.3">
      <c r="A427" s="3">
        <v>44710</v>
      </c>
      <c r="B427">
        <v>105</v>
      </c>
      <c r="C427" s="3">
        <f>_xlfn.XLOOKUP(B427,Stores!A:A,Stores!E:E)</f>
        <v>44161</v>
      </c>
      <c r="D427">
        <v>216</v>
      </c>
      <c r="E427" s="3">
        <f>_xlfn.XLOOKUP(D427,SalesReps!A:A,SalesReps!D:D)</f>
        <v>44672</v>
      </c>
      <c r="F427" s="3" t="str">
        <f>_xlfn.XLOOKUP(Table1[[#This Row],[RepID]],SalesReps!A:A,SalesReps!E:E)</f>
        <v>Left</v>
      </c>
      <c r="G427">
        <v>306</v>
      </c>
      <c r="H427" t="str">
        <f>_xlfn.XLOOKUP(Table1[[#This Row],[ProductID]],Products!A:A,Products!B:B)</f>
        <v>Clothing</v>
      </c>
      <c r="I427" t="str">
        <f>_xlfn.XLOOKUP(Table1[[#This Row],[ProductID]],Products!A:A,Products!C:C)</f>
        <v>Men</v>
      </c>
      <c r="J427">
        <v>3</v>
      </c>
      <c r="K427" s="5">
        <f>_xlfn.XLOOKUP(Table1[[#This Row],[ProductID]],Products!A:A,Products!E:E)</f>
        <v>185.69</v>
      </c>
      <c r="L427" s="5">
        <v>243.21</v>
      </c>
      <c r="M427" s="6">
        <v>0.17</v>
      </c>
      <c r="N427" t="s">
        <v>10</v>
      </c>
      <c r="O427" s="5">
        <f t="shared" si="30"/>
        <v>201.86429999999999</v>
      </c>
      <c r="P427" s="5">
        <f t="shared" si="31"/>
        <v>605.59289999999999</v>
      </c>
      <c r="Q427" s="5">
        <f>Table1[[#This Row],[Quantity]]*(Table1[[#This Row],[Saleprice]]-Table1[[#This Row],[Costprice]])</f>
        <v>48.522899999999964</v>
      </c>
      <c r="R427">
        <f t="shared" si="32"/>
        <v>2022</v>
      </c>
      <c r="S427">
        <f t="shared" si="33"/>
        <v>5</v>
      </c>
      <c r="T427" t="str">
        <f t="shared" si="34"/>
        <v>May</v>
      </c>
    </row>
    <row r="428" spans="1:20" x14ac:dyDescent="0.3">
      <c r="A428" s="3">
        <v>44710</v>
      </c>
      <c r="B428">
        <v>109</v>
      </c>
      <c r="C428" s="3">
        <f>_xlfn.XLOOKUP(B428,Stores!A:A,Stores!E:E)</f>
        <v>44600</v>
      </c>
      <c r="D428">
        <v>214</v>
      </c>
      <c r="E428" s="3">
        <f>_xlfn.XLOOKUP(D428,SalesReps!A:A,SalesReps!D:D)</f>
        <v>44707</v>
      </c>
      <c r="F428" s="3" t="str">
        <f>_xlfn.XLOOKUP(Table1[[#This Row],[RepID]],SalesReps!A:A,SalesReps!E:E)</f>
        <v>Active</v>
      </c>
      <c r="G428">
        <v>315</v>
      </c>
      <c r="H428" t="str">
        <f>_xlfn.XLOOKUP(Table1[[#This Row],[ProductID]],Products!A:A,Products!B:B)</f>
        <v>Toys</v>
      </c>
      <c r="I428" t="str">
        <f>_xlfn.XLOOKUP(Table1[[#This Row],[ProductID]],Products!A:A,Products!C:C)</f>
        <v>Board Games</v>
      </c>
      <c r="J428">
        <v>6</v>
      </c>
      <c r="K428" s="5">
        <f>_xlfn.XLOOKUP(Table1[[#This Row],[ProductID]],Products!A:A,Products!E:E)</f>
        <v>247.9</v>
      </c>
      <c r="L428" s="5">
        <v>297.04000000000002</v>
      </c>
      <c r="M428" s="6">
        <v>0.18</v>
      </c>
      <c r="N428" t="s">
        <v>11</v>
      </c>
      <c r="O428" s="5">
        <f t="shared" si="30"/>
        <v>243.57280000000003</v>
      </c>
      <c r="P428" s="5">
        <f t="shared" si="31"/>
        <v>1461.4368000000002</v>
      </c>
      <c r="Q428" s="5">
        <f>Table1[[#This Row],[Quantity]]*(Table1[[#This Row],[Saleprice]]-Table1[[#This Row],[Costprice]])</f>
        <v>-25.963199999999858</v>
      </c>
      <c r="R428">
        <f t="shared" si="32"/>
        <v>2022</v>
      </c>
      <c r="S428">
        <f t="shared" si="33"/>
        <v>5</v>
      </c>
      <c r="T428" t="str">
        <f t="shared" si="34"/>
        <v>May</v>
      </c>
    </row>
    <row r="429" spans="1:20" x14ac:dyDescent="0.3">
      <c r="A429" s="3">
        <v>44711</v>
      </c>
      <c r="B429">
        <v>105</v>
      </c>
      <c r="C429" s="3">
        <f>_xlfn.XLOOKUP(B429,Stores!A:A,Stores!E:E)</f>
        <v>44161</v>
      </c>
      <c r="D429">
        <v>216</v>
      </c>
      <c r="E429" s="3">
        <f>_xlfn.XLOOKUP(D429,SalesReps!A:A,SalesReps!D:D)</f>
        <v>44672</v>
      </c>
      <c r="F429" s="3" t="str">
        <f>_xlfn.XLOOKUP(Table1[[#This Row],[RepID]],SalesReps!A:A,SalesReps!E:E)</f>
        <v>Left</v>
      </c>
      <c r="G429">
        <v>311</v>
      </c>
      <c r="H429" t="str">
        <f>_xlfn.XLOOKUP(Table1[[#This Row],[ProductID]],Products!A:A,Products!B:B)</f>
        <v>Home &amp; Kitchen</v>
      </c>
      <c r="I429" t="str">
        <f>_xlfn.XLOOKUP(Table1[[#This Row],[ProductID]],Products!A:A,Products!C:C)</f>
        <v>Furniture</v>
      </c>
      <c r="J429">
        <v>9</v>
      </c>
      <c r="K429" s="5">
        <f>_xlfn.XLOOKUP(Table1[[#This Row],[ProductID]],Products!A:A,Products!E:E)</f>
        <v>16.23</v>
      </c>
      <c r="L429" s="5">
        <v>56.64</v>
      </c>
      <c r="M429" s="6">
        <v>0.13</v>
      </c>
      <c r="N429" t="s">
        <v>10</v>
      </c>
      <c r="O429" s="5">
        <f t="shared" si="30"/>
        <v>49.276800000000001</v>
      </c>
      <c r="P429" s="5">
        <f t="shared" si="31"/>
        <v>443.49119999999999</v>
      </c>
      <c r="Q429" s="5">
        <f>Table1[[#This Row],[Quantity]]*(Table1[[#This Row],[Saleprice]]-Table1[[#This Row],[Costprice]])</f>
        <v>297.42120000000006</v>
      </c>
      <c r="R429">
        <f t="shared" si="32"/>
        <v>2022</v>
      </c>
      <c r="S429">
        <f t="shared" si="33"/>
        <v>5</v>
      </c>
      <c r="T429" t="str">
        <f t="shared" si="34"/>
        <v>May</v>
      </c>
    </row>
    <row r="430" spans="1:20" x14ac:dyDescent="0.3">
      <c r="A430" s="3">
        <v>44711</v>
      </c>
      <c r="B430">
        <v>109</v>
      </c>
      <c r="C430" s="3">
        <f>_xlfn.XLOOKUP(B430,Stores!A:A,Stores!E:E)</f>
        <v>44600</v>
      </c>
      <c r="D430">
        <v>214</v>
      </c>
      <c r="E430" s="3">
        <f>_xlfn.XLOOKUP(D430,SalesReps!A:A,SalesReps!D:D)</f>
        <v>44707</v>
      </c>
      <c r="F430" s="3" t="str">
        <f>_xlfn.XLOOKUP(Table1[[#This Row],[RepID]],SalesReps!A:A,SalesReps!E:E)</f>
        <v>Active</v>
      </c>
      <c r="G430">
        <v>319</v>
      </c>
      <c r="H430" t="str">
        <f>_xlfn.XLOOKUP(Table1[[#This Row],[ProductID]],Products!A:A,Products!B:B)</f>
        <v>Toys</v>
      </c>
      <c r="I430" t="str">
        <f>_xlfn.XLOOKUP(Table1[[#This Row],[ProductID]],Products!A:A,Products!C:C)</f>
        <v>Board Games</v>
      </c>
      <c r="J430">
        <v>8</v>
      </c>
      <c r="K430" s="5">
        <f>_xlfn.XLOOKUP(Table1[[#This Row],[ProductID]],Products!A:A,Products!E:E)</f>
        <v>81.069999999999993</v>
      </c>
      <c r="L430" s="5">
        <v>174.51</v>
      </c>
      <c r="M430" s="6">
        <v>0.24</v>
      </c>
      <c r="N430" t="s">
        <v>11</v>
      </c>
      <c r="O430" s="5">
        <f t="shared" si="30"/>
        <v>132.6276</v>
      </c>
      <c r="P430" s="5">
        <f t="shared" si="31"/>
        <v>1061.0208</v>
      </c>
      <c r="Q430" s="5">
        <f>Table1[[#This Row],[Quantity]]*(Table1[[#This Row],[Saleprice]]-Table1[[#This Row],[Costprice]])</f>
        <v>412.46080000000006</v>
      </c>
      <c r="R430">
        <f t="shared" si="32"/>
        <v>2022</v>
      </c>
      <c r="S430">
        <f t="shared" si="33"/>
        <v>5</v>
      </c>
      <c r="T430" t="str">
        <f t="shared" si="34"/>
        <v>May</v>
      </c>
    </row>
    <row r="431" spans="1:20" x14ac:dyDescent="0.3">
      <c r="A431" s="3">
        <v>44713</v>
      </c>
      <c r="B431">
        <v>105</v>
      </c>
      <c r="C431" s="3">
        <f>_xlfn.XLOOKUP(B431,Stores!A:A,Stores!E:E)</f>
        <v>44161</v>
      </c>
      <c r="D431">
        <v>216</v>
      </c>
      <c r="E431" s="3">
        <f>_xlfn.XLOOKUP(D431,SalesReps!A:A,SalesReps!D:D)</f>
        <v>44672</v>
      </c>
      <c r="F431" s="3" t="str">
        <f>_xlfn.XLOOKUP(Table1[[#This Row],[RepID]],SalesReps!A:A,SalesReps!E:E)</f>
        <v>Left</v>
      </c>
      <c r="G431">
        <v>309</v>
      </c>
      <c r="H431" t="str">
        <f>_xlfn.XLOOKUP(Table1[[#This Row],[ProductID]],Products!A:A,Products!B:B)</f>
        <v>Electronics</v>
      </c>
      <c r="I431" t="str">
        <f>_xlfn.XLOOKUP(Table1[[#This Row],[ProductID]],Products!A:A,Products!C:C)</f>
        <v>Laptops</v>
      </c>
      <c r="J431">
        <v>9</v>
      </c>
      <c r="K431" s="5">
        <f>_xlfn.XLOOKUP(Table1[[#This Row],[ProductID]],Products!A:A,Products!E:E)</f>
        <v>229.68</v>
      </c>
      <c r="L431" s="5">
        <v>236.4</v>
      </c>
      <c r="M431" s="6">
        <v>0.15</v>
      </c>
      <c r="N431" t="s">
        <v>10</v>
      </c>
      <c r="O431" s="5">
        <f t="shared" si="30"/>
        <v>200.94</v>
      </c>
      <c r="P431" s="5">
        <f t="shared" si="31"/>
        <v>1808.46</v>
      </c>
      <c r="Q431" s="5">
        <f>Table1[[#This Row],[Quantity]]*(Table1[[#This Row],[Saleprice]]-Table1[[#This Row],[Costprice]])</f>
        <v>-258.66000000000008</v>
      </c>
      <c r="R431">
        <f t="shared" si="32"/>
        <v>2022</v>
      </c>
      <c r="S431">
        <f t="shared" si="33"/>
        <v>6</v>
      </c>
      <c r="T431" t="str">
        <f t="shared" si="34"/>
        <v>June</v>
      </c>
    </row>
    <row r="432" spans="1:20" x14ac:dyDescent="0.3">
      <c r="A432" s="3">
        <v>44713</v>
      </c>
      <c r="B432">
        <v>109</v>
      </c>
      <c r="C432" s="3">
        <f>_xlfn.XLOOKUP(B432,Stores!A:A,Stores!E:E)</f>
        <v>44600</v>
      </c>
      <c r="D432">
        <v>214</v>
      </c>
      <c r="E432" s="3">
        <f>_xlfn.XLOOKUP(D432,SalesReps!A:A,SalesReps!D:D)</f>
        <v>44707</v>
      </c>
      <c r="F432" s="3" t="str">
        <f>_xlfn.XLOOKUP(Table1[[#This Row],[RepID]],SalesReps!A:A,SalesReps!E:E)</f>
        <v>Active</v>
      </c>
      <c r="G432">
        <v>307</v>
      </c>
      <c r="H432" t="str">
        <f>_xlfn.XLOOKUP(Table1[[#This Row],[ProductID]],Products!A:A,Products!B:B)</f>
        <v>Toys</v>
      </c>
      <c r="I432" t="str">
        <f>_xlfn.XLOOKUP(Table1[[#This Row],[ProductID]],Products!A:A,Products!C:C)</f>
        <v>Outdoor</v>
      </c>
      <c r="J432">
        <v>3</v>
      </c>
      <c r="K432" s="5">
        <f>_xlfn.XLOOKUP(Table1[[#This Row],[ProductID]],Products!A:A,Products!E:E)</f>
        <v>15.17</v>
      </c>
      <c r="L432" s="5">
        <v>71.61</v>
      </c>
      <c r="M432" s="6">
        <v>0.19</v>
      </c>
      <c r="N432" t="s">
        <v>11</v>
      </c>
      <c r="O432" s="5">
        <f t="shared" si="30"/>
        <v>58.004100000000001</v>
      </c>
      <c r="P432" s="5">
        <f t="shared" si="31"/>
        <v>174.01230000000001</v>
      </c>
      <c r="Q432" s="5">
        <f>Table1[[#This Row],[Quantity]]*(Table1[[#This Row],[Saleprice]]-Table1[[#This Row],[Costprice]])</f>
        <v>128.50229999999999</v>
      </c>
      <c r="R432">
        <f t="shared" si="32"/>
        <v>2022</v>
      </c>
      <c r="S432">
        <f t="shared" si="33"/>
        <v>6</v>
      </c>
      <c r="T432" t="str">
        <f t="shared" si="34"/>
        <v>June</v>
      </c>
    </row>
    <row r="433" spans="1:20" x14ac:dyDescent="0.3">
      <c r="A433" s="3">
        <v>44713</v>
      </c>
      <c r="B433">
        <v>103</v>
      </c>
      <c r="C433" s="3">
        <f>_xlfn.XLOOKUP(B433,Stores!A:A,Stores!E:E)</f>
        <v>43952</v>
      </c>
      <c r="D433">
        <v>207</v>
      </c>
      <c r="E433" s="3">
        <f>_xlfn.XLOOKUP(D433,SalesReps!A:A,SalesReps!D:D)</f>
        <v>44656</v>
      </c>
      <c r="F433" s="3" t="str">
        <f>_xlfn.XLOOKUP(Table1[[#This Row],[RepID]],SalesReps!A:A,SalesReps!E:E)</f>
        <v>Active</v>
      </c>
      <c r="G433">
        <v>315</v>
      </c>
      <c r="H433" t="str">
        <f>_xlfn.XLOOKUP(Table1[[#This Row],[ProductID]],Products!A:A,Products!B:B)</f>
        <v>Toys</v>
      </c>
      <c r="I433" t="str">
        <f>_xlfn.XLOOKUP(Table1[[#This Row],[ProductID]],Products!A:A,Products!C:C)</f>
        <v>Board Games</v>
      </c>
      <c r="J433">
        <v>2</v>
      </c>
      <c r="K433" s="5">
        <f>_xlfn.XLOOKUP(Table1[[#This Row],[ProductID]],Products!A:A,Products!E:E)</f>
        <v>247.9</v>
      </c>
      <c r="L433" s="5">
        <v>267.97000000000003</v>
      </c>
      <c r="M433" s="6">
        <v>7.0000000000000007E-2</v>
      </c>
      <c r="N433" t="s">
        <v>9</v>
      </c>
      <c r="O433" s="5">
        <f t="shared" si="30"/>
        <v>249.21210000000002</v>
      </c>
      <c r="P433" s="5">
        <f t="shared" si="31"/>
        <v>498.42420000000004</v>
      </c>
      <c r="Q433" s="5">
        <f>Table1[[#This Row],[Quantity]]*(Table1[[#This Row],[Saleprice]]-Table1[[#This Row],[Costprice]])</f>
        <v>2.6242000000000303</v>
      </c>
      <c r="R433">
        <f t="shared" si="32"/>
        <v>2022</v>
      </c>
      <c r="S433">
        <f t="shared" si="33"/>
        <v>6</v>
      </c>
      <c r="T433" t="str">
        <f t="shared" si="34"/>
        <v>June</v>
      </c>
    </row>
    <row r="434" spans="1:20" x14ac:dyDescent="0.3">
      <c r="A434" s="3">
        <v>44713</v>
      </c>
      <c r="B434">
        <v>103</v>
      </c>
      <c r="C434" s="3">
        <f>_xlfn.XLOOKUP(B434,Stores!A:A,Stores!E:E)</f>
        <v>43952</v>
      </c>
      <c r="D434">
        <v>207</v>
      </c>
      <c r="E434" s="3">
        <f>_xlfn.XLOOKUP(D434,SalesReps!A:A,SalesReps!D:D)</f>
        <v>44656</v>
      </c>
      <c r="F434" s="3" t="str">
        <f>_xlfn.XLOOKUP(Table1[[#This Row],[RepID]],SalesReps!A:A,SalesReps!E:E)</f>
        <v>Active</v>
      </c>
      <c r="G434">
        <v>316</v>
      </c>
      <c r="H434" t="str">
        <f>_xlfn.XLOOKUP(Table1[[#This Row],[ProductID]],Products!A:A,Products!B:B)</f>
        <v>Home &amp; Kitchen</v>
      </c>
      <c r="I434" t="str">
        <f>_xlfn.XLOOKUP(Table1[[#This Row],[ProductID]],Products!A:A,Products!C:C)</f>
        <v>Furniture</v>
      </c>
      <c r="J434">
        <v>3</v>
      </c>
      <c r="K434" s="5">
        <f>_xlfn.XLOOKUP(Table1[[#This Row],[ProductID]],Products!A:A,Products!E:E)</f>
        <v>334.95</v>
      </c>
      <c r="L434" s="5">
        <v>387.55</v>
      </c>
      <c r="M434" s="6">
        <v>0.16</v>
      </c>
      <c r="N434" t="s">
        <v>9</v>
      </c>
      <c r="O434" s="5">
        <f t="shared" si="30"/>
        <v>325.54199999999997</v>
      </c>
      <c r="P434" s="5">
        <f t="shared" si="31"/>
        <v>976.62599999999998</v>
      </c>
      <c r="Q434" s="5">
        <f>Table1[[#This Row],[Quantity]]*(Table1[[#This Row],[Saleprice]]-Table1[[#This Row],[Costprice]])</f>
        <v>-28.224000000000046</v>
      </c>
      <c r="R434">
        <f t="shared" si="32"/>
        <v>2022</v>
      </c>
      <c r="S434">
        <f t="shared" si="33"/>
        <v>6</v>
      </c>
      <c r="T434" t="str">
        <f t="shared" si="34"/>
        <v>June</v>
      </c>
    </row>
    <row r="435" spans="1:20" x14ac:dyDescent="0.3">
      <c r="A435" s="3">
        <v>44714</v>
      </c>
      <c r="B435">
        <v>101</v>
      </c>
      <c r="C435" s="3">
        <f>_xlfn.XLOOKUP(B435,Stores!A:A,Stores!E:E)</f>
        <v>44691</v>
      </c>
      <c r="D435">
        <v>206</v>
      </c>
      <c r="E435" s="3">
        <f>_xlfn.XLOOKUP(D435,SalesReps!A:A,SalesReps!D:D)</f>
        <v>44357</v>
      </c>
      <c r="F435" s="3" t="str">
        <f>_xlfn.XLOOKUP(Table1[[#This Row],[RepID]],SalesReps!A:A,SalesReps!E:E)</f>
        <v>Active</v>
      </c>
      <c r="G435">
        <v>316</v>
      </c>
      <c r="H435" t="str">
        <f>_xlfn.XLOOKUP(Table1[[#This Row],[ProductID]],Products!A:A,Products!B:B)</f>
        <v>Home &amp; Kitchen</v>
      </c>
      <c r="I435" t="str">
        <f>_xlfn.XLOOKUP(Table1[[#This Row],[ProductID]],Products!A:A,Products!C:C)</f>
        <v>Furniture</v>
      </c>
      <c r="J435">
        <v>7</v>
      </c>
      <c r="K435" s="5">
        <f>_xlfn.XLOOKUP(Table1[[#This Row],[ProductID]],Products!A:A,Products!E:E)</f>
        <v>334.95</v>
      </c>
      <c r="L435" s="5">
        <v>424.18</v>
      </c>
      <c r="M435" s="6">
        <v>0.1</v>
      </c>
      <c r="N435" t="s">
        <v>8</v>
      </c>
      <c r="O435" s="5">
        <f t="shared" si="30"/>
        <v>381.762</v>
      </c>
      <c r="P435" s="5">
        <f t="shared" si="31"/>
        <v>2672.3339999999998</v>
      </c>
      <c r="Q435" s="5">
        <f>Table1[[#This Row],[Quantity]]*(Table1[[#This Row],[Saleprice]]-Table1[[#This Row],[Costprice]])</f>
        <v>327.68400000000008</v>
      </c>
      <c r="R435">
        <f t="shared" si="32"/>
        <v>2022</v>
      </c>
      <c r="S435">
        <f t="shared" si="33"/>
        <v>6</v>
      </c>
      <c r="T435" t="str">
        <f t="shared" si="34"/>
        <v>June</v>
      </c>
    </row>
    <row r="436" spans="1:20" x14ac:dyDescent="0.3">
      <c r="A436" s="3">
        <v>44714</v>
      </c>
      <c r="B436">
        <v>105</v>
      </c>
      <c r="C436" s="3">
        <f>_xlfn.XLOOKUP(B436,Stores!A:A,Stores!E:E)</f>
        <v>44161</v>
      </c>
      <c r="D436">
        <v>216</v>
      </c>
      <c r="E436" s="3">
        <f>_xlfn.XLOOKUP(D436,SalesReps!A:A,SalesReps!D:D)</f>
        <v>44672</v>
      </c>
      <c r="F436" s="3" t="str">
        <f>_xlfn.XLOOKUP(Table1[[#This Row],[RepID]],SalesReps!A:A,SalesReps!E:E)</f>
        <v>Left</v>
      </c>
      <c r="G436">
        <v>315</v>
      </c>
      <c r="H436" t="str">
        <f>_xlfn.XLOOKUP(Table1[[#This Row],[ProductID]],Products!A:A,Products!B:B)</f>
        <v>Toys</v>
      </c>
      <c r="I436" t="str">
        <f>_xlfn.XLOOKUP(Table1[[#This Row],[ProductID]],Products!A:A,Products!C:C)</f>
        <v>Board Games</v>
      </c>
      <c r="J436">
        <v>7</v>
      </c>
      <c r="K436" s="5">
        <f>_xlfn.XLOOKUP(Table1[[#This Row],[ProductID]],Products!A:A,Products!E:E)</f>
        <v>247.9</v>
      </c>
      <c r="L436" s="5">
        <v>261.83999999999997</v>
      </c>
      <c r="M436" s="6">
        <v>0.11</v>
      </c>
      <c r="N436" t="s">
        <v>10</v>
      </c>
      <c r="O436" s="5">
        <f t="shared" si="30"/>
        <v>233.03759999999997</v>
      </c>
      <c r="P436" s="5">
        <f t="shared" si="31"/>
        <v>1631.2631999999999</v>
      </c>
      <c r="Q436" s="5">
        <f>Table1[[#This Row],[Quantity]]*(Table1[[#This Row],[Saleprice]]-Table1[[#This Row],[Costprice]])</f>
        <v>-104.03680000000026</v>
      </c>
      <c r="R436">
        <f t="shared" si="32"/>
        <v>2022</v>
      </c>
      <c r="S436">
        <f t="shared" si="33"/>
        <v>6</v>
      </c>
      <c r="T436" t="str">
        <f t="shared" si="34"/>
        <v>June</v>
      </c>
    </row>
    <row r="437" spans="1:20" x14ac:dyDescent="0.3">
      <c r="A437" s="3">
        <v>44714</v>
      </c>
      <c r="B437">
        <v>106</v>
      </c>
      <c r="C437" s="3">
        <f>_xlfn.XLOOKUP(B437,Stores!A:A,Stores!E:E)</f>
        <v>43918</v>
      </c>
      <c r="D437">
        <v>212</v>
      </c>
      <c r="E437" s="3">
        <f>_xlfn.XLOOKUP(D437,SalesReps!A:A,SalesReps!D:D)</f>
        <v>44671</v>
      </c>
      <c r="F437" s="3" t="str">
        <f>_xlfn.XLOOKUP(Table1[[#This Row],[RepID]],SalesReps!A:A,SalesReps!E:E)</f>
        <v>Active</v>
      </c>
      <c r="G437">
        <v>319</v>
      </c>
      <c r="H437" t="str">
        <f>_xlfn.XLOOKUP(Table1[[#This Row],[ProductID]],Products!A:A,Products!B:B)</f>
        <v>Toys</v>
      </c>
      <c r="I437" t="str">
        <f>_xlfn.XLOOKUP(Table1[[#This Row],[ProductID]],Products!A:A,Products!C:C)</f>
        <v>Board Games</v>
      </c>
      <c r="J437">
        <v>5</v>
      </c>
      <c r="K437" s="5">
        <f>_xlfn.XLOOKUP(Table1[[#This Row],[ProductID]],Products!A:A,Products!E:E)</f>
        <v>81.069999999999993</v>
      </c>
      <c r="L437" s="5">
        <v>143.30000000000001</v>
      </c>
      <c r="M437" s="6">
        <v>0.16</v>
      </c>
      <c r="N437" t="s">
        <v>10</v>
      </c>
      <c r="O437" s="5">
        <f t="shared" si="30"/>
        <v>120.372</v>
      </c>
      <c r="P437" s="5">
        <f t="shared" si="31"/>
        <v>601.86</v>
      </c>
      <c r="Q437" s="5">
        <f>Table1[[#This Row],[Quantity]]*(Table1[[#This Row],[Saleprice]]-Table1[[#This Row],[Costprice]])</f>
        <v>196.51000000000005</v>
      </c>
      <c r="R437">
        <f t="shared" si="32"/>
        <v>2022</v>
      </c>
      <c r="S437">
        <f t="shared" si="33"/>
        <v>6</v>
      </c>
      <c r="T437" t="str">
        <f t="shared" si="34"/>
        <v>June</v>
      </c>
    </row>
    <row r="438" spans="1:20" x14ac:dyDescent="0.3">
      <c r="A438" s="3">
        <v>44714</v>
      </c>
      <c r="B438">
        <v>103</v>
      </c>
      <c r="C438" s="3">
        <f>_xlfn.XLOOKUP(B438,Stores!A:A,Stores!E:E)</f>
        <v>43952</v>
      </c>
      <c r="D438">
        <v>207</v>
      </c>
      <c r="E438" s="3">
        <f>_xlfn.XLOOKUP(D438,SalesReps!A:A,SalesReps!D:D)</f>
        <v>44656</v>
      </c>
      <c r="F438" s="3" t="str">
        <f>_xlfn.XLOOKUP(Table1[[#This Row],[RepID]],SalesReps!A:A,SalesReps!E:E)</f>
        <v>Active</v>
      </c>
      <c r="G438">
        <v>320</v>
      </c>
      <c r="H438" t="str">
        <f>_xlfn.XLOOKUP(Table1[[#This Row],[ProductID]],Products!A:A,Products!B:B)</f>
        <v>Toys</v>
      </c>
      <c r="I438" t="str">
        <f>_xlfn.XLOOKUP(Table1[[#This Row],[ProductID]],Products!A:A,Products!C:C)</f>
        <v>Outdoor</v>
      </c>
      <c r="J438">
        <v>6</v>
      </c>
      <c r="K438" s="5">
        <f>_xlfn.XLOOKUP(Table1[[#This Row],[ProductID]],Products!A:A,Products!E:E)</f>
        <v>304.58999999999997</v>
      </c>
      <c r="L438" s="5">
        <v>374.95</v>
      </c>
      <c r="M438" s="6">
        <v>0.22</v>
      </c>
      <c r="N438" t="s">
        <v>9</v>
      </c>
      <c r="O438" s="5">
        <f t="shared" si="30"/>
        <v>292.46100000000001</v>
      </c>
      <c r="P438" s="5">
        <f t="shared" si="31"/>
        <v>1754.7660000000001</v>
      </c>
      <c r="Q438" s="5">
        <f>Table1[[#This Row],[Quantity]]*(Table1[[#This Row],[Saleprice]]-Table1[[#This Row],[Costprice]])</f>
        <v>-72.773999999999774</v>
      </c>
      <c r="R438">
        <f t="shared" si="32"/>
        <v>2022</v>
      </c>
      <c r="S438">
        <f t="shared" si="33"/>
        <v>6</v>
      </c>
      <c r="T438" t="str">
        <f t="shared" si="34"/>
        <v>June</v>
      </c>
    </row>
    <row r="439" spans="1:20" x14ac:dyDescent="0.3">
      <c r="A439" s="3">
        <v>44715</v>
      </c>
      <c r="B439">
        <v>101</v>
      </c>
      <c r="C439" s="3">
        <f>_xlfn.XLOOKUP(B439,Stores!A:A,Stores!E:E)</f>
        <v>44691</v>
      </c>
      <c r="D439">
        <v>201</v>
      </c>
      <c r="E439" s="3">
        <f>_xlfn.XLOOKUP(D439,SalesReps!A:A,SalesReps!D:D)</f>
        <v>44688</v>
      </c>
      <c r="F439" s="3" t="str">
        <f>_xlfn.XLOOKUP(Table1[[#This Row],[RepID]],SalesReps!A:A,SalesReps!E:E)</f>
        <v>Active</v>
      </c>
      <c r="G439">
        <v>301</v>
      </c>
      <c r="H439" t="str">
        <f>_xlfn.XLOOKUP(Table1[[#This Row],[ProductID]],Products!A:A,Products!B:B)</f>
        <v>Electronics</v>
      </c>
      <c r="I439" t="str">
        <f>_xlfn.XLOOKUP(Table1[[#This Row],[ProductID]],Products!A:A,Products!C:C)</f>
        <v>Mobiles</v>
      </c>
      <c r="J439">
        <v>9</v>
      </c>
      <c r="K439" s="5">
        <f>_xlfn.XLOOKUP(Table1[[#This Row],[ProductID]],Products!A:A,Products!E:E)</f>
        <v>159.16</v>
      </c>
      <c r="L439" s="5">
        <v>204.55</v>
      </c>
      <c r="M439" s="6">
        <v>0.09</v>
      </c>
      <c r="N439" t="s">
        <v>8</v>
      </c>
      <c r="O439" s="5">
        <f t="shared" si="30"/>
        <v>186.1405</v>
      </c>
      <c r="P439" s="5">
        <f t="shared" si="31"/>
        <v>1675.2645</v>
      </c>
      <c r="Q439" s="5">
        <f>Table1[[#This Row],[Quantity]]*(Table1[[#This Row],[Saleprice]]-Table1[[#This Row],[Costprice]])</f>
        <v>242.82450000000006</v>
      </c>
      <c r="R439">
        <f t="shared" si="32"/>
        <v>2022</v>
      </c>
      <c r="S439">
        <f t="shared" si="33"/>
        <v>6</v>
      </c>
      <c r="T439" t="str">
        <f t="shared" si="34"/>
        <v>June</v>
      </c>
    </row>
    <row r="440" spans="1:20" x14ac:dyDescent="0.3">
      <c r="A440" s="3">
        <v>44715</v>
      </c>
      <c r="B440">
        <v>109</v>
      </c>
      <c r="C440" s="3">
        <f>_xlfn.XLOOKUP(B440,Stores!A:A,Stores!E:E)</f>
        <v>44600</v>
      </c>
      <c r="D440">
        <v>214</v>
      </c>
      <c r="E440" s="3">
        <f>_xlfn.XLOOKUP(D440,SalesReps!A:A,SalesReps!D:D)</f>
        <v>44707</v>
      </c>
      <c r="F440" s="3" t="str">
        <f>_xlfn.XLOOKUP(Table1[[#This Row],[RepID]],SalesReps!A:A,SalesReps!E:E)</f>
        <v>Active</v>
      </c>
      <c r="G440">
        <v>307</v>
      </c>
      <c r="H440" t="str">
        <f>_xlfn.XLOOKUP(Table1[[#This Row],[ProductID]],Products!A:A,Products!B:B)</f>
        <v>Toys</v>
      </c>
      <c r="I440" t="str">
        <f>_xlfn.XLOOKUP(Table1[[#This Row],[ProductID]],Products!A:A,Products!C:C)</f>
        <v>Outdoor</v>
      </c>
      <c r="J440">
        <v>7</v>
      </c>
      <c r="K440" s="5">
        <f>_xlfn.XLOOKUP(Table1[[#This Row],[ProductID]],Products!A:A,Products!E:E)</f>
        <v>15.17</v>
      </c>
      <c r="L440" s="5">
        <v>71.61</v>
      </c>
      <c r="M440" s="6">
        <v>0.19</v>
      </c>
      <c r="N440" t="s">
        <v>11</v>
      </c>
      <c r="O440" s="5">
        <f t="shared" si="30"/>
        <v>58.004100000000001</v>
      </c>
      <c r="P440" s="5">
        <f t="shared" si="31"/>
        <v>406.02870000000001</v>
      </c>
      <c r="Q440" s="5">
        <f>Table1[[#This Row],[Quantity]]*(Table1[[#This Row],[Saleprice]]-Table1[[#This Row],[Costprice]])</f>
        <v>299.83870000000002</v>
      </c>
      <c r="R440">
        <f t="shared" si="32"/>
        <v>2022</v>
      </c>
      <c r="S440">
        <f t="shared" si="33"/>
        <v>6</v>
      </c>
      <c r="T440" t="str">
        <f t="shared" si="34"/>
        <v>June</v>
      </c>
    </row>
    <row r="441" spans="1:20" x14ac:dyDescent="0.3">
      <c r="A441" s="3">
        <v>44715</v>
      </c>
      <c r="B441">
        <v>101</v>
      </c>
      <c r="C441" s="3">
        <f>_xlfn.XLOOKUP(B441,Stores!A:A,Stores!E:E)</f>
        <v>44691</v>
      </c>
      <c r="D441">
        <v>203</v>
      </c>
      <c r="E441" s="3">
        <f>_xlfn.XLOOKUP(D441,SalesReps!A:A,SalesReps!D:D)</f>
        <v>44582</v>
      </c>
      <c r="F441" s="3" t="str">
        <f>_xlfn.XLOOKUP(Table1[[#This Row],[RepID]],SalesReps!A:A,SalesReps!E:E)</f>
        <v>Active</v>
      </c>
      <c r="G441">
        <v>315</v>
      </c>
      <c r="H441" t="str">
        <f>_xlfn.XLOOKUP(Table1[[#This Row],[ProductID]],Products!A:A,Products!B:B)</f>
        <v>Toys</v>
      </c>
      <c r="I441" t="str">
        <f>_xlfn.XLOOKUP(Table1[[#This Row],[ProductID]],Products!A:A,Products!C:C)</f>
        <v>Board Games</v>
      </c>
      <c r="J441">
        <v>8</v>
      </c>
      <c r="K441" s="5">
        <f>_xlfn.XLOOKUP(Table1[[#This Row],[ProductID]],Products!A:A,Products!E:E)</f>
        <v>247.9</v>
      </c>
      <c r="L441" s="5">
        <v>294.29000000000002</v>
      </c>
      <c r="M441" s="6">
        <v>0.2</v>
      </c>
      <c r="N441" t="s">
        <v>8</v>
      </c>
      <c r="O441" s="5">
        <f t="shared" si="30"/>
        <v>235.43200000000002</v>
      </c>
      <c r="P441" s="5">
        <f t="shared" si="31"/>
        <v>1883.4560000000001</v>
      </c>
      <c r="Q441" s="5">
        <f>Table1[[#This Row],[Quantity]]*(Table1[[#This Row],[Saleprice]]-Table1[[#This Row],[Costprice]])</f>
        <v>-99.743999999999915</v>
      </c>
      <c r="R441">
        <f t="shared" si="32"/>
        <v>2022</v>
      </c>
      <c r="S441">
        <f t="shared" si="33"/>
        <v>6</v>
      </c>
      <c r="T441" t="str">
        <f t="shared" si="34"/>
        <v>June</v>
      </c>
    </row>
    <row r="442" spans="1:20" x14ac:dyDescent="0.3">
      <c r="A442" s="3">
        <v>44715</v>
      </c>
      <c r="B442">
        <v>105</v>
      </c>
      <c r="C442" s="3">
        <f>_xlfn.XLOOKUP(B442,Stores!A:A,Stores!E:E)</f>
        <v>44161</v>
      </c>
      <c r="D442">
        <v>216</v>
      </c>
      <c r="E442" s="3">
        <f>_xlfn.XLOOKUP(D442,SalesReps!A:A,SalesReps!D:D)</f>
        <v>44672</v>
      </c>
      <c r="F442" s="3" t="str">
        <f>_xlfn.XLOOKUP(Table1[[#This Row],[RepID]],SalesReps!A:A,SalesReps!E:E)</f>
        <v>Left</v>
      </c>
      <c r="G442">
        <v>314</v>
      </c>
      <c r="H442" t="str">
        <f>_xlfn.XLOOKUP(Table1[[#This Row],[ProductID]],Products!A:A,Products!B:B)</f>
        <v>Clothing</v>
      </c>
      <c r="I442" t="str">
        <f>_xlfn.XLOOKUP(Table1[[#This Row],[ProductID]],Products!A:A,Products!C:C)</f>
        <v>Kids</v>
      </c>
      <c r="J442">
        <v>5</v>
      </c>
      <c r="K442" s="5">
        <f>_xlfn.XLOOKUP(Table1[[#This Row],[ProductID]],Products!A:A,Products!E:E)</f>
        <v>276.47000000000003</v>
      </c>
      <c r="L442" s="5">
        <v>322.16000000000003</v>
      </c>
      <c r="M442" s="6">
        <v>0.19</v>
      </c>
      <c r="N442" t="s">
        <v>10</v>
      </c>
      <c r="O442" s="5">
        <f t="shared" si="30"/>
        <v>260.94960000000003</v>
      </c>
      <c r="P442" s="5">
        <f t="shared" si="31"/>
        <v>1304.748</v>
      </c>
      <c r="Q442" s="5">
        <f>Table1[[#This Row],[Quantity]]*(Table1[[#This Row],[Saleprice]]-Table1[[#This Row],[Costprice]])</f>
        <v>-77.601999999999975</v>
      </c>
      <c r="R442">
        <f t="shared" si="32"/>
        <v>2022</v>
      </c>
      <c r="S442">
        <f t="shared" si="33"/>
        <v>6</v>
      </c>
      <c r="T442" t="str">
        <f t="shared" si="34"/>
        <v>June</v>
      </c>
    </row>
    <row r="443" spans="1:20" x14ac:dyDescent="0.3">
      <c r="A443" s="3">
        <v>44716</v>
      </c>
      <c r="B443">
        <v>101</v>
      </c>
      <c r="C443" s="3">
        <f>_xlfn.XLOOKUP(B443,Stores!A:A,Stores!E:E)</f>
        <v>44691</v>
      </c>
      <c r="D443">
        <v>201</v>
      </c>
      <c r="E443" s="3">
        <f>_xlfn.XLOOKUP(D443,SalesReps!A:A,SalesReps!D:D)</f>
        <v>44688</v>
      </c>
      <c r="F443" s="3" t="str">
        <f>_xlfn.XLOOKUP(Table1[[#This Row],[RepID]],SalesReps!A:A,SalesReps!E:E)</f>
        <v>Active</v>
      </c>
      <c r="G443">
        <v>301</v>
      </c>
      <c r="H443" t="str">
        <f>_xlfn.XLOOKUP(Table1[[#This Row],[ProductID]],Products!A:A,Products!B:B)</f>
        <v>Electronics</v>
      </c>
      <c r="I443" t="str">
        <f>_xlfn.XLOOKUP(Table1[[#This Row],[ProductID]],Products!A:A,Products!C:C)</f>
        <v>Mobiles</v>
      </c>
      <c r="J443">
        <v>7</v>
      </c>
      <c r="K443" s="5">
        <f>_xlfn.XLOOKUP(Table1[[#This Row],[ProductID]],Products!A:A,Products!E:E)</f>
        <v>159.16</v>
      </c>
      <c r="L443" s="5">
        <v>204.55</v>
      </c>
      <c r="M443" s="6">
        <v>0.09</v>
      </c>
      <c r="N443" t="s">
        <v>8</v>
      </c>
      <c r="O443" s="5">
        <f t="shared" si="30"/>
        <v>186.1405</v>
      </c>
      <c r="P443" s="5">
        <f t="shared" si="31"/>
        <v>1302.9835</v>
      </c>
      <c r="Q443" s="5">
        <f>Table1[[#This Row],[Quantity]]*(Table1[[#This Row],[Saleprice]]-Table1[[#This Row],[Costprice]])</f>
        <v>188.86350000000004</v>
      </c>
      <c r="R443">
        <f t="shared" si="32"/>
        <v>2022</v>
      </c>
      <c r="S443">
        <f t="shared" si="33"/>
        <v>6</v>
      </c>
      <c r="T443" t="str">
        <f t="shared" si="34"/>
        <v>June</v>
      </c>
    </row>
    <row r="444" spans="1:20" x14ac:dyDescent="0.3">
      <c r="A444" s="3">
        <v>44716</v>
      </c>
      <c r="B444">
        <v>101</v>
      </c>
      <c r="C444" s="3">
        <f>_xlfn.XLOOKUP(B444,Stores!A:A,Stores!E:E)</f>
        <v>44691</v>
      </c>
      <c r="D444">
        <v>206</v>
      </c>
      <c r="E444" s="3">
        <f>_xlfn.XLOOKUP(D444,SalesReps!A:A,SalesReps!D:D)</f>
        <v>44357</v>
      </c>
      <c r="F444" s="3" t="str">
        <f>_xlfn.XLOOKUP(Table1[[#This Row],[RepID]],SalesReps!A:A,SalesReps!E:E)</f>
        <v>Active</v>
      </c>
      <c r="G444">
        <v>306</v>
      </c>
      <c r="H444" t="str">
        <f>_xlfn.XLOOKUP(Table1[[#This Row],[ProductID]],Products!A:A,Products!B:B)</f>
        <v>Clothing</v>
      </c>
      <c r="I444" t="str">
        <f>_xlfn.XLOOKUP(Table1[[#This Row],[ProductID]],Products!A:A,Products!C:C)</f>
        <v>Men</v>
      </c>
      <c r="J444">
        <v>8</v>
      </c>
      <c r="K444" s="5">
        <f>_xlfn.XLOOKUP(Table1[[#This Row],[ProductID]],Products!A:A,Products!E:E)</f>
        <v>185.69</v>
      </c>
      <c r="L444" s="5">
        <v>283.47000000000003</v>
      </c>
      <c r="M444" s="6">
        <v>0.13</v>
      </c>
      <c r="N444" t="s">
        <v>8</v>
      </c>
      <c r="O444" s="5">
        <f t="shared" si="30"/>
        <v>246.61890000000002</v>
      </c>
      <c r="P444" s="5">
        <f t="shared" si="31"/>
        <v>1972.9512000000002</v>
      </c>
      <c r="Q444" s="5">
        <f>Table1[[#This Row],[Quantity]]*(Table1[[#This Row],[Saleprice]]-Table1[[#This Row],[Costprice]])</f>
        <v>487.43120000000022</v>
      </c>
      <c r="R444">
        <f t="shared" si="32"/>
        <v>2022</v>
      </c>
      <c r="S444">
        <f t="shared" si="33"/>
        <v>6</v>
      </c>
      <c r="T444" t="str">
        <f t="shared" si="34"/>
        <v>June</v>
      </c>
    </row>
    <row r="445" spans="1:20" x14ac:dyDescent="0.3">
      <c r="A445" s="3">
        <v>44716</v>
      </c>
      <c r="B445">
        <v>105</v>
      </c>
      <c r="C445" s="3">
        <f>_xlfn.XLOOKUP(B445,Stores!A:A,Stores!E:E)</f>
        <v>44161</v>
      </c>
      <c r="D445">
        <v>216</v>
      </c>
      <c r="E445" s="3">
        <f>_xlfn.XLOOKUP(D445,SalesReps!A:A,SalesReps!D:D)</f>
        <v>44672</v>
      </c>
      <c r="F445" s="3" t="str">
        <f>_xlfn.XLOOKUP(Table1[[#This Row],[RepID]],SalesReps!A:A,SalesReps!E:E)</f>
        <v>Left</v>
      </c>
      <c r="G445">
        <v>319</v>
      </c>
      <c r="H445" t="str">
        <f>_xlfn.XLOOKUP(Table1[[#This Row],[ProductID]],Products!A:A,Products!B:B)</f>
        <v>Toys</v>
      </c>
      <c r="I445" t="str">
        <f>_xlfn.XLOOKUP(Table1[[#This Row],[ProductID]],Products!A:A,Products!C:C)</f>
        <v>Board Games</v>
      </c>
      <c r="J445">
        <v>6</v>
      </c>
      <c r="K445" s="5">
        <f>_xlfn.XLOOKUP(Table1[[#This Row],[ProductID]],Products!A:A,Products!E:E)</f>
        <v>81.069999999999993</v>
      </c>
      <c r="L445" s="5">
        <v>93.98</v>
      </c>
      <c r="M445" s="6">
        <v>7.0000000000000007E-2</v>
      </c>
      <c r="N445" t="s">
        <v>10</v>
      </c>
      <c r="O445" s="5">
        <f t="shared" si="30"/>
        <v>87.401399999999995</v>
      </c>
      <c r="P445" s="5">
        <f t="shared" si="31"/>
        <v>524.40840000000003</v>
      </c>
      <c r="Q445" s="5">
        <f>Table1[[#This Row],[Quantity]]*(Table1[[#This Row],[Saleprice]]-Table1[[#This Row],[Costprice]])</f>
        <v>37.988400000000013</v>
      </c>
      <c r="R445">
        <f t="shared" si="32"/>
        <v>2022</v>
      </c>
      <c r="S445">
        <f t="shared" si="33"/>
        <v>6</v>
      </c>
      <c r="T445" t="str">
        <f t="shared" si="34"/>
        <v>June</v>
      </c>
    </row>
    <row r="446" spans="1:20" x14ac:dyDescent="0.3">
      <c r="A446" s="3">
        <v>44716</v>
      </c>
      <c r="B446">
        <v>105</v>
      </c>
      <c r="C446" s="3">
        <f>_xlfn.XLOOKUP(B446,Stores!A:A,Stores!E:E)</f>
        <v>44161</v>
      </c>
      <c r="D446">
        <v>216</v>
      </c>
      <c r="E446" s="3">
        <f>_xlfn.XLOOKUP(D446,SalesReps!A:A,SalesReps!D:D)</f>
        <v>44672</v>
      </c>
      <c r="F446" s="3" t="str">
        <f>_xlfn.XLOOKUP(Table1[[#This Row],[RepID]],SalesReps!A:A,SalesReps!E:E)</f>
        <v>Left</v>
      </c>
      <c r="G446">
        <v>315</v>
      </c>
      <c r="H446" t="str">
        <f>_xlfn.XLOOKUP(Table1[[#This Row],[ProductID]],Products!A:A,Products!B:B)</f>
        <v>Toys</v>
      </c>
      <c r="I446" t="str">
        <f>_xlfn.XLOOKUP(Table1[[#This Row],[ProductID]],Products!A:A,Products!C:C)</f>
        <v>Board Games</v>
      </c>
      <c r="J446">
        <v>8</v>
      </c>
      <c r="K446" s="5">
        <f>_xlfn.XLOOKUP(Table1[[#This Row],[ProductID]],Products!A:A,Products!E:E)</f>
        <v>247.9</v>
      </c>
      <c r="L446" s="5">
        <v>261.83999999999997</v>
      </c>
      <c r="M446" s="6">
        <v>0.11</v>
      </c>
      <c r="N446" t="s">
        <v>10</v>
      </c>
      <c r="O446" s="5">
        <f t="shared" si="30"/>
        <v>233.03759999999997</v>
      </c>
      <c r="P446" s="5">
        <f t="shared" si="31"/>
        <v>1864.3007999999998</v>
      </c>
      <c r="Q446" s="5">
        <f>Table1[[#This Row],[Quantity]]*(Table1[[#This Row],[Saleprice]]-Table1[[#This Row],[Costprice]])</f>
        <v>-118.89920000000029</v>
      </c>
      <c r="R446">
        <f t="shared" si="32"/>
        <v>2022</v>
      </c>
      <c r="S446">
        <f t="shared" si="33"/>
        <v>6</v>
      </c>
      <c r="T446" t="str">
        <f t="shared" si="34"/>
        <v>June</v>
      </c>
    </row>
    <row r="447" spans="1:20" x14ac:dyDescent="0.3">
      <c r="A447" s="3">
        <v>44717</v>
      </c>
      <c r="B447">
        <v>103</v>
      </c>
      <c r="C447" s="3">
        <f>_xlfn.XLOOKUP(B447,Stores!A:A,Stores!E:E)</f>
        <v>43952</v>
      </c>
      <c r="D447">
        <v>207</v>
      </c>
      <c r="E447" s="3">
        <f>_xlfn.XLOOKUP(D447,SalesReps!A:A,SalesReps!D:D)</f>
        <v>44656</v>
      </c>
      <c r="F447" s="3" t="str">
        <f>_xlfn.XLOOKUP(Table1[[#This Row],[RepID]],SalesReps!A:A,SalesReps!E:E)</f>
        <v>Active</v>
      </c>
      <c r="G447">
        <v>307</v>
      </c>
      <c r="H447" t="str">
        <f>_xlfn.XLOOKUP(Table1[[#This Row],[ProductID]],Products!A:A,Products!B:B)</f>
        <v>Toys</v>
      </c>
      <c r="I447" t="str">
        <f>_xlfn.XLOOKUP(Table1[[#This Row],[ProductID]],Products!A:A,Products!C:C)</f>
        <v>Outdoor</v>
      </c>
      <c r="J447">
        <v>1</v>
      </c>
      <c r="K447" s="5">
        <f>_xlfn.XLOOKUP(Table1[[#This Row],[ProductID]],Products!A:A,Products!E:E)</f>
        <v>15.17</v>
      </c>
      <c r="L447" s="5">
        <v>41.09</v>
      </c>
      <c r="M447" s="6">
        <v>0.19</v>
      </c>
      <c r="N447" t="s">
        <v>9</v>
      </c>
      <c r="O447" s="5">
        <f t="shared" si="30"/>
        <v>33.282900000000005</v>
      </c>
      <c r="P447" s="5">
        <f t="shared" si="31"/>
        <v>33.282900000000005</v>
      </c>
      <c r="Q447" s="5">
        <f>Table1[[#This Row],[Quantity]]*(Table1[[#This Row],[Saleprice]]-Table1[[#This Row],[Costprice]])</f>
        <v>18.112900000000003</v>
      </c>
      <c r="R447">
        <f t="shared" si="32"/>
        <v>2022</v>
      </c>
      <c r="S447">
        <f t="shared" si="33"/>
        <v>6</v>
      </c>
      <c r="T447" t="str">
        <f t="shared" si="34"/>
        <v>June</v>
      </c>
    </row>
    <row r="448" spans="1:20" x14ac:dyDescent="0.3">
      <c r="A448" s="3">
        <v>44717</v>
      </c>
      <c r="B448">
        <v>103</v>
      </c>
      <c r="C448" s="3">
        <f>_xlfn.XLOOKUP(B448,Stores!A:A,Stores!E:E)</f>
        <v>43952</v>
      </c>
      <c r="D448">
        <v>207</v>
      </c>
      <c r="E448" s="3">
        <f>_xlfn.XLOOKUP(D448,SalesReps!A:A,SalesReps!D:D)</f>
        <v>44656</v>
      </c>
      <c r="F448" s="3" t="str">
        <f>_xlfn.XLOOKUP(Table1[[#This Row],[RepID]],SalesReps!A:A,SalesReps!E:E)</f>
        <v>Active</v>
      </c>
      <c r="G448">
        <v>301</v>
      </c>
      <c r="H448" t="str">
        <f>_xlfn.XLOOKUP(Table1[[#This Row],[ProductID]],Products!A:A,Products!B:B)</f>
        <v>Electronics</v>
      </c>
      <c r="I448" t="str">
        <f>_xlfn.XLOOKUP(Table1[[#This Row],[ProductID]],Products!A:A,Products!C:C)</f>
        <v>Mobiles</v>
      </c>
      <c r="J448">
        <v>4</v>
      </c>
      <c r="K448" s="5">
        <f>_xlfn.XLOOKUP(Table1[[#This Row],[ProductID]],Products!A:A,Products!E:E)</f>
        <v>159.16</v>
      </c>
      <c r="L448" s="5">
        <v>244.18</v>
      </c>
      <c r="M448" s="6">
        <v>0.14000000000000001</v>
      </c>
      <c r="N448" t="s">
        <v>9</v>
      </c>
      <c r="O448" s="5">
        <f t="shared" si="30"/>
        <v>209.9948</v>
      </c>
      <c r="P448" s="5">
        <f t="shared" si="31"/>
        <v>839.97919999999999</v>
      </c>
      <c r="Q448" s="5">
        <f>Table1[[#This Row],[Quantity]]*(Table1[[#This Row],[Saleprice]]-Table1[[#This Row],[Costprice]])</f>
        <v>203.33920000000001</v>
      </c>
      <c r="R448">
        <f t="shared" si="32"/>
        <v>2022</v>
      </c>
      <c r="S448">
        <f t="shared" si="33"/>
        <v>6</v>
      </c>
      <c r="T448" t="str">
        <f t="shared" si="34"/>
        <v>June</v>
      </c>
    </row>
    <row r="449" spans="1:20" x14ac:dyDescent="0.3">
      <c r="A449" s="3">
        <v>44717</v>
      </c>
      <c r="B449">
        <v>103</v>
      </c>
      <c r="C449" s="3">
        <f>_xlfn.XLOOKUP(B449,Stores!A:A,Stores!E:E)</f>
        <v>43952</v>
      </c>
      <c r="D449">
        <v>207</v>
      </c>
      <c r="E449" s="3">
        <f>_xlfn.XLOOKUP(D449,SalesReps!A:A,SalesReps!D:D)</f>
        <v>44656</v>
      </c>
      <c r="F449" s="3" t="str">
        <f>_xlfn.XLOOKUP(Table1[[#This Row],[RepID]],SalesReps!A:A,SalesReps!E:E)</f>
        <v>Active</v>
      </c>
      <c r="G449">
        <v>307</v>
      </c>
      <c r="H449" t="str">
        <f>_xlfn.XLOOKUP(Table1[[#This Row],[ProductID]],Products!A:A,Products!B:B)</f>
        <v>Toys</v>
      </c>
      <c r="I449" t="str">
        <f>_xlfn.XLOOKUP(Table1[[#This Row],[ProductID]],Products!A:A,Products!C:C)</f>
        <v>Outdoor</v>
      </c>
      <c r="J449">
        <v>3</v>
      </c>
      <c r="K449" s="5">
        <f>_xlfn.XLOOKUP(Table1[[#This Row],[ProductID]],Products!A:A,Products!E:E)</f>
        <v>15.17</v>
      </c>
      <c r="L449" s="5">
        <v>41.09</v>
      </c>
      <c r="M449" s="6">
        <v>0.19</v>
      </c>
      <c r="N449" t="s">
        <v>9</v>
      </c>
      <c r="O449" s="5">
        <f t="shared" si="30"/>
        <v>33.282900000000005</v>
      </c>
      <c r="P449" s="5">
        <f t="shared" si="31"/>
        <v>99.848700000000008</v>
      </c>
      <c r="Q449" s="5">
        <f>Table1[[#This Row],[Quantity]]*(Table1[[#This Row],[Saleprice]]-Table1[[#This Row],[Costprice]])</f>
        <v>54.33870000000001</v>
      </c>
      <c r="R449">
        <f t="shared" si="32"/>
        <v>2022</v>
      </c>
      <c r="S449">
        <f t="shared" si="33"/>
        <v>6</v>
      </c>
      <c r="T449" t="str">
        <f t="shared" si="34"/>
        <v>June</v>
      </c>
    </row>
    <row r="450" spans="1:20" x14ac:dyDescent="0.3">
      <c r="A450" s="3">
        <v>44717</v>
      </c>
      <c r="B450">
        <v>109</v>
      </c>
      <c r="C450" s="3">
        <f>_xlfn.XLOOKUP(B450,Stores!A:A,Stores!E:E)</f>
        <v>44600</v>
      </c>
      <c r="D450">
        <v>214</v>
      </c>
      <c r="E450" s="3">
        <f>_xlfn.XLOOKUP(D450,SalesReps!A:A,SalesReps!D:D)</f>
        <v>44707</v>
      </c>
      <c r="F450" s="3" t="str">
        <f>_xlfn.XLOOKUP(Table1[[#This Row],[RepID]],SalesReps!A:A,SalesReps!E:E)</f>
        <v>Active</v>
      </c>
      <c r="G450">
        <v>309</v>
      </c>
      <c r="H450" t="str">
        <f>_xlfn.XLOOKUP(Table1[[#This Row],[ProductID]],Products!A:A,Products!B:B)</f>
        <v>Electronics</v>
      </c>
      <c r="I450" t="str">
        <f>_xlfn.XLOOKUP(Table1[[#This Row],[ProductID]],Products!A:A,Products!C:C)</f>
        <v>Laptops</v>
      </c>
      <c r="J450">
        <v>2</v>
      </c>
      <c r="K450" s="5">
        <f>_xlfn.XLOOKUP(Table1[[#This Row],[ProductID]],Products!A:A,Products!E:E)</f>
        <v>229.68</v>
      </c>
      <c r="L450" s="5">
        <v>283.02</v>
      </c>
      <c r="M450" s="6">
        <v>0.18</v>
      </c>
      <c r="N450" t="s">
        <v>11</v>
      </c>
      <c r="O450" s="5">
        <f t="shared" ref="O450:O513" si="35">L450*(1-M450)</f>
        <v>232.07640000000001</v>
      </c>
      <c r="P450" s="5">
        <f t="shared" ref="P450:P513" si="36">O450*J450</f>
        <v>464.15280000000001</v>
      </c>
      <c r="Q450" s="5">
        <f>Table1[[#This Row],[Quantity]]*(Table1[[#This Row],[Saleprice]]-Table1[[#This Row],[Costprice]])</f>
        <v>4.7927999999999997</v>
      </c>
      <c r="R450">
        <f t="shared" ref="R450:R513" si="37">YEAR(A450)</f>
        <v>2022</v>
      </c>
      <c r="S450">
        <f t="shared" ref="S450:S513" si="38">MONTH(A450)</f>
        <v>6</v>
      </c>
      <c r="T450" t="str">
        <f t="shared" ref="T450:T513" si="39">TEXT(A450,"MMMM")</f>
        <v>June</v>
      </c>
    </row>
    <row r="451" spans="1:20" x14ac:dyDescent="0.3">
      <c r="A451" s="3">
        <v>44717</v>
      </c>
      <c r="B451">
        <v>101</v>
      </c>
      <c r="C451" s="3">
        <f>_xlfn.XLOOKUP(B451,Stores!A:A,Stores!E:E)</f>
        <v>44691</v>
      </c>
      <c r="D451">
        <v>206</v>
      </c>
      <c r="E451" s="3">
        <f>_xlfn.XLOOKUP(D451,SalesReps!A:A,SalesReps!D:D)</f>
        <v>44357</v>
      </c>
      <c r="F451" s="3" t="str">
        <f>_xlfn.XLOOKUP(Table1[[#This Row],[RepID]],SalesReps!A:A,SalesReps!E:E)</f>
        <v>Active</v>
      </c>
      <c r="G451">
        <v>306</v>
      </c>
      <c r="H451" t="str">
        <f>_xlfn.XLOOKUP(Table1[[#This Row],[ProductID]],Products!A:A,Products!B:B)</f>
        <v>Clothing</v>
      </c>
      <c r="I451" t="str">
        <f>_xlfn.XLOOKUP(Table1[[#This Row],[ProductID]],Products!A:A,Products!C:C)</f>
        <v>Men</v>
      </c>
      <c r="J451">
        <v>3</v>
      </c>
      <c r="K451" s="5">
        <f>_xlfn.XLOOKUP(Table1[[#This Row],[ProductID]],Products!A:A,Products!E:E)</f>
        <v>185.69</v>
      </c>
      <c r="L451" s="5">
        <v>283.47000000000003</v>
      </c>
      <c r="M451" s="6">
        <v>0.13</v>
      </c>
      <c r="N451" t="s">
        <v>8</v>
      </c>
      <c r="O451" s="5">
        <f t="shared" si="35"/>
        <v>246.61890000000002</v>
      </c>
      <c r="P451" s="5">
        <f t="shared" si="36"/>
        <v>739.85670000000005</v>
      </c>
      <c r="Q451" s="5">
        <f>Table1[[#This Row],[Quantity]]*(Table1[[#This Row],[Saleprice]]-Table1[[#This Row],[Costprice]])</f>
        <v>182.78670000000008</v>
      </c>
      <c r="R451">
        <f t="shared" si="37"/>
        <v>2022</v>
      </c>
      <c r="S451">
        <f t="shared" si="38"/>
        <v>6</v>
      </c>
      <c r="T451" t="str">
        <f t="shared" si="39"/>
        <v>June</v>
      </c>
    </row>
    <row r="452" spans="1:20" x14ac:dyDescent="0.3">
      <c r="A452" s="3">
        <v>44718</v>
      </c>
      <c r="B452">
        <v>103</v>
      </c>
      <c r="C452" s="3">
        <f>_xlfn.XLOOKUP(B452,Stores!A:A,Stores!E:E)</f>
        <v>43952</v>
      </c>
      <c r="D452">
        <v>207</v>
      </c>
      <c r="E452" s="3">
        <f>_xlfn.XLOOKUP(D452,SalesReps!A:A,SalesReps!D:D)</f>
        <v>44656</v>
      </c>
      <c r="F452" s="3" t="str">
        <f>_xlfn.XLOOKUP(Table1[[#This Row],[RepID]],SalesReps!A:A,SalesReps!E:E)</f>
        <v>Active</v>
      </c>
      <c r="G452">
        <v>310</v>
      </c>
      <c r="H452" t="str">
        <f>_xlfn.XLOOKUP(Table1[[#This Row],[ProductID]],Products!A:A,Products!B:B)</f>
        <v>Home &amp; Kitchen</v>
      </c>
      <c r="I452" t="str">
        <f>_xlfn.XLOOKUP(Table1[[#This Row],[ProductID]],Products!A:A,Products!C:C)</f>
        <v>Furniture</v>
      </c>
      <c r="J452">
        <v>8</v>
      </c>
      <c r="K452" s="5">
        <f>_xlfn.XLOOKUP(Table1[[#This Row],[ProductID]],Products!A:A,Products!E:E)</f>
        <v>160.31</v>
      </c>
      <c r="L452" s="5">
        <v>198.57</v>
      </c>
      <c r="M452" s="6">
        <v>0.18</v>
      </c>
      <c r="N452" t="s">
        <v>9</v>
      </c>
      <c r="O452" s="5">
        <f t="shared" si="35"/>
        <v>162.82740000000001</v>
      </c>
      <c r="P452" s="5">
        <f t="shared" si="36"/>
        <v>1302.6192000000001</v>
      </c>
      <c r="Q452" s="5">
        <f>Table1[[#This Row],[Quantity]]*(Table1[[#This Row],[Saleprice]]-Table1[[#This Row],[Costprice]])</f>
        <v>20.139200000000073</v>
      </c>
      <c r="R452">
        <f t="shared" si="37"/>
        <v>2022</v>
      </c>
      <c r="S452">
        <f t="shared" si="38"/>
        <v>6</v>
      </c>
      <c r="T452" t="str">
        <f t="shared" si="39"/>
        <v>June</v>
      </c>
    </row>
    <row r="453" spans="1:20" x14ac:dyDescent="0.3">
      <c r="A453" s="3">
        <v>44718</v>
      </c>
      <c r="B453">
        <v>103</v>
      </c>
      <c r="C453" s="3">
        <f>_xlfn.XLOOKUP(B453,Stores!A:A,Stores!E:E)</f>
        <v>43952</v>
      </c>
      <c r="D453">
        <v>207</v>
      </c>
      <c r="E453" s="3">
        <f>_xlfn.XLOOKUP(D453,SalesReps!A:A,SalesReps!D:D)</f>
        <v>44656</v>
      </c>
      <c r="F453" s="3" t="str">
        <f>_xlfn.XLOOKUP(Table1[[#This Row],[RepID]],SalesReps!A:A,SalesReps!E:E)</f>
        <v>Active</v>
      </c>
      <c r="G453">
        <v>316</v>
      </c>
      <c r="H453" t="str">
        <f>_xlfn.XLOOKUP(Table1[[#This Row],[ProductID]],Products!A:A,Products!B:B)</f>
        <v>Home &amp; Kitchen</v>
      </c>
      <c r="I453" t="str">
        <f>_xlfn.XLOOKUP(Table1[[#This Row],[ProductID]],Products!A:A,Products!C:C)</f>
        <v>Furniture</v>
      </c>
      <c r="J453">
        <v>4</v>
      </c>
      <c r="K453" s="5">
        <f>_xlfn.XLOOKUP(Table1[[#This Row],[ProductID]],Products!A:A,Products!E:E)</f>
        <v>334.95</v>
      </c>
      <c r="L453" s="5">
        <v>387.55</v>
      </c>
      <c r="M453" s="6">
        <v>0.16</v>
      </c>
      <c r="N453" t="s">
        <v>9</v>
      </c>
      <c r="O453" s="5">
        <f t="shared" si="35"/>
        <v>325.54199999999997</v>
      </c>
      <c r="P453" s="5">
        <f t="shared" si="36"/>
        <v>1302.1679999999999</v>
      </c>
      <c r="Q453" s="5">
        <f>Table1[[#This Row],[Quantity]]*(Table1[[#This Row],[Saleprice]]-Table1[[#This Row],[Costprice]])</f>
        <v>-37.632000000000062</v>
      </c>
      <c r="R453">
        <f t="shared" si="37"/>
        <v>2022</v>
      </c>
      <c r="S453">
        <f t="shared" si="38"/>
        <v>6</v>
      </c>
      <c r="T453" t="str">
        <f t="shared" si="39"/>
        <v>June</v>
      </c>
    </row>
    <row r="454" spans="1:20" x14ac:dyDescent="0.3">
      <c r="A454" s="3">
        <v>44718</v>
      </c>
      <c r="B454">
        <v>103</v>
      </c>
      <c r="C454" s="3">
        <f>_xlfn.XLOOKUP(B454,Stores!A:A,Stores!E:E)</f>
        <v>43952</v>
      </c>
      <c r="D454">
        <v>207</v>
      </c>
      <c r="E454" s="3">
        <f>_xlfn.XLOOKUP(D454,SalesReps!A:A,SalesReps!D:D)</f>
        <v>44656</v>
      </c>
      <c r="F454" s="3" t="str">
        <f>_xlfn.XLOOKUP(Table1[[#This Row],[RepID]],SalesReps!A:A,SalesReps!E:E)</f>
        <v>Active</v>
      </c>
      <c r="G454">
        <v>318</v>
      </c>
      <c r="H454" t="str">
        <f>_xlfn.XLOOKUP(Table1[[#This Row],[ProductID]],Products!A:A,Products!B:B)</f>
        <v>Electronics</v>
      </c>
      <c r="I454" t="str">
        <f>_xlfn.XLOOKUP(Table1[[#This Row],[ProductID]],Products!A:A,Products!C:C)</f>
        <v>Mobiles</v>
      </c>
      <c r="J454">
        <v>6</v>
      </c>
      <c r="K454" s="5">
        <f>_xlfn.XLOOKUP(Table1[[#This Row],[ProductID]],Products!A:A,Products!E:E)</f>
        <v>162.51</v>
      </c>
      <c r="L454" s="5">
        <v>237.02</v>
      </c>
      <c r="M454" s="6">
        <v>0.08</v>
      </c>
      <c r="N454" t="s">
        <v>9</v>
      </c>
      <c r="O454" s="5">
        <f t="shared" si="35"/>
        <v>218.05840000000001</v>
      </c>
      <c r="P454" s="5">
        <f t="shared" si="36"/>
        <v>1308.3504</v>
      </c>
      <c r="Q454" s="5">
        <f>Table1[[#This Row],[Quantity]]*(Table1[[#This Row],[Saleprice]]-Table1[[#This Row],[Costprice]])</f>
        <v>333.29040000000009</v>
      </c>
      <c r="R454">
        <f t="shared" si="37"/>
        <v>2022</v>
      </c>
      <c r="S454">
        <f t="shared" si="38"/>
        <v>6</v>
      </c>
      <c r="T454" t="str">
        <f t="shared" si="39"/>
        <v>June</v>
      </c>
    </row>
    <row r="455" spans="1:20" x14ac:dyDescent="0.3">
      <c r="A455" s="3">
        <v>44718</v>
      </c>
      <c r="B455">
        <v>105</v>
      </c>
      <c r="C455" s="3">
        <f>_xlfn.XLOOKUP(B455,Stores!A:A,Stores!E:E)</f>
        <v>44161</v>
      </c>
      <c r="D455">
        <v>216</v>
      </c>
      <c r="E455" s="3">
        <f>_xlfn.XLOOKUP(D455,SalesReps!A:A,SalesReps!D:D)</f>
        <v>44672</v>
      </c>
      <c r="F455" s="3" t="str">
        <f>_xlfn.XLOOKUP(Table1[[#This Row],[RepID]],SalesReps!A:A,SalesReps!E:E)</f>
        <v>Left</v>
      </c>
      <c r="G455">
        <v>314</v>
      </c>
      <c r="H455" t="str">
        <f>_xlfn.XLOOKUP(Table1[[#This Row],[ProductID]],Products!A:A,Products!B:B)</f>
        <v>Clothing</v>
      </c>
      <c r="I455" t="str">
        <f>_xlfn.XLOOKUP(Table1[[#This Row],[ProductID]],Products!A:A,Products!C:C)</f>
        <v>Kids</v>
      </c>
      <c r="J455">
        <v>9</v>
      </c>
      <c r="K455" s="5">
        <f>_xlfn.XLOOKUP(Table1[[#This Row],[ProductID]],Products!A:A,Products!E:E)</f>
        <v>276.47000000000003</v>
      </c>
      <c r="L455" s="5">
        <v>322.16000000000003</v>
      </c>
      <c r="M455" s="6">
        <v>0.19</v>
      </c>
      <c r="N455" t="s">
        <v>10</v>
      </c>
      <c r="O455" s="5">
        <f t="shared" si="35"/>
        <v>260.94960000000003</v>
      </c>
      <c r="P455" s="5">
        <f t="shared" si="36"/>
        <v>2348.5464000000002</v>
      </c>
      <c r="Q455" s="5">
        <f>Table1[[#This Row],[Quantity]]*(Table1[[#This Row],[Saleprice]]-Table1[[#This Row],[Costprice]])</f>
        <v>-139.68359999999996</v>
      </c>
      <c r="R455">
        <f t="shared" si="37"/>
        <v>2022</v>
      </c>
      <c r="S455">
        <f t="shared" si="38"/>
        <v>6</v>
      </c>
      <c r="T455" t="str">
        <f t="shared" si="39"/>
        <v>June</v>
      </c>
    </row>
    <row r="456" spans="1:20" x14ac:dyDescent="0.3">
      <c r="A456" s="3">
        <v>44718</v>
      </c>
      <c r="B456">
        <v>103</v>
      </c>
      <c r="C456" s="3">
        <f>_xlfn.XLOOKUP(B456,Stores!A:A,Stores!E:E)</f>
        <v>43952</v>
      </c>
      <c r="D456">
        <v>207</v>
      </c>
      <c r="E456" s="3">
        <f>_xlfn.XLOOKUP(D456,SalesReps!A:A,SalesReps!D:D)</f>
        <v>44656</v>
      </c>
      <c r="F456" s="3" t="str">
        <f>_xlfn.XLOOKUP(Table1[[#This Row],[RepID]],SalesReps!A:A,SalesReps!E:E)</f>
        <v>Active</v>
      </c>
      <c r="G456">
        <v>312</v>
      </c>
      <c r="H456" t="str">
        <f>_xlfn.XLOOKUP(Table1[[#This Row],[ProductID]],Products!A:A,Products!B:B)</f>
        <v>Toys</v>
      </c>
      <c r="I456" t="str">
        <f>_xlfn.XLOOKUP(Table1[[#This Row],[ProductID]],Products!A:A,Products!C:C)</f>
        <v>Board Games</v>
      </c>
      <c r="J456">
        <v>6</v>
      </c>
      <c r="K456" s="5">
        <f>_xlfn.XLOOKUP(Table1[[#This Row],[ProductID]],Products!A:A,Products!E:E)</f>
        <v>100.05</v>
      </c>
      <c r="L456" s="5">
        <v>144.93</v>
      </c>
      <c r="M456" s="6">
        <v>0.1</v>
      </c>
      <c r="N456" t="s">
        <v>9</v>
      </c>
      <c r="O456" s="5">
        <f t="shared" si="35"/>
        <v>130.43700000000001</v>
      </c>
      <c r="P456" s="5">
        <f t="shared" si="36"/>
        <v>782.62200000000007</v>
      </c>
      <c r="Q456" s="5">
        <f>Table1[[#This Row],[Quantity]]*(Table1[[#This Row],[Saleprice]]-Table1[[#This Row],[Costprice]])</f>
        <v>182.32200000000009</v>
      </c>
      <c r="R456">
        <f t="shared" si="37"/>
        <v>2022</v>
      </c>
      <c r="S456">
        <f t="shared" si="38"/>
        <v>6</v>
      </c>
      <c r="T456" t="str">
        <f t="shared" si="39"/>
        <v>June</v>
      </c>
    </row>
    <row r="457" spans="1:20" x14ac:dyDescent="0.3">
      <c r="A457" s="3">
        <v>44718</v>
      </c>
      <c r="B457">
        <v>101</v>
      </c>
      <c r="C457" s="3">
        <f>_xlfn.XLOOKUP(B457,Stores!A:A,Stores!E:E)</f>
        <v>44691</v>
      </c>
      <c r="D457">
        <v>213</v>
      </c>
      <c r="E457" s="3">
        <f>_xlfn.XLOOKUP(D457,SalesReps!A:A,SalesReps!D:D)</f>
        <v>44255</v>
      </c>
      <c r="F457" s="3" t="str">
        <f>_xlfn.XLOOKUP(Table1[[#This Row],[RepID]],SalesReps!A:A,SalesReps!E:E)</f>
        <v>Active</v>
      </c>
      <c r="G457">
        <v>309</v>
      </c>
      <c r="H457" t="str">
        <f>_xlfn.XLOOKUP(Table1[[#This Row],[ProductID]],Products!A:A,Products!B:B)</f>
        <v>Electronics</v>
      </c>
      <c r="I457" t="str">
        <f>_xlfn.XLOOKUP(Table1[[#This Row],[ProductID]],Products!A:A,Products!C:C)</f>
        <v>Laptops</v>
      </c>
      <c r="J457">
        <v>3</v>
      </c>
      <c r="K457" s="5">
        <f>_xlfn.XLOOKUP(Table1[[#This Row],[ProductID]],Products!A:A,Products!E:E)</f>
        <v>229.68</v>
      </c>
      <c r="L457" s="5">
        <v>323.99</v>
      </c>
      <c r="M457" s="6">
        <v>0.24</v>
      </c>
      <c r="N457" t="s">
        <v>8</v>
      </c>
      <c r="O457" s="5">
        <f t="shared" si="35"/>
        <v>246.23240000000001</v>
      </c>
      <c r="P457" s="5">
        <f t="shared" si="36"/>
        <v>738.69720000000007</v>
      </c>
      <c r="Q457" s="5">
        <f>Table1[[#This Row],[Quantity]]*(Table1[[#This Row],[Saleprice]]-Table1[[#This Row],[Costprice]])</f>
        <v>49.657200000000017</v>
      </c>
      <c r="R457">
        <f t="shared" si="37"/>
        <v>2022</v>
      </c>
      <c r="S457">
        <f t="shared" si="38"/>
        <v>6</v>
      </c>
      <c r="T457" t="str">
        <f t="shared" si="39"/>
        <v>June</v>
      </c>
    </row>
    <row r="458" spans="1:20" x14ac:dyDescent="0.3">
      <c r="A458" s="3">
        <v>44719</v>
      </c>
      <c r="B458">
        <v>103</v>
      </c>
      <c r="C458" s="3">
        <f>_xlfn.XLOOKUP(B458,Stores!A:A,Stores!E:E)</f>
        <v>43952</v>
      </c>
      <c r="D458">
        <v>207</v>
      </c>
      <c r="E458" s="3">
        <f>_xlfn.XLOOKUP(D458,SalesReps!A:A,SalesReps!D:D)</f>
        <v>44656</v>
      </c>
      <c r="F458" s="3" t="str">
        <f>_xlfn.XLOOKUP(Table1[[#This Row],[RepID]],SalesReps!A:A,SalesReps!E:E)</f>
        <v>Active</v>
      </c>
      <c r="G458">
        <v>311</v>
      </c>
      <c r="H458" t="str">
        <f>_xlfn.XLOOKUP(Table1[[#This Row],[ProductID]],Products!A:A,Products!B:B)</f>
        <v>Home &amp; Kitchen</v>
      </c>
      <c r="I458" t="str">
        <f>_xlfn.XLOOKUP(Table1[[#This Row],[ProductID]],Products!A:A,Products!C:C)</f>
        <v>Furniture</v>
      </c>
      <c r="J458">
        <v>7</v>
      </c>
      <c r="K458" s="5">
        <f>_xlfn.XLOOKUP(Table1[[#This Row],[ProductID]],Products!A:A,Products!E:E)</f>
        <v>16.23</v>
      </c>
      <c r="L458" s="5">
        <v>50.27</v>
      </c>
      <c r="M458" s="6">
        <v>0.09</v>
      </c>
      <c r="N458" t="s">
        <v>9</v>
      </c>
      <c r="O458" s="5">
        <f t="shared" si="35"/>
        <v>45.745700000000006</v>
      </c>
      <c r="P458" s="5">
        <f t="shared" si="36"/>
        <v>320.21990000000005</v>
      </c>
      <c r="Q458" s="5">
        <f>Table1[[#This Row],[Quantity]]*(Table1[[#This Row],[Saleprice]]-Table1[[#This Row],[Costprice]])</f>
        <v>206.60990000000004</v>
      </c>
      <c r="R458">
        <f t="shared" si="37"/>
        <v>2022</v>
      </c>
      <c r="S458">
        <f t="shared" si="38"/>
        <v>6</v>
      </c>
      <c r="T458" t="str">
        <f t="shared" si="39"/>
        <v>June</v>
      </c>
    </row>
    <row r="459" spans="1:20" x14ac:dyDescent="0.3">
      <c r="A459" s="3">
        <v>44719</v>
      </c>
      <c r="B459">
        <v>101</v>
      </c>
      <c r="C459" s="3">
        <f>_xlfn.XLOOKUP(B459,Stores!A:A,Stores!E:E)</f>
        <v>44691</v>
      </c>
      <c r="D459">
        <v>213</v>
      </c>
      <c r="E459" s="3">
        <f>_xlfn.XLOOKUP(D459,SalesReps!A:A,SalesReps!D:D)</f>
        <v>44255</v>
      </c>
      <c r="F459" s="3" t="str">
        <f>_xlfn.XLOOKUP(Table1[[#This Row],[RepID]],SalesReps!A:A,SalesReps!E:E)</f>
        <v>Active</v>
      </c>
      <c r="G459">
        <v>311</v>
      </c>
      <c r="H459" t="str">
        <f>_xlfn.XLOOKUP(Table1[[#This Row],[ProductID]],Products!A:A,Products!B:B)</f>
        <v>Home &amp; Kitchen</v>
      </c>
      <c r="I459" t="str">
        <f>_xlfn.XLOOKUP(Table1[[#This Row],[ProductID]],Products!A:A,Products!C:C)</f>
        <v>Furniture</v>
      </c>
      <c r="J459">
        <v>2</v>
      </c>
      <c r="K459" s="5">
        <f>_xlfn.XLOOKUP(Table1[[#This Row],[ProductID]],Products!A:A,Products!E:E)</f>
        <v>16.23</v>
      </c>
      <c r="L459" s="5">
        <v>73.739999999999995</v>
      </c>
      <c r="M459" s="6">
        <v>0.16</v>
      </c>
      <c r="N459" t="s">
        <v>8</v>
      </c>
      <c r="O459" s="5">
        <f t="shared" si="35"/>
        <v>61.941599999999994</v>
      </c>
      <c r="P459" s="5">
        <f t="shared" si="36"/>
        <v>123.88319999999999</v>
      </c>
      <c r="Q459" s="5">
        <f>Table1[[#This Row],[Quantity]]*(Table1[[#This Row],[Saleprice]]-Table1[[#This Row],[Costprice]])</f>
        <v>91.42319999999998</v>
      </c>
      <c r="R459">
        <f t="shared" si="37"/>
        <v>2022</v>
      </c>
      <c r="S459">
        <f t="shared" si="38"/>
        <v>6</v>
      </c>
      <c r="T459" t="str">
        <f t="shared" si="39"/>
        <v>June</v>
      </c>
    </row>
    <row r="460" spans="1:20" x14ac:dyDescent="0.3">
      <c r="A460" s="3">
        <v>44719</v>
      </c>
      <c r="B460">
        <v>101</v>
      </c>
      <c r="C460" s="3">
        <f>_xlfn.XLOOKUP(B460,Stores!A:A,Stores!E:E)</f>
        <v>44691</v>
      </c>
      <c r="D460">
        <v>206</v>
      </c>
      <c r="E460" s="3">
        <f>_xlfn.XLOOKUP(D460,SalesReps!A:A,SalesReps!D:D)</f>
        <v>44357</v>
      </c>
      <c r="F460" s="3" t="str">
        <f>_xlfn.XLOOKUP(Table1[[#This Row],[RepID]],SalesReps!A:A,SalesReps!E:E)</f>
        <v>Active</v>
      </c>
      <c r="G460">
        <v>307</v>
      </c>
      <c r="H460" t="str">
        <f>_xlfn.XLOOKUP(Table1[[#This Row],[ProductID]],Products!A:A,Products!B:B)</f>
        <v>Toys</v>
      </c>
      <c r="I460" t="str">
        <f>_xlfn.XLOOKUP(Table1[[#This Row],[ProductID]],Products!A:A,Products!C:C)</f>
        <v>Outdoor</v>
      </c>
      <c r="J460">
        <v>6</v>
      </c>
      <c r="K460" s="5">
        <f>_xlfn.XLOOKUP(Table1[[#This Row],[ProductID]],Products!A:A,Products!E:E)</f>
        <v>15.17</v>
      </c>
      <c r="L460" s="5">
        <v>68.45</v>
      </c>
      <c r="M460" s="6">
        <v>0.19</v>
      </c>
      <c r="N460" t="s">
        <v>8</v>
      </c>
      <c r="O460" s="5">
        <f t="shared" si="35"/>
        <v>55.444500000000005</v>
      </c>
      <c r="P460" s="5">
        <f t="shared" si="36"/>
        <v>332.66700000000003</v>
      </c>
      <c r="Q460" s="5">
        <f>Table1[[#This Row],[Quantity]]*(Table1[[#This Row],[Saleprice]]-Table1[[#This Row],[Costprice]])</f>
        <v>241.64700000000002</v>
      </c>
      <c r="R460">
        <f t="shared" si="37"/>
        <v>2022</v>
      </c>
      <c r="S460">
        <f t="shared" si="38"/>
        <v>6</v>
      </c>
      <c r="T460" t="str">
        <f t="shared" si="39"/>
        <v>June</v>
      </c>
    </row>
    <row r="461" spans="1:20" x14ac:dyDescent="0.3">
      <c r="A461" s="3">
        <v>44719</v>
      </c>
      <c r="B461">
        <v>105</v>
      </c>
      <c r="C461" s="3">
        <f>_xlfn.XLOOKUP(B461,Stores!A:A,Stores!E:E)</f>
        <v>44161</v>
      </c>
      <c r="D461">
        <v>216</v>
      </c>
      <c r="E461" s="3">
        <f>_xlfn.XLOOKUP(D461,SalesReps!A:A,SalesReps!D:D)</f>
        <v>44672</v>
      </c>
      <c r="F461" s="3" t="str">
        <f>_xlfn.XLOOKUP(Table1[[#This Row],[RepID]],SalesReps!A:A,SalesReps!E:E)</f>
        <v>Left</v>
      </c>
      <c r="G461">
        <v>317</v>
      </c>
      <c r="H461" t="str">
        <f>_xlfn.XLOOKUP(Table1[[#This Row],[ProductID]],Products!A:A,Products!B:B)</f>
        <v>Toys</v>
      </c>
      <c r="I461" t="str">
        <f>_xlfn.XLOOKUP(Table1[[#This Row],[ProductID]],Products!A:A,Products!C:C)</f>
        <v>Educational</v>
      </c>
      <c r="J461">
        <v>7</v>
      </c>
      <c r="K461" s="5">
        <f>_xlfn.XLOOKUP(Table1[[#This Row],[ProductID]],Products!A:A,Products!E:E)</f>
        <v>77.61</v>
      </c>
      <c r="L461" s="5">
        <v>144.9</v>
      </c>
      <c r="M461" s="6">
        <v>0.13</v>
      </c>
      <c r="N461" t="s">
        <v>10</v>
      </c>
      <c r="O461" s="5">
        <f t="shared" si="35"/>
        <v>126.063</v>
      </c>
      <c r="P461" s="5">
        <f t="shared" si="36"/>
        <v>882.44100000000003</v>
      </c>
      <c r="Q461" s="5">
        <f>Table1[[#This Row],[Quantity]]*(Table1[[#This Row],[Saleprice]]-Table1[[#This Row],[Costprice]])</f>
        <v>339.17100000000005</v>
      </c>
      <c r="R461">
        <f t="shared" si="37"/>
        <v>2022</v>
      </c>
      <c r="S461">
        <f t="shared" si="38"/>
        <v>6</v>
      </c>
      <c r="T461" t="str">
        <f t="shared" si="39"/>
        <v>June</v>
      </c>
    </row>
    <row r="462" spans="1:20" x14ac:dyDescent="0.3">
      <c r="A462" s="3">
        <v>44719</v>
      </c>
      <c r="B462">
        <v>105</v>
      </c>
      <c r="C462" s="3">
        <f>_xlfn.XLOOKUP(B462,Stores!A:A,Stores!E:E)</f>
        <v>44161</v>
      </c>
      <c r="D462">
        <v>216</v>
      </c>
      <c r="E462" s="3">
        <f>_xlfn.XLOOKUP(D462,SalesReps!A:A,SalesReps!D:D)</f>
        <v>44672</v>
      </c>
      <c r="F462" s="3" t="str">
        <f>_xlfn.XLOOKUP(Table1[[#This Row],[RepID]],SalesReps!A:A,SalesReps!E:E)</f>
        <v>Left</v>
      </c>
      <c r="G462">
        <v>313</v>
      </c>
      <c r="H462" t="str">
        <f>_xlfn.XLOOKUP(Table1[[#This Row],[ProductID]],Products!A:A,Products!B:B)</f>
        <v>Clothing</v>
      </c>
      <c r="I462" t="str">
        <f>_xlfn.XLOOKUP(Table1[[#This Row],[ProductID]],Products!A:A,Products!C:C)</f>
        <v>Women</v>
      </c>
      <c r="J462">
        <v>3</v>
      </c>
      <c r="K462" s="5">
        <f>_xlfn.XLOOKUP(Table1[[#This Row],[ProductID]],Products!A:A,Products!E:E)</f>
        <v>104</v>
      </c>
      <c r="L462" s="5">
        <v>140.03</v>
      </c>
      <c r="M462" s="6">
        <v>0.22</v>
      </c>
      <c r="N462" t="s">
        <v>10</v>
      </c>
      <c r="O462" s="5">
        <f t="shared" si="35"/>
        <v>109.2234</v>
      </c>
      <c r="P462" s="5">
        <f t="shared" si="36"/>
        <v>327.67020000000002</v>
      </c>
      <c r="Q462" s="5">
        <f>Table1[[#This Row],[Quantity]]*(Table1[[#This Row],[Saleprice]]-Table1[[#This Row],[Costprice]])</f>
        <v>15.670199999999994</v>
      </c>
      <c r="R462">
        <f t="shared" si="37"/>
        <v>2022</v>
      </c>
      <c r="S462">
        <f t="shared" si="38"/>
        <v>6</v>
      </c>
      <c r="T462" t="str">
        <f t="shared" si="39"/>
        <v>June</v>
      </c>
    </row>
    <row r="463" spans="1:20" x14ac:dyDescent="0.3">
      <c r="A463" s="3">
        <v>44719</v>
      </c>
      <c r="B463">
        <v>105</v>
      </c>
      <c r="C463" s="3">
        <f>_xlfn.XLOOKUP(B463,Stores!A:A,Stores!E:E)</f>
        <v>44161</v>
      </c>
      <c r="D463">
        <v>216</v>
      </c>
      <c r="E463" s="3">
        <f>_xlfn.XLOOKUP(D463,SalesReps!A:A,SalesReps!D:D)</f>
        <v>44672</v>
      </c>
      <c r="F463" s="3" t="str">
        <f>_xlfn.XLOOKUP(Table1[[#This Row],[RepID]],SalesReps!A:A,SalesReps!E:E)</f>
        <v>Left</v>
      </c>
      <c r="G463">
        <v>303</v>
      </c>
      <c r="H463" t="str">
        <f>_xlfn.XLOOKUP(Table1[[#This Row],[ProductID]],Products!A:A,Products!B:B)</f>
        <v>Home &amp; Kitchen</v>
      </c>
      <c r="I463" t="str">
        <f>_xlfn.XLOOKUP(Table1[[#This Row],[ProductID]],Products!A:A,Products!C:C)</f>
        <v>Furniture</v>
      </c>
      <c r="J463">
        <v>5</v>
      </c>
      <c r="K463" s="5">
        <f>_xlfn.XLOOKUP(Table1[[#This Row],[ProductID]],Products!A:A,Products!E:E)</f>
        <v>192.04</v>
      </c>
      <c r="L463" s="5">
        <v>221.37</v>
      </c>
      <c r="M463" s="6">
        <v>0.06</v>
      </c>
      <c r="N463" t="s">
        <v>10</v>
      </c>
      <c r="O463" s="5">
        <f t="shared" si="35"/>
        <v>208.08779999999999</v>
      </c>
      <c r="P463" s="5">
        <f t="shared" si="36"/>
        <v>1040.4389999999999</v>
      </c>
      <c r="Q463" s="5">
        <f>Table1[[#This Row],[Quantity]]*(Table1[[#This Row],[Saleprice]]-Table1[[#This Row],[Costprice]])</f>
        <v>80.238999999999976</v>
      </c>
      <c r="R463">
        <f t="shared" si="37"/>
        <v>2022</v>
      </c>
      <c r="S463">
        <f t="shared" si="38"/>
        <v>6</v>
      </c>
      <c r="T463" t="str">
        <f t="shared" si="39"/>
        <v>June</v>
      </c>
    </row>
    <row r="464" spans="1:20" x14ac:dyDescent="0.3">
      <c r="A464" s="3">
        <v>44720</v>
      </c>
      <c r="B464">
        <v>101</v>
      </c>
      <c r="C464" s="3">
        <f>_xlfn.XLOOKUP(B464,Stores!A:A,Stores!E:E)</f>
        <v>44691</v>
      </c>
      <c r="D464">
        <v>201</v>
      </c>
      <c r="E464" s="3">
        <f>_xlfn.XLOOKUP(D464,SalesReps!A:A,SalesReps!D:D)</f>
        <v>44688</v>
      </c>
      <c r="F464" s="3" t="str">
        <f>_xlfn.XLOOKUP(Table1[[#This Row],[RepID]],SalesReps!A:A,SalesReps!E:E)</f>
        <v>Active</v>
      </c>
      <c r="G464">
        <v>312</v>
      </c>
      <c r="H464" t="str">
        <f>_xlfn.XLOOKUP(Table1[[#This Row],[ProductID]],Products!A:A,Products!B:B)</f>
        <v>Toys</v>
      </c>
      <c r="I464" t="str">
        <f>_xlfn.XLOOKUP(Table1[[#This Row],[ProductID]],Products!A:A,Products!C:C)</f>
        <v>Board Games</v>
      </c>
      <c r="J464">
        <v>2</v>
      </c>
      <c r="K464" s="5">
        <f>_xlfn.XLOOKUP(Table1[[#This Row],[ProductID]],Products!A:A,Products!E:E)</f>
        <v>100.05</v>
      </c>
      <c r="L464" s="5">
        <v>118.03</v>
      </c>
      <c r="M464" s="6">
        <v>0.19</v>
      </c>
      <c r="N464" t="s">
        <v>8</v>
      </c>
      <c r="O464" s="5">
        <f t="shared" si="35"/>
        <v>95.604300000000009</v>
      </c>
      <c r="P464" s="5">
        <f t="shared" si="36"/>
        <v>191.20860000000002</v>
      </c>
      <c r="Q464" s="5">
        <f>Table1[[#This Row],[Quantity]]*(Table1[[#This Row],[Saleprice]]-Table1[[#This Row],[Costprice]])</f>
        <v>-8.891399999999976</v>
      </c>
      <c r="R464">
        <f t="shared" si="37"/>
        <v>2022</v>
      </c>
      <c r="S464">
        <f t="shared" si="38"/>
        <v>6</v>
      </c>
      <c r="T464" t="str">
        <f t="shared" si="39"/>
        <v>June</v>
      </c>
    </row>
    <row r="465" spans="1:20" x14ac:dyDescent="0.3">
      <c r="A465" s="3">
        <v>44720</v>
      </c>
      <c r="B465">
        <v>103</v>
      </c>
      <c r="C465" s="3">
        <f>_xlfn.XLOOKUP(B465,Stores!A:A,Stores!E:E)</f>
        <v>43952</v>
      </c>
      <c r="D465">
        <v>207</v>
      </c>
      <c r="E465" s="3">
        <f>_xlfn.XLOOKUP(D465,SalesReps!A:A,SalesReps!D:D)</f>
        <v>44656</v>
      </c>
      <c r="F465" s="3" t="str">
        <f>_xlfn.XLOOKUP(Table1[[#This Row],[RepID]],SalesReps!A:A,SalesReps!E:E)</f>
        <v>Active</v>
      </c>
      <c r="G465">
        <v>310</v>
      </c>
      <c r="H465" t="str">
        <f>_xlfn.XLOOKUP(Table1[[#This Row],[ProductID]],Products!A:A,Products!B:B)</f>
        <v>Home &amp; Kitchen</v>
      </c>
      <c r="I465" t="str">
        <f>_xlfn.XLOOKUP(Table1[[#This Row],[ProductID]],Products!A:A,Products!C:C)</f>
        <v>Furniture</v>
      </c>
      <c r="J465">
        <v>5</v>
      </c>
      <c r="K465" s="5">
        <f>_xlfn.XLOOKUP(Table1[[#This Row],[ProductID]],Products!A:A,Products!E:E)</f>
        <v>160.31</v>
      </c>
      <c r="L465" s="5">
        <v>198.57</v>
      </c>
      <c r="M465" s="6">
        <v>0.18</v>
      </c>
      <c r="N465" t="s">
        <v>9</v>
      </c>
      <c r="O465" s="5">
        <f t="shared" si="35"/>
        <v>162.82740000000001</v>
      </c>
      <c r="P465" s="5">
        <f t="shared" si="36"/>
        <v>814.13700000000006</v>
      </c>
      <c r="Q465" s="5">
        <f>Table1[[#This Row],[Quantity]]*(Table1[[#This Row],[Saleprice]]-Table1[[#This Row],[Costprice]])</f>
        <v>12.587000000000046</v>
      </c>
      <c r="R465">
        <f t="shared" si="37"/>
        <v>2022</v>
      </c>
      <c r="S465">
        <f t="shared" si="38"/>
        <v>6</v>
      </c>
      <c r="T465" t="str">
        <f t="shared" si="39"/>
        <v>June</v>
      </c>
    </row>
    <row r="466" spans="1:20" x14ac:dyDescent="0.3">
      <c r="A466" s="3">
        <v>44720</v>
      </c>
      <c r="B466">
        <v>103</v>
      </c>
      <c r="C466" s="3">
        <f>_xlfn.XLOOKUP(B466,Stores!A:A,Stores!E:E)</f>
        <v>43952</v>
      </c>
      <c r="D466">
        <v>207</v>
      </c>
      <c r="E466" s="3">
        <f>_xlfn.XLOOKUP(D466,SalesReps!A:A,SalesReps!D:D)</f>
        <v>44656</v>
      </c>
      <c r="F466" s="3" t="str">
        <f>_xlfn.XLOOKUP(Table1[[#This Row],[RepID]],SalesReps!A:A,SalesReps!E:E)</f>
        <v>Active</v>
      </c>
      <c r="G466">
        <v>312</v>
      </c>
      <c r="H466" t="str">
        <f>_xlfn.XLOOKUP(Table1[[#This Row],[ProductID]],Products!A:A,Products!B:B)</f>
        <v>Toys</v>
      </c>
      <c r="I466" t="str">
        <f>_xlfn.XLOOKUP(Table1[[#This Row],[ProductID]],Products!A:A,Products!C:C)</f>
        <v>Board Games</v>
      </c>
      <c r="J466">
        <v>3</v>
      </c>
      <c r="K466" s="5">
        <f>_xlfn.XLOOKUP(Table1[[#This Row],[ProductID]],Products!A:A,Products!E:E)</f>
        <v>100.05</v>
      </c>
      <c r="L466" s="5">
        <v>144.93</v>
      </c>
      <c r="M466" s="6">
        <v>0.1</v>
      </c>
      <c r="N466" t="s">
        <v>9</v>
      </c>
      <c r="O466" s="5">
        <f t="shared" si="35"/>
        <v>130.43700000000001</v>
      </c>
      <c r="P466" s="5">
        <f t="shared" si="36"/>
        <v>391.31100000000004</v>
      </c>
      <c r="Q466" s="5">
        <f>Table1[[#This Row],[Quantity]]*(Table1[[#This Row],[Saleprice]]-Table1[[#This Row],[Costprice]])</f>
        <v>91.161000000000044</v>
      </c>
      <c r="R466">
        <f t="shared" si="37"/>
        <v>2022</v>
      </c>
      <c r="S466">
        <f t="shared" si="38"/>
        <v>6</v>
      </c>
      <c r="T466" t="str">
        <f t="shared" si="39"/>
        <v>June</v>
      </c>
    </row>
    <row r="467" spans="1:20" x14ac:dyDescent="0.3">
      <c r="A467" s="3">
        <v>44720</v>
      </c>
      <c r="B467">
        <v>103</v>
      </c>
      <c r="C467" s="3">
        <f>_xlfn.XLOOKUP(B467,Stores!A:A,Stores!E:E)</f>
        <v>43952</v>
      </c>
      <c r="D467">
        <v>207</v>
      </c>
      <c r="E467" s="3">
        <f>_xlfn.XLOOKUP(D467,SalesReps!A:A,SalesReps!D:D)</f>
        <v>44656</v>
      </c>
      <c r="F467" s="3" t="str">
        <f>_xlfn.XLOOKUP(Table1[[#This Row],[RepID]],SalesReps!A:A,SalesReps!E:E)</f>
        <v>Active</v>
      </c>
      <c r="G467">
        <v>306</v>
      </c>
      <c r="H467" t="str">
        <f>_xlfn.XLOOKUP(Table1[[#This Row],[ProductID]],Products!A:A,Products!B:B)</f>
        <v>Clothing</v>
      </c>
      <c r="I467" t="str">
        <f>_xlfn.XLOOKUP(Table1[[#This Row],[ProductID]],Products!A:A,Products!C:C)</f>
        <v>Men</v>
      </c>
      <c r="J467">
        <v>9</v>
      </c>
      <c r="K467" s="5">
        <f>_xlfn.XLOOKUP(Table1[[#This Row],[ProductID]],Products!A:A,Products!E:E)</f>
        <v>185.69</v>
      </c>
      <c r="L467" s="5">
        <v>250.95</v>
      </c>
      <c r="M467" s="6">
        <v>0.19</v>
      </c>
      <c r="N467" t="s">
        <v>9</v>
      </c>
      <c r="O467" s="5">
        <f t="shared" si="35"/>
        <v>203.26949999999999</v>
      </c>
      <c r="P467" s="5">
        <f t="shared" si="36"/>
        <v>1829.4254999999998</v>
      </c>
      <c r="Q467" s="5">
        <f>Table1[[#This Row],[Quantity]]*(Table1[[#This Row],[Saleprice]]-Table1[[#This Row],[Costprice]])</f>
        <v>158.21549999999996</v>
      </c>
      <c r="R467">
        <f t="shared" si="37"/>
        <v>2022</v>
      </c>
      <c r="S467">
        <f t="shared" si="38"/>
        <v>6</v>
      </c>
      <c r="T467" t="str">
        <f t="shared" si="39"/>
        <v>June</v>
      </c>
    </row>
    <row r="468" spans="1:20" x14ac:dyDescent="0.3">
      <c r="A468" s="3">
        <v>44721</v>
      </c>
      <c r="B468">
        <v>105</v>
      </c>
      <c r="C468" s="3">
        <f>_xlfn.XLOOKUP(B468,Stores!A:A,Stores!E:E)</f>
        <v>44161</v>
      </c>
      <c r="D468">
        <v>216</v>
      </c>
      <c r="E468" s="3">
        <f>_xlfn.XLOOKUP(D468,SalesReps!A:A,SalesReps!D:D)</f>
        <v>44672</v>
      </c>
      <c r="F468" s="3" t="str">
        <f>_xlfn.XLOOKUP(Table1[[#This Row],[RepID]],SalesReps!A:A,SalesReps!E:E)</f>
        <v>Left</v>
      </c>
      <c r="G468">
        <v>312</v>
      </c>
      <c r="H468" t="str">
        <f>_xlfn.XLOOKUP(Table1[[#This Row],[ProductID]],Products!A:A,Products!B:B)</f>
        <v>Toys</v>
      </c>
      <c r="I468" t="str">
        <f>_xlfn.XLOOKUP(Table1[[#This Row],[ProductID]],Products!A:A,Products!C:C)</f>
        <v>Board Games</v>
      </c>
      <c r="J468">
        <v>1</v>
      </c>
      <c r="K468" s="5">
        <f>_xlfn.XLOOKUP(Table1[[#This Row],[ProductID]],Products!A:A,Products!E:E)</f>
        <v>100.05</v>
      </c>
      <c r="L468" s="5">
        <v>105.54</v>
      </c>
      <c r="M468" s="6">
        <v>0.18</v>
      </c>
      <c r="N468" t="s">
        <v>10</v>
      </c>
      <c r="O468" s="5">
        <f t="shared" si="35"/>
        <v>86.542800000000014</v>
      </c>
      <c r="P468" s="5">
        <f t="shared" si="36"/>
        <v>86.542800000000014</v>
      </c>
      <c r="Q468" s="5">
        <f>Table1[[#This Row],[Quantity]]*(Table1[[#This Row],[Saleprice]]-Table1[[#This Row],[Costprice]])</f>
        <v>-13.507199999999983</v>
      </c>
      <c r="R468">
        <f t="shared" si="37"/>
        <v>2022</v>
      </c>
      <c r="S468">
        <f t="shared" si="38"/>
        <v>6</v>
      </c>
      <c r="T468" t="str">
        <f t="shared" si="39"/>
        <v>June</v>
      </c>
    </row>
    <row r="469" spans="1:20" x14ac:dyDescent="0.3">
      <c r="A469" s="3">
        <v>44721</v>
      </c>
      <c r="B469">
        <v>103</v>
      </c>
      <c r="C469" s="3">
        <f>_xlfn.XLOOKUP(B469,Stores!A:A,Stores!E:E)</f>
        <v>43952</v>
      </c>
      <c r="D469">
        <v>207</v>
      </c>
      <c r="E469" s="3">
        <f>_xlfn.XLOOKUP(D469,SalesReps!A:A,SalesReps!D:D)</f>
        <v>44656</v>
      </c>
      <c r="F469" s="3" t="str">
        <f>_xlfn.XLOOKUP(Table1[[#This Row],[RepID]],SalesReps!A:A,SalesReps!E:E)</f>
        <v>Active</v>
      </c>
      <c r="G469">
        <v>318</v>
      </c>
      <c r="H469" t="str">
        <f>_xlfn.XLOOKUP(Table1[[#This Row],[ProductID]],Products!A:A,Products!B:B)</f>
        <v>Electronics</v>
      </c>
      <c r="I469" t="str">
        <f>_xlfn.XLOOKUP(Table1[[#This Row],[ProductID]],Products!A:A,Products!C:C)</f>
        <v>Mobiles</v>
      </c>
      <c r="J469">
        <v>8</v>
      </c>
      <c r="K469" s="5">
        <f>_xlfn.XLOOKUP(Table1[[#This Row],[ProductID]],Products!A:A,Products!E:E)</f>
        <v>162.51</v>
      </c>
      <c r="L469" s="5">
        <v>237.02</v>
      </c>
      <c r="M469" s="6">
        <v>0.08</v>
      </c>
      <c r="N469" t="s">
        <v>9</v>
      </c>
      <c r="O469" s="5">
        <f t="shared" si="35"/>
        <v>218.05840000000001</v>
      </c>
      <c r="P469" s="5">
        <f t="shared" si="36"/>
        <v>1744.4672</v>
      </c>
      <c r="Q469" s="5">
        <f>Table1[[#This Row],[Quantity]]*(Table1[[#This Row],[Saleprice]]-Table1[[#This Row],[Costprice]])</f>
        <v>444.38720000000012</v>
      </c>
      <c r="R469">
        <f t="shared" si="37"/>
        <v>2022</v>
      </c>
      <c r="S469">
        <f t="shared" si="38"/>
        <v>6</v>
      </c>
      <c r="T469" t="str">
        <f t="shared" si="39"/>
        <v>June</v>
      </c>
    </row>
    <row r="470" spans="1:20" x14ac:dyDescent="0.3">
      <c r="A470" s="3">
        <v>44721</v>
      </c>
      <c r="B470">
        <v>105</v>
      </c>
      <c r="C470" s="3">
        <f>_xlfn.XLOOKUP(B470,Stores!A:A,Stores!E:E)</f>
        <v>44161</v>
      </c>
      <c r="D470">
        <v>216</v>
      </c>
      <c r="E470" s="3">
        <f>_xlfn.XLOOKUP(D470,SalesReps!A:A,SalesReps!D:D)</f>
        <v>44672</v>
      </c>
      <c r="F470" s="3" t="str">
        <f>_xlfn.XLOOKUP(Table1[[#This Row],[RepID]],SalesReps!A:A,SalesReps!E:E)</f>
        <v>Left</v>
      </c>
      <c r="G470">
        <v>307</v>
      </c>
      <c r="H470" t="str">
        <f>_xlfn.XLOOKUP(Table1[[#This Row],[ProductID]],Products!A:A,Products!B:B)</f>
        <v>Toys</v>
      </c>
      <c r="I470" t="str">
        <f>_xlfn.XLOOKUP(Table1[[#This Row],[ProductID]],Products!A:A,Products!C:C)</f>
        <v>Outdoor</v>
      </c>
      <c r="J470">
        <v>8</v>
      </c>
      <c r="K470" s="5">
        <f>_xlfn.XLOOKUP(Table1[[#This Row],[ProductID]],Products!A:A,Products!E:E)</f>
        <v>15.17</v>
      </c>
      <c r="L470" s="5">
        <v>29.31</v>
      </c>
      <c r="M470" s="6">
        <v>0.24</v>
      </c>
      <c r="N470" t="s">
        <v>10</v>
      </c>
      <c r="O470" s="5">
        <f t="shared" si="35"/>
        <v>22.275600000000001</v>
      </c>
      <c r="P470" s="5">
        <f t="shared" si="36"/>
        <v>178.20480000000001</v>
      </c>
      <c r="Q470" s="5">
        <f>Table1[[#This Row],[Quantity]]*(Table1[[#This Row],[Saleprice]]-Table1[[#This Row],[Costprice]])</f>
        <v>56.844800000000006</v>
      </c>
      <c r="R470">
        <f t="shared" si="37"/>
        <v>2022</v>
      </c>
      <c r="S470">
        <f t="shared" si="38"/>
        <v>6</v>
      </c>
      <c r="T470" t="str">
        <f t="shared" si="39"/>
        <v>June</v>
      </c>
    </row>
    <row r="471" spans="1:20" x14ac:dyDescent="0.3">
      <c r="A471" s="3">
        <v>44721</v>
      </c>
      <c r="B471">
        <v>106</v>
      </c>
      <c r="C471" s="3">
        <f>_xlfn.XLOOKUP(B471,Stores!A:A,Stores!E:E)</f>
        <v>43918</v>
      </c>
      <c r="D471">
        <v>212</v>
      </c>
      <c r="E471" s="3">
        <f>_xlfn.XLOOKUP(D471,SalesReps!A:A,SalesReps!D:D)</f>
        <v>44671</v>
      </c>
      <c r="F471" s="3" t="str">
        <f>_xlfn.XLOOKUP(Table1[[#This Row],[RepID]],SalesReps!A:A,SalesReps!E:E)</f>
        <v>Active</v>
      </c>
      <c r="G471">
        <v>303</v>
      </c>
      <c r="H471" t="str">
        <f>_xlfn.XLOOKUP(Table1[[#This Row],[ProductID]],Products!A:A,Products!B:B)</f>
        <v>Home &amp; Kitchen</v>
      </c>
      <c r="I471" t="str">
        <f>_xlfn.XLOOKUP(Table1[[#This Row],[ProductID]],Products!A:A,Products!C:C)</f>
        <v>Furniture</v>
      </c>
      <c r="J471">
        <v>5</v>
      </c>
      <c r="K471" s="5">
        <f>_xlfn.XLOOKUP(Table1[[#This Row],[ProductID]],Products!A:A,Products!E:E)</f>
        <v>192.04</v>
      </c>
      <c r="L471" s="5">
        <v>264.55</v>
      </c>
      <c r="M471" s="6">
        <v>7.0000000000000007E-2</v>
      </c>
      <c r="N471" t="s">
        <v>10</v>
      </c>
      <c r="O471" s="5">
        <f t="shared" si="35"/>
        <v>246.03149999999999</v>
      </c>
      <c r="P471" s="5">
        <f t="shared" si="36"/>
        <v>1230.1575</v>
      </c>
      <c r="Q471" s="5">
        <f>Table1[[#This Row],[Quantity]]*(Table1[[#This Row],[Saleprice]]-Table1[[#This Row],[Costprice]])</f>
        <v>269.95749999999998</v>
      </c>
      <c r="R471">
        <f t="shared" si="37"/>
        <v>2022</v>
      </c>
      <c r="S471">
        <f t="shared" si="38"/>
        <v>6</v>
      </c>
      <c r="T471" t="str">
        <f t="shared" si="39"/>
        <v>June</v>
      </c>
    </row>
    <row r="472" spans="1:20" x14ac:dyDescent="0.3">
      <c r="A472" s="3">
        <v>44721</v>
      </c>
      <c r="B472">
        <v>101</v>
      </c>
      <c r="C472" s="3">
        <f>_xlfn.XLOOKUP(B472,Stores!A:A,Stores!E:E)</f>
        <v>44691</v>
      </c>
      <c r="D472">
        <v>203</v>
      </c>
      <c r="E472" s="3">
        <f>_xlfn.XLOOKUP(D472,SalesReps!A:A,SalesReps!D:D)</f>
        <v>44582</v>
      </c>
      <c r="F472" s="3" t="str">
        <f>_xlfn.XLOOKUP(Table1[[#This Row],[RepID]],SalesReps!A:A,SalesReps!E:E)</f>
        <v>Active</v>
      </c>
      <c r="G472">
        <v>317</v>
      </c>
      <c r="H472" t="str">
        <f>_xlfn.XLOOKUP(Table1[[#This Row],[ProductID]],Products!A:A,Products!B:B)</f>
        <v>Toys</v>
      </c>
      <c r="I472" t="str">
        <f>_xlfn.XLOOKUP(Table1[[#This Row],[ProductID]],Products!A:A,Products!C:C)</f>
        <v>Educational</v>
      </c>
      <c r="J472">
        <v>4</v>
      </c>
      <c r="K472" s="5">
        <f>_xlfn.XLOOKUP(Table1[[#This Row],[ProductID]],Products!A:A,Products!E:E)</f>
        <v>77.61</v>
      </c>
      <c r="L472" s="5">
        <v>144.5</v>
      </c>
      <c r="M472" s="6">
        <v>0.09</v>
      </c>
      <c r="N472" t="s">
        <v>8</v>
      </c>
      <c r="O472" s="5">
        <f t="shared" si="35"/>
        <v>131.495</v>
      </c>
      <c r="P472" s="5">
        <f t="shared" si="36"/>
        <v>525.98</v>
      </c>
      <c r="Q472" s="5">
        <f>Table1[[#This Row],[Quantity]]*(Table1[[#This Row],[Saleprice]]-Table1[[#This Row],[Costprice]])</f>
        <v>215.54000000000002</v>
      </c>
      <c r="R472">
        <f t="shared" si="37"/>
        <v>2022</v>
      </c>
      <c r="S472">
        <f t="shared" si="38"/>
        <v>6</v>
      </c>
      <c r="T472" t="str">
        <f t="shared" si="39"/>
        <v>June</v>
      </c>
    </row>
    <row r="473" spans="1:20" x14ac:dyDescent="0.3">
      <c r="A473" s="3">
        <v>44721</v>
      </c>
      <c r="B473">
        <v>101</v>
      </c>
      <c r="C473" s="3">
        <f>_xlfn.XLOOKUP(B473,Stores!A:A,Stores!E:E)</f>
        <v>44691</v>
      </c>
      <c r="D473">
        <v>206</v>
      </c>
      <c r="E473" s="3">
        <f>_xlfn.XLOOKUP(D473,SalesReps!A:A,SalesReps!D:D)</f>
        <v>44357</v>
      </c>
      <c r="F473" s="3" t="str">
        <f>_xlfn.XLOOKUP(Table1[[#This Row],[RepID]],SalesReps!A:A,SalesReps!E:E)</f>
        <v>Active</v>
      </c>
      <c r="G473">
        <v>304</v>
      </c>
      <c r="H473" t="str">
        <f>_xlfn.XLOOKUP(Table1[[#This Row],[ProductID]],Products!A:A,Products!B:B)</f>
        <v>Home &amp; Kitchen</v>
      </c>
      <c r="I473" t="str">
        <f>_xlfn.XLOOKUP(Table1[[#This Row],[ProductID]],Products!A:A,Products!C:C)</f>
        <v>Furniture</v>
      </c>
      <c r="J473">
        <v>6</v>
      </c>
      <c r="K473" s="5">
        <f>_xlfn.XLOOKUP(Table1[[#This Row],[ProductID]],Products!A:A,Products!E:E)</f>
        <v>345.38</v>
      </c>
      <c r="L473" s="5">
        <v>401.66</v>
      </c>
      <c r="M473" s="6">
        <v>0.09</v>
      </c>
      <c r="N473" t="s">
        <v>8</v>
      </c>
      <c r="O473" s="5">
        <f t="shared" si="35"/>
        <v>365.51060000000001</v>
      </c>
      <c r="P473" s="5">
        <f t="shared" si="36"/>
        <v>2193.0636</v>
      </c>
      <c r="Q473" s="5">
        <f>Table1[[#This Row],[Quantity]]*(Table1[[#This Row],[Saleprice]]-Table1[[#This Row],[Costprice]])</f>
        <v>120.78360000000009</v>
      </c>
      <c r="R473">
        <f t="shared" si="37"/>
        <v>2022</v>
      </c>
      <c r="S473">
        <f t="shared" si="38"/>
        <v>6</v>
      </c>
      <c r="T473" t="str">
        <f t="shared" si="39"/>
        <v>June</v>
      </c>
    </row>
    <row r="474" spans="1:20" x14ac:dyDescent="0.3">
      <c r="A474" s="3">
        <v>44721</v>
      </c>
      <c r="B474">
        <v>109</v>
      </c>
      <c r="C474" s="3">
        <f>_xlfn.XLOOKUP(B474,Stores!A:A,Stores!E:E)</f>
        <v>44600</v>
      </c>
      <c r="D474">
        <v>214</v>
      </c>
      <c r="E474" s="3">
        <f>_xlfn.XLOOKUP(D474,SalesReps!A:A,SalesReps!D:D)</f>
        <v>44707</v>
      </c>
      <c r="F474" s="3" t="str">
        <f>_xlfn.XLOOKUP(Table1[[#This Row],[RepID]],SalesReps!A:A,SalesReps!E:E)</f>
        <v>Active</v>
      </c>
      <c r="G474">
        <v>305</v>
      </c>
      <c r="H474" t="str">
        <f>_xlfn.XLOOKUP(Table1[[#This Row],[ProductID]],Products!A:A,Products!B:B)</f>
        <v>Electronics</v>
      </c>
      <c r="I474" t="str">
        <f>_xlfn.XLOOKUP(Table1[[#This Row],[ProductID]],Products!A:A,Products!C:C)</f>
        <v>Accessories</v>
      </c>
      <c r="J474">
        <v>3</v>
      </c>
      <c r="K474" s="5">
        <f>_xlfn.XLOOKUP(Table1[[#This Row],[ProductID]],Products!A:A,Products!E:E)</f>
        <v>275.32</v>
      </c>
      <c r="L474" s="5">
        <v>347.99</v>
      </c>
      <c r="M474" s="6">
        <v>0.08</v>
      </c>
      <c r="N474" t="s">
        <v>11</v>
      </c>
      <c r="O474" s="5">
        <f t="shared" si="35"/>
        <v>320.1508</v>
      </c>
      <c r="P474" s="5">
        <f t="shared" si="36"/>
        <v>960.45240000000001</v>
      </c>
      <c r="Q474" s="5">
        <f>Table1[[#This Row],[Quantity]]*(Table1[[#This Row],[Saleprice]]-Table1[[#This Row],[Costprice]])</f>
        <v>134.49240000000003</v>
      </c>
      <c r="R474">
        <f t="shared" si="37"/>
        <v>2022</v>
      </c>
      <c r="S474">
        <f t="shared" si="38"/>
        <v>6</v>
      </c>
      <c r="T474" t="str">
        <f t="shared" si="39"/>
        <v>June</v>
      </c>
    </row>
    <row r="475" spans="1:20" x14ac:dyDescent="0.3">
      <c r="A475" s="3">
        <v>44721</v>
      </c>
      <c r="B475">
        <v>103</v>
      </c>
      <c r="C475" s="3">
        <f>_xlfn.XLOOKUP(B475,Stores!A:A,Stores!E:E)</f>
        <v>43952</v>
      </c>
      <c r="D475">
        <v>207</v>
      </c>
      <c r="E475" s="3">
        <f>_xlfn.XLOOKUP(D475,SalesReps!A:A,SalesReps!D:D)</f>
        <v>44656</v>
      </c>
      <c r="F475" s="3" t="str">
        <f>_xlfn.XLOOKUP(Table1[[#This Row],[RepID]],SalesReps!A:A,SalesReps!E:E)</f>
        <v>Active</v>
      </c>
      <c r="G475">
        <v>307</v>
      </c>
      <c r="H475" t="str">
        <f>_xlfn.XLOOKUP(Table1[[#This Row],[ProductID]],Products!A:A,Products!B:B)</f>
        <v>Toys</v>
      </c>
      <c r="I475" t="str">
        <f>_xlfn.XLOOKUP(Table1[[#This Row],[ProductID]],Products!A:A,Products!C:C)</f>
        <v>Outdoor</v>
      </c>
      <c r="J475">
        <v>9</v>
      </c>
      <c r="K475" s="5">
        <f>_xlfn.XLOOKUP(Table1[[#This Row],[ProductID]],Products!A:A,Products!E:E)</f>
        <v>15.17</v>
      </c>
      <c r="L475" s="5">
        <v>41.09</v>
      </c>
      <c r="M475" s="6">
        <v>0.19</v>
      </c>
      <c r="N475" t="s">
        <v>9</v>
      </c>
      <c r="O475" s="5">
        <f t="shared" si="35"/>
        <v>33.282900000000005</v>
      </c>
      <c r="P475" s="5">
        <f t="shared" si="36"/>
        <v>299.54610000000002</v>
      </c>
      <c r="Q475" s="5">
        <f>Table1[[#This Row],[Quantity]]*(Table1[[#This Row],[Saleprice]]-Table1[[#This Row],[Costprice]])</f>
        <v>163.01610000000002</v>
      </c>
      <c r="R475">
        <f t="shared" si="37"/>
        <v>2022</v>
      </c>
      <c r="S475">
        <f t="shared" si="38"/>
        <v>6</v>
      </c>
      <c r="T475" t="str">
        <f t="shared" si="39"/>
        <v>June</v>
      </c>
    </row>
    <row r="476" spans="1:20" x14ac:dyDescent="0.3">
      <c r="A476" s="3">
        <v>44722</v>
      </c>
      <c r="B476">
        <v>105</v>
      </c>
      <c r="C476" s="3">
        <f>_xlfn.XLOOKUP(B476,Stores!A:A,Stores!E:E)</f>
        <v>44161</v>
      </c>
      <c r="D476">
        <v>216</v>
      </c>
      <c r="E476" s="3">
        <f>_xlfn.XLOOKUP(D476,SalesReps!A:A,SalesReps!D:D)</f>
        <v>44672</v>
      </c>
      <c r="F476" s="3" t="str">
        <f>_xlfn.XLOOKUP(Table1[[#This Row],[RepID]],SalesReps!A:A,SalesReps!E:E)</f>
        <v>Left</v>
      </c>
      <c r="G476">
        <v>313</v>
      </c>
      <c r="H476" t="str">
        <f>_xlfn.XLOOKUP(Table1[[#This Row],[ProductID]],Products!A:A,Products!B:B)</f>
        <v>Clothing</v>
      </c>
      <c r="I476" t="str">
        <f>_xlfn.XLOOKUP(Table1[[#This Row],[ProductID]],Products!A:A,Products!C:C)</f>
        <v>Women</v>
      </c>
      <c r="J476">
        <v>9</v>
      </c>
      <c r="K476" s="5">
        <f>_xlfn.XLOOKUP(Table1[[#This Row],[ProductID]],Products!A:A,Products!E:E)</f>
        <v>104</v>
      </c>
      <c r="L476" s="5">
        <v>140.03</v>
      </c>
      <c r="M476" s="6">
        <v>0.22</v>
      </c>
      <c r="N476" t="s">
        <v>10</v>
      </c>
      <c r="O476" s="5">
        <f t="shared" si="35"/>
        <v>109.2234</v>
      </c>
      <c r="P476" s="5">
        <f t="shared" si="36"/>
        <v>983.01059999999995</v>
      </c>
      <c r="Q476" s="5">
        <f>Table1[[#This Row],[Quantity]]*(Table1[[#This Row],[Saleprice]]-Table1[[#This Row],[Costprice]])</f>
        <v>47.010599999999982</v>
      </c>
      <c r="R476">
        <f t="shared" si="37"/>
        <v>2022</v>
      </c>
      <c r="S476">
        <f t="shared" si="38"/>
        <v>6</v>
      </c>
      <c r="T476" t="str">
        <f t="shared" si="39"/>
        <v>June</v>
      </c>
    </row>
    <row r="477" spans="1:20" x14ac:dyDescent="0.3">
      <c r="A477" s="3">
        <v>44722</v>
      </c>
      <c r="B477">
        <v>101</v>
      </c>
      <c r="C477" s="3">
        <f>_xlfn.XLOOKUP(B477,Stores!A:A,Stores!E:E)</f>
        <v>44691</v>
      </c>
      <c r="D477">
        <v>203</v>
      </c>
      <c r="E477" s="3">
        <f>_xlfn.XLOOKUP(D477,SalesReps!A:A,SalesReps!D:D)</f>
        <v>44582</v>
      </c>
      <c r="F477" s="3" t="str">
        <f>_xlfn.XLOOKUP(Table1[[#This Row],[RepID]],SalesReps!A:A,SalesReps!E:E)</f>
        <v>Active</v>
      </c>
      <c r="G477">
        <v>310</v>
      </c>
      <c r="H477" t="str">
        <f>_xlfn.XLOOKUP(Table1[[#This Row],[ProductID]],Products!A:A,Products!B:B)</f>
        <v>Home &amp; Kitchen</v>
      </c>
      <c r="I477" t="str">
        <f>_xlfn.XLOOKUP(Table1[[#This Row],[ProductID]],Products!A:A,Products!C:C)</f>
        <v>Furniture</v>
      </c>
      <c r="J477">
        <v>2</v>
      </c>
      <c r="K477" s="5">
        <f>_xlfn.XLOOKUP(Table1[[#This Row],[ProductID]],Products!A:A,Products!E:E)</f>
        <v>160.31</v>
      </c>
      <c r="L477" s="5">
        <v>258.3</v>
      </c>
      <c r="M477" s="6">
        <v>0.15</v>
      </c>
      <c r="N477" t="s">
        <v>8</v>
      </c>
      <c r="O477" s="5">
        <f t="shared" si="35"/>
        <v>219.55500000000001</v>
      </c>
      <c r="P477" s="5">
        <f t="shared" si="36"/>
        <v>439.11</v>
      </c>
      <c r="Q477" s="5">
        <f>Table1[[#This Row],[Quantity]]*(Table1[[#This Row],[Saleprice]]-Table1[[#This Row],[Costprice]])</f>
        <v>118.49000000000001</v>
      </c>
      <c r="R477">
        <f t="shared" si="37"/>
        <v>2022</v>
      </c>
      <c r="S477">
        <f t="shared" si="38"/>
        <v>6</v>
      </c>
      <c r="T477" t="str">
        <f t="shared" si="39"/>
        <v>June</v>
      </c>
    </row>
    <row r="478" spans="1:20" x14ac:dyDescent="0.3">
      <c r="A478" s="3">
        <v>44722</v>
      </c>
      <c r="B478">
        <v>105</v>
      </c>
      <c r="C478" s="3">
        <f>_xlfn.XLOOKUP(B478,Stores!A:A,Stores!E:E)</f>
        <v>44161</v>
      </c>
      <c r="D478">
        <v>216</v>
      </c>
      <c r="E478" s="3">
        <f>_xlfn.XLOOKUP(D478,SalesReps!A:A,SalesReps!D:D)</f>
        <v>44672</v>
      </c>
      <c r="F478" s="3" t="str">
        <f>_xlfn.XLOOKUP(Table1[[#This Row],[RepID]],SalesReps!A:A,SalesReps!E:E)</f>
        <v>Left</v>
      </c>
      <c r="G478">
        <v>309</v>
      </c>
      <c r="H478" t="str">
        <f>_xlfn.XLOOKUP(Table1[[#This Row],[ProductID]],Products!A:A,Products!B:B)</f>
        <v>Electronics</v>
      </c>
      <c r="I478" t="str">
        <f>_xlfn.XLOOKUP(Table1[[#This Row],[ProductID]],Products!A:A,Products!C:C)</f>
        <v>Laptops</v>
      </c>
      <c r="J478">
        <v>7</v>
      </c>
      <c r="K478" s="5">
        <f>_xlfn.XLOOKUP(Table1[[#This Row],[ProductID]],Products!A:A,Products!E:E)</f>
        <v>229.68</v>
      </c>
      <c r="L478" s="5">
        <v>236.4</v>
      </c>
      <c r="M478" s="6">
        <v>0.15</v>
      </c>
      <c r="N478" t="s">
        <v>10</v>
      </c>
      <c r="O478" s="5">
        <f t="shared" si="35"/>
        <v>200.94</v>
      </c>
      <c r="P478" s="5">
        <f t="shared" si="36"/>
        <v>1406.58</v>
      </c>
      <c r="Q478" s="5">
        <f>Table1[[#This Row],[Quantity]]*(Table1[[#This Row],[Saleprice]]-Table1[[#This Row],[Costprice]])</f>
        <v>-201.18000000000006</v>
      </c>
      <c r="R478">
        <f t="shared" si="37"/>
        <v>2022</v>
      </c>
      <c r="S478">
        <f t="shared" si="38"/>
        <v>6</v>
      </c>
      <c r="T478" t="str">
        <f t="shared" si="39"/>
        <v>June</v>
      </c>
    </row>
    <row r="479" spans="1:20" x14ac:dyDescent="0.3">
      <c r="A479" s="3">
        <v>44722</v>
      </c>
      <c r="B479">
        <v>105</v>
      </c>
      <c r="C479" s="3">
        <f>_xlfn.XLOOKUP(B479,Stores!A:A,Stores!E:E)</f>
        <v>44161</v>
      </c>
      <c r="D479">
        <v>216</v>
      </c>
      <c r="E479" s="3">
        <f>_xlfn.XLOOKUP(D479,SalesReps!A:A,SalesReps!D:D)</f>
        <v>44672</v>
      </c>
      <c r="F479" s="3" t="str">
        <f>_xlfn.XLOOKUP(Table1[[#This Row],[RepID]],SalesReps!A:A,SalesReps!E:E)</f>
        <v>Left</v>
      </c>
      <c r="G479">
        <v>307</v>
      </c>
      <c r="H479" t="str">
        <f>_xlfn.XLOOKUP(Table1[[#This Row],[ProductID]],Products!A:A,Products!B:B)</f>
        <v>Toys</v>
      </c>
      <c r="I479" t="str">
        <f>_xlfn.XLOOKUP(Table1[[#This Row],[ProductID]],Products!A:A,Products!C:C)</f>
        <v>Outdoor</v>
      </c>
      <c r="J479">
        <v>7</v>
      </c>
      <c r="K479" s="5">
        <f>_xlfn.XLOOKUP(Table1[[#This Row],[ProductID]],Products!A:A,Products!E:E)</f>
        <v>15.17</v>
      </c>
      <c r="L479" s="5">
        <v>29.31</v>
      </c>
      <c r="M479" s="6">
        <v>0.24</v>
      </c>
      <c r="N479" t="s">
        <v>10</v>
      </c>
      <c r="O479" s="5">
        <f t="shared" si="35"/>
        <v>22.275600000000001</v>
      </c>
      <c r="P479" s="5">
        <f t="shared" si="36"/>
        <v>155.92920000000001</v>
      </c>
      <c r="Q479" s="5">
        <f>Table1[[#This Row],[Quantity]]*(Table1[[#This Row],[Saleprice]]-Table1[[#This Row],[Costprice]])</f>
        <v>49.739200000000004</v>
      </c>
      <c r="R479">
        <f t="shared" si="37"/>
        <v>2022</v>
      </c>
      <c r="S479">
        <f t="shared" si="38"/>
        <v>6</v>
      </c>
      <c r="T479" t="str">
        <f t="shared" si="39"/>
        <v>June</v>
      </c>
    </row>
    <row r="480" spans="1:20" x14ac:dyDescent="0.3">
      <c r="A480" s="3">
        <v>44723</v>
      </c>
      <c r="B480">
        <v>103</v>
      </c>
      <c r="C480" s="3">
        <f>_xlfn.XLOOKUP(B480,Stores!A:A,Stores!E:E)</f>
        <v>43952</v>
      </c>
      <c r="D480">
        <v>207</v>
      </c>
      <c r="E480" s="3">
        <f>_xlfn.XLOOKUP(D480,SalesReps!A:A,SalesReps!D:D)</f>
        <v>44656</v>
      </c>
      <c r="F480" s="3" t="str">
        <f>_xlfn.XLOOKUP(Table1[[#This Row],[RepID]],SalesReps!A:A,SalesReps!E:E)</f>
        <v>Active</v>
      </c>
      <c r="G480">
        <v>316</v>
      </c>
      <c r="H480" t="str">
        <f>_xlfn.XLOOKUP(Table1[[#This Row],[ProductID]],Products!A:A,Products!B:B)</f>
        <v>Home &amp; Kitchen</v>
      </c>
      <c r="I480" t="str">
        <f>_xlfn.XLOOKUP(Table1[[#This Row],[ProductID]],Products!A:A,Products!C:C)</f>
        <v>Furniture</v>
      </c>
      <c r="J480">
        <v>2</v>
      </c>
      <c r="K480" s="5">
        <f>_xlfn.XLOOKUP(Table1[[#This Row],[ProductID]],Products!A:A,Products!E:E)</f>
        <v>334.95</v>
      </c>
      <c r="L480" s="5">
        <v>387.55</v>
      </c>
      <c r="M480" s="6">
        <v>0.16</v>
      </c>
      <c r="N480" t="s">
        <v>9</v>
      </c>
      <c r="O480" s="5">
        <f t="shared" si="35"/>
        <v>325.54199999999997</v>
      </c>
      <c r="P480" s="5">
        <f t="shared" si="36"/>
        <v>651.08399999999995</v>
      </c>
      <c r="Q480" s="5">
        <f>Table1[[#This Row],[Quantity]]*(Table1[[#This Row],[Saleprice]]-Table1[[#This Row],[Costprice]])</f>
        <v>-18.816000000000031</v>
      </c>
      <c r="R480">
        <f t="shared" si="37"/>
        <v>2022</v>
      </c>
      <c r="S480">
        <f t="shared" si="38"/>
        <v>6</v>
      </c>
      <c r="T480" t="str">
        <f t="shared" si="39"/>
        <v>June</v>
      </c>
    </row>
    <row r="481" spans="1:20" x14ac:dyDescent="0.3">
      <c r="A481" s="3">
        <v>44723</v>
      </c>
      <c r="B481">
        <v>106</v>
      </c>
      <c r="C481" s="3">
        <f>_xlfn.XLOOKUP(B481,Stores!A:A,Stores!E:E)</f>
        <v>43918</v>
      </c>
      <c r="D481">
        <v>212</v>
      </c>
      <c r="E481" s="3">
        <f>_xlfn.XLOOKUP(D481,SalesReps!A:A,SalesReps!D:D)</f>
        <v>44671</v>
      </c>
      <c r="F481" s="3" t="str">
        <f>_xlfn.XLOOKUP(Table1[[#This Row],[RepID]],SalesReps!A:A,SalesReps!E:E)</f>
        <v>Active</v>
      </c>
      <c r="G481">
        <v>305</v>
      </c>
      <c r="H481" t="str">
        <f>_xlfn.XLOOKUP(Table1[[#This Row],[ProductID]],Products!A:A,Products!B:B)</f>
        <v>Electronics</v>
      </c>
      <c r="I481" t="str">
        <f>_xlfn.XLOOKUP(Table1[[#This Row],[ProductID]],Products!A:A,Products!C:C)</f>
        <v>Accessories</v>
      </c>
      <c r="J481">
        <v>7</v>
      </c>
      <c r="K481" s="5">
        <f>_xlfn.XLOOKUP(Table1[[#This Row],[ProductID]],Products!A:A,Products!E:E)</f>
        <v>275.32</v>
      </c>
      <c r="L481" s="5">
        <v>333.34</v>
      </c>
      <c r="M481" s="6">
        <v>0.13</v>
      </c>
      <c r="N481" t="s">
        <v>10</v>
      </c>
      <c r="O481" s="5">
        <f t="shared" si="35"/>
        <v>290.00579999999997</v>
      </c>
      <c r="P481" s="5">
        <f t="shared" si="36"/>
        <v>2030.0405999999998</v>
      </c>
      <c r="Q481" s="5">
        <f>Table1[[#This Row],[Quantity]]*(Table1[[#This Row],[Saleprice]]-Table1[[#This Row],[Costprice]])</f>
        <v>102.8005999999998</v>
      </c>
      <c r="R481">
        <f t="shared" si="37"/>
        <v>2022</v>
      </c>
      <c r="S481">
        <f t="shared" si="38"/>
        <v>6</v>
      </c>
      <c r="T481" t="str">
        <f t="shared" si="39"/>
        <v>June</v>
      </c>
    </row>
    <row r="482" spans="1:20" x14ac:dyDescent="0.3">
      <c r="A482" s="3">
        <v>44723</v>
      </c>
      <c r="B482">
        <v>101</v>
      </c>
      <c r="C482" s="3">
        <f>_xlfn.XLOOKUP(B482,Stores!A:A,Stores!E:E)</f>
        <v>44691</v>
      </c>
      <c r="D482">
        <v>213</v>
      </c>
      <c r="E482" s="3">
        <f>_xlfn.XLOOKUP(D482,SalesReps!A:A,SalesReps!D:D)</f>
        <v>44255</v>
      </c>
      <c r="F482" s="3" t="str">
        <f>_xlfn.XLOOKUP(Table1[[#This Row],[RepID]],SalesReps!A:A,SalesReps!E:E)</f>
        <v>Active</v>
      </c>
      <c r="G482">
        <v>319</v>
      </c>
      <c r="H482" t="str">
        <f>_xlfn.XLOOKUP(Table1[[#This Row],[ProductID]],Products!A:A,Products!B:B)</f>
        <v>Toys</v>
      </c>
      <c r="I482" t="str">
        <f>_xlfn.XLOOKUP(Table1[[#This Row],[ProductID]],Products!A:A,Products!C:C)</f>
        <v>Board Games</v>
      </c>
      <c r="J482">
        <v>1</v>
      </c>
      <c r="K482" s="5">
        <f>_xlfn.XLOOKUP(Table1[[#This Row],[ProductID]],Products!A:A,Products!E:E)</f>
        <v>81.069999999999993</v>
      </c>
      <c r="L482" s="5">
        <v>91.15</v>
      </c>
      <c r="M482" s="6">
        <v>0.24</v>
      </c>
      <c r="N482" t="s">
        <v>8</v>
      </c>
      <c r="O482" s="5">
        <f t="shared" si="35"/>
        <v>69.274000000000001</v>
      </c>
      <c r="P482" s="5">
        <f t="shared" si="36"/>
        <v>69.274000000000001</v>
      </c>
      <c r="Q482" s="5">
        <f>Table1[[#This Row],[Quantity]]*(Table1[[#This Row],[Saleprice]]-Table1[[#This Row],[Costprice]])</f>
        <v>-11.795999999999992</v>
      </c>
      <c r="R482">
        <f t="shared" si="37"/>
        <v>2022</v>
      </c>
      <c r="S482">
        <f t="shared" si="38"/>
        <v>6</v>
      </c>
      <c r="T482" t="str">
        <f t="shared" si="39"/>
        <v>June</v>
      </c>
    </row>
    <row r="483" spans="1:20" x14ac:dyDescent="0.3">
      <c r="A483" s="3">
        <v>44723</v>
      </c>
      <c r="B483">
        <v>101</v>
      </c>
      <c r="C483" s="3">
        <f>_xlfn.XLOOKUP(B483,Stores!A:A,Stores!E:E)</f>
        <v>44691</v>
      </c>
      <c r="D483">
        <v>213</v>
      </c>
      <c r="E483" s="3">
        <f>_xlfn.XLOOKUP(D483,SalesReps!A:A,SalesReps!D:D)</f>
        <v>44255</v>
      </c>
      <c r="F483" s="3" t="str">
        <f>_xlfn.XLOOKUP(Table1[[#This Row],[RepID]],SalesReps!A:A,SalesReps!E:E)</f>
        <v>Active</v>
      </c>
      <c r="G483">
        <v>302</v>
      </c>
      <c r="H483" t="str">
        <f>_xlfn.XLOOKUP(Table1[[#This Row],[ProductID]],Products!A:A,Products!B:B)</f>
        <v>Toys</v>
      </c>
      <c r="I483" t="str">
        <f>_xlfn.XLOOKUP(Table1[[#This Row],[ProductID]],Products!A:A,Products!C:C)</f>
        <v>Outdoor</v>
      </c>
      <c r="J483">
        <v>5</v>
      </c>
      <c r="K483" s="5">
        <f>_xlfn.XLOOKUP(Table1[[#This Row],[ProductID]],Products!A:A,Products!E:E)</f>
        <v>393.46</v>
      </c>
      <c r="L483" s="5">
        <v>426.61</v>
      </c>
      <c r="M483" s="6">
        <v>0.08</v>
      </c>
      <c r="N483" t="s">
        <v>8</v>
      </c>
      <c r="O483" s="5">
        <f t="shared" si="35"/>
        <v>392.48120000000006</v>
      </c>
      <c r="P483" s="5">
        <f t="shared" si="36"/>
        <v>1962.4060000000004</v>
      </c>
      <c r="Q483" s="5">
        <f>Table1[[#This Row],[Quantity]]*(Table1[[#This Row],[Saleprice]]-Table1[[#This Row],[Costprice]])</f>
        <v>-4.8939999999996076</v>
      </c>
      <c r="R483">
        <f t="shared" si="37"/>
        <v>2022</v>
      </c>
      <c r="S483">
        <f t="shared" si="38"/>
        <v>6</v>
      </c>
      <c r="T483" t="str">
        <f t="shared" si="39"/>
        <v>June</v>
      </c>
    </row>
    <row r="484" spans="1:20" x14ac:dyDescent="0.3">
      <c r="A484" s="3">
        <v>44723</v>
      </c>
      <c r="B484">
        <v>105</v>
      </c>
      <c r="C484" s="3">
        <f>_xlfn.XLOOKUP(B484,Stores!A:A,Stores!E:E)</f>
        <v>44161</v>
      </c>
      <c r="D484">
        <v>216</v>
      </c>
      <c r="E484" s="3">
        <f>_xlfn.XLOOKUP(D484,SalesReps!A:A,SalesReps!D:D)</f>
        <v>44672</v>
      </c>
      <c r="F484" s="3" t="str">
        <f>_xlfn.XLOOKUP(Table1[[#This Row],[RepID]],SalesReps!A:A,SalesReps!E:E)</f>
        <v>Left</v>
      </c>
      <c r="G484">
        <v>310</v>
      </c>
      <c r="H484" t="str">
        <f>_xlfn.XLOOKUP(Table1[[#This Row],[ProductID]],Products!A:A,Products!B:B)</f>
        <v>Home &amp; Kitchen</v>
      </c>
      <c r="I484" t="str">
        <f>_xlfn.XLOOKUP(Table1[[#This Row],[ProductID]],Products!A:A,Products!C:C)</f>
        <v>Furniture</v>
      </c>
      <c r="J484">
        <v>9</v>
      </c>
      <c r="K484" s="5">
        <f>_xlfn.XLOOKUP(Table1[[#This Row],[ProductID]],Products!A:A,Products!E:E)</f>
        <v>160.31</v>
      </c>
      <c r="L484" s="5">
        <v>187.18</v>
      </c>
      <c r="M484" s="6">
        <v>0.15</v>
      </c>
      <c r="N484" t="s">
        <v>10</v>
      </c>
      <c r="O484" s="5">
        <f t="shared" si="35"/>
        <v>159.10300000000001</v>
      </c>
      <c r="P484" s="5">
        <f t="shared" si="36"/>
        <v>1431.9270000000001</v>
      </c>
      <c r="Q484" s="5">
        <f>Table1[[#This Row],[Quantity]]*(Table1[[#This Row],[Saleprice]]-Table1[[#This Row],[Costprice]])</f>
        <v>-10.862999999999943</v>
      </c>
      <c r="R484">
        <f t="shared" si="37"/>
        <v>2022</v>
      </c>
      <c r="S484">
        <f t="shared" si="38"/>
        <v>6</v>
      </c>
      <c r="T484" t="str">
        <f t="shared" si="39"/>
        <v>June</v>
      </c>
    </row>
    <row r="485" spans="1:20" x14ac:dyDescent="0.3">
      <c r="A485" s="3">
        <v>44724</v>
      </c>
      <c r="B485">
        <v>103</v>
      </c>
      <c r="C485" s="3">
        <f>_xlfn.XLOOKUP(B485,Stores!A:A,Stores!E:E)</f>
        <v>43952</v>
      </c>
      <c r="D485">
        <v>207</v>
      </c>
      <c r="E485" s="3">
        <f>_xlfn.XLOOKUP(D485,SalesReps!A:A,SalesReps!D:D)</f>
        <v>44656</v>
      </c>
      <c r="F485" s="3" t="str">
        <f>_xlfn.XLOOKUP(Table1[[#This Row],[RepID]],SalesReps!A:A,SalesReps!E:E)</f>
        <v>Active</v>
      </c>
      <c r="G485">
        <v>301</v>
      </c>
      <c r="H485" t="str">
        <f>_xlfn.XLOOKUP(Table1[[#This Row],[ProductID]],Products!A:A,Products!B:B)</f>
        <v>Electronics</v>
      </c>
      <c r="I485" t="str">
        <f>_xlfn.XLOOKUP(Table1[[#This Row],[ProductID]],Products!A:A,Products!C:C)</f>
        <v>Mobiles</v>
      </c>
      <c r="J485">
        <v>5</v>
      </c>
      <c r="K485" s="5">
        <f>_xlfn.XLOOKUP(Table1[[#This Row],[ProductID]],Products!A:A,Products!E:E)</f>
        <v>159.16</v>
      </c>
      <c r="L485" s="5">
        <v>244.18</v>
      </c>
      <c r="M485" s="6">
        <v>0.14000000000000001</v>
      </c>
      <c r="N485" t="s">
        <v>9</v>
      </c>
      <c r="O485" s="5">
        <f t="shared" si="35"/>
        <v>209.9948</v>
      </c>
      <c r="P485" s="5">
        <f t="shared" si="36"/>
        <v>1049.9739999999999</v>
      </c>
      <c r="Q485" s="5">
        <f>Table1[[#This Row],[Quantity]]*(Table1[[#This Row],[Saleprice]]-Table1[[#This Row],[Costprice]])</f>
        <v>254.17400000000001</v>
      </c>
      <c r="R485">
        <f t="shared" si="37"/>
        <v>2022</v>
      </c>
      <c r="S485">
        <f t="shared" si="38"/>
        <v>6</v>
      </c>
      <c r="T485" t="str">
        <f t="shared" si="39"/>
        <v>June</v>
      </c>
    </row>
    <row r="486" spans="1:20" x14ac:dyDescent="0.3">
      <c r="A486" s="3">
        <v>44724</v>
      </c>
      <c r="B486">
        <v>105</v>
      </c>
      <c r="C486" s="3">
        <f>_xlfn.XLOOKUP(B486,Stores!A:A,Stores!E:E)</f>
        <v>44161</v>
      </c>
      <c r="D486">
        <v>216</v>
      </c>
      <c r="E486" s="3">
        <f>_xlfn.XLOOKUP(D486,SalesReps!A:A,SalesReps!D:D)</f>
        <v>44672</v>
      </c>
      <c r="F486" s="3" t="str">
        <f>_xlfn.XLOOKUP(Table1[[#This Row],[RepID]],SalesReps!A:A,SalesReps!E:E)</f>
        <v>Left</v>
      </c>
      <c r="G486">
        <v>320</v>
      </c>
      <c r="H486" t="str">
        <f>_xlfn.XLOOKUP(Table1[[#This Row],[ProductID]],Products!A:A,Products!B:B)</f>
        <v>Toys</v>
      </c>
      <c r="I486" t="str">
        <f>_xlfn.XLOOKUP(Table1[[#This Row],[ProductID]],Products!A:A,Products!C:C)</f>
        <v>Outdoor</v>
      </c>
      <c r="J486">
        <v>6</v>
      </c>
      <c r="K486" s="5">
        <f>_xlfn.XLOOKUP(Table1[[#This Row],[ProductID]],Products!A:A,Products!E:E)</f>
        <v>304.58999999999997</v>
      </c>
      <c r="L486" s="5">
        <v>350.07</v>
      </c>
      <c r="M486" s="6">
        <v>0.09</v>
      </c>
      <c r="N486" t="s">
        <v>10</v>
      </c>
      <c r="O486" s="5">
        <f t="shared" si="35"/>
        <v>318.56369999999998</v>
      </c>
      <c r="P486" s="5">
        <f t="shared" si="36"/>
        <v>1911.3822</v>
      </c>
      <c r="Q486" s="5">
        <f>Table1[[#This Row],[Quantity]]*(Table1[[#This Row],[Saleprice]]-Table1[[#This Row],[Costprice]])</f>
        <v>83.842200000000048</v>
      </c>
      <c r="R486">
        <f t="shared" si="37"/>
        <v>2022</v>
      </c>
      <c r="S486">
        <f t="shared" si="38"/>
        <v>6</v>
      </c>
      <c r="T486" t="str">
        <f t="shared" si="39"/>
        <v>June</v>
      </c>
    </row>
    <row r="487" spans="1:20" x14ac:dyDescent="0.3">
      <c r="A487" s="3">
        <v>44724</v>
      </c>
      <c r="B487">
        <v>105</v>
      </c>
      <c r="C487" s="3">
        <f>_xlfn.XLOOKUP(B487,Stores!A:A,Stores!E:E)</f>
        <v>44161</v>
      </c>
      <c r="D487">
        <v>216</v>
      </c>
      <c r="E487" s="3">
        <f>_xlfn.XLOOKUP(D487,SalesReps!A:A,SalesReps!D:D)</f>
        <v>44672</v>
      </c>
      <c r="F487" s="3" t="str">
        <f>_xlfn.XLOOKUP(Table1[[#This Row],[RepID]],SalesReps!A:A,SalesReps!E:E)</f>
        <v>Left</v>
      </c>
      <c r="G487">
        <v>312</v>
      </c>
      <c r="H487" t="str">
        <f>_xlfn.XLOOKUP(Table1[[#This Row],[ProductID]],Products!A:A,Products!B:B)</f>
        <v>Toys</v>
      </c>
      <c r="I487" t="str">
        <f>_xlfn.XLOOKUP(Table1[[#This Row],[ProductID]],Products!A:A,Products!C:C)</f>
        <v>Board Games</v>
      </c>
      <c r="J487">
        <v>4</v>
      </c>
      <c r="K487" s="5">
        <f>_xlfn.XLOOKUP(Table1[[#This Row],[ProductID]],Products!A:A,Products!E:E)</f>
        <v>100.05</v>
      </c>
      <c r="L487" s="5">
        <v>105.54</v>
      </c>
      <c r="M487" s="6">
        <v>0.18</v>
      </c>
      <c r="N487" t="s">
        <v>10</v>
      </c>
      <c r="O487" s="5">
        <f t="shared" si="35"/>
        <v>86.542800000000014</v>
      </c>
      <c r="P487" s="5">
        <f t="shared" si="36"/>
        <v>346.17120000000006</v>
      </c>
      <c r="Q487" s="5">
        <f>Table1[[#This Row],[Quantity]]*(Table1[[#This Row],[Saleprice]]-Table1[[#This Row],[Costprice]])</f>
        <v>-54.028799999999933</v>
      </c>
      <c r="R487">
        <f t="shared" si="37"/>
        <v>2022</v>
      </c>
      <c r="S487">
        <f t="shared" si="38"/>
        <v>6</v>
      </c>
      <c r="T487" t="str">
        <f t="shared" si="39"/>
        <v>June</v>
      </c>
    </row>
    <row r="488" spans="1:20" x14ac:dyDescent="0.3">
      <c r="A488" s="3">
        <v>44724</v>
      </c>
      <c r="B488">
        <v>105</v>
      </c>
      <c r="C488" s="3">
        <f>_xlfn.XLOOKUP(B488,Stores!A:A,Stores!E:E)</f>
        <v>44161</v>
      </c>
      <c r="D488">
        <v>216</v>
      </c>
      <c r="E488" s="3">
        <f>_xlfn.XLOOKUP(D488,SalesReps!A:A,SalesReps!D:D)</f>
        <v>44672</v>
      </c>
      <c r="F488" s="3" t="str">
        <f>_xlfn.XLOOKUP(Table1[[#This Row],[RepID]],SalesReps!A:A,SalesReps!E:E)</f>
        <v>Left</v>
      </c>
      <c r="G488">
        <v>302</v>
      </c>
      <c r="H488" t="str">
        <f>_xlfn.XLOOKUP(Table1[[#This Row],[ProductID]],Products!A:A,Products!B:B)</f>
        <v>Toys</v>
      </c>
      <c r="I488" t="str">
        <f>_xlfn.XLOOKUP(Table1[[#This Row],[ProductID]],Products!A:A,Products!C:C)</f>
        <v>Outdoor</v>
      </c>
      <c r="J488">
        <v>4</v>
      </c>
      <c r="K488" s="5">
        <f>_xlfn.XLOOKUP(Table1[[#This Row],[ProductID]],Products!A:A,Products!E:E)</f>
        <v>393.46</v>
      </c>
      <c r="L488" s="5">
        <v>466.04</v>
      </c>
      <c r="M488" s="6">
        <v>0.21</v>
      </c>
      <c r="N488" t="s">
        <v>10</v>
      </c>
      <c r="O488" s="5">
        <f t="shared" si="35"/>
        <v>368.17160000000001</v>
      </c>
      <c r="P488" s="5">
        <f t="shared" si="36"/>
        <v>1472.6864</v>
      </c>
      <c r="Q488" s="5">
        <f>Table1[[#This Row],[Quantity]]*(Table1[[#This Row],[Saleprice]]-Table1[[#This Row],[Costprice]])</f>
        <v>-101.15359999999987</v>
      </c>
      <c r="R488">
        <f t="shared" si="37"/>
        <v>2022</v>
      </c>
      <c r="S488">
        <f t="shared" si="38"/>
        <v>6</v>
      </c>
      <c r="T488" t="str">
        <f t="shared" si="39"/>
        <v>June</v>
      </c>
    </row>
    <row r="489" spans="1:20" x14ac:dyDescent="0.3">
      <c r="A489" s="3">
        <v>44725</v>
      </c>
      <c r="B489">
        <v>105</v>
      </c>
      <c r="C489" s="3">
        <f>_xlfn.XLOOKUP(B489,Stores!A:A,Stores!E:E)</f>
        <v>44161</v>
      </c>
      <c r="D489">
        <v>216</v>
      </c>
      <c r="E489" s="3">
        <f>_xlfn.XLOOKUP(D489,SalesReps!A:A,SalesReps!D:D)</f>
        <v>44672</v>
      </c>
      <c r="F489" s="3" t="str">
        <f>_xlfn.XLOOKUP(Table1[[#This Row],[RepID]],SalesReps!A:A,SalesReps!E:E)</f>
        <v>Left</v>
      </c>
      <c r="G489">
        <v>312</v>
      </c>
      <c r="H489" t="str">
        <f>_xlfn.XLOOKUP(Table1[[#This Row],[ProductID]],Products!A:A,Products!B:B)</f>
        <v>Toys</v>
      </c>
      <c r="I489" t="str">
        <f>_xlfn.XLOOKUP(Table1[[#This Row],[ProductID]],Products!A:A,Products!C:C)</f>
        <v>Board Games</v>
      </c>
      <c r="J489">
        <v>1</v>
      </c>
      <c r="K489" s="5">
        <f>_xlfn.XLOOKUP(Table1[[#This Row],[ProductID]],Products!A:A,Products!E:E)</f>
        <v>100.05</v>
      </c>
      <c r="L489" s="5">
        <v>105.54</v>
      </c>
      <c r="M489" s="6">
        <v>0.18</v>
      </c>
      <c r="N489" t="s">
        <v>10</v>
      </c>
      <c r="O489" s="5">
        <f t="shared" si="35"/>
        <v>86.542800000000014</v>
      </c>
      <c r="P489" s="5">
        <f t="shared" si="36"/>
        <v>86.542800000000014</v>
      </c>
      <c r="Q489" s="5">
        <f>Table1[[#This Row],[Quantity]]*(Table1[[#This Row],[Saleprice]]-Table1[[#This Row],[Costprice]])</f>
        <v>-13.507199999999983</v>
      </c>
      <c r="R489">
        <f t="shared" si="37"/>
        <v>2022</v>
      </c>
      <c r="S489">
        <f t="shared" si="38"/>
        <v>6</v>
      </c>
      <c r="T489" t="str">
        <f t="shared" si="39"/>
        <v>June</v>
      </c>
    </row>
    <row r="490" spans="1:20" x14ac:dyDescent="0.3">
      <c r="A490" s="3">
        <v>44725</v>
      </c>
      <c r="B490">
        <v>101</v>
      </c>
      <c r="C490" s="3">
        <f>_xlfn.XLOOKUP(B490,Stores!A:A,Stores!E:E)</f>
        <v>44691</v>
      </c>
      <c r="D490">
        <v>203</v>
      </c>
      <c r="E490" s="3">
        <f>_xlfn.XLOOKUP(D490,SalesReps!A:A,SalesReps!D:D)</f>
        <v>44582</v>
      </c>
      <c r="F490" s="3" t="str">
        <f>_xlfn.XLOOKUP(Table1[[#This Row],[RepID]],SalesReps!A:A,SalesReps!E:E)</f>
        <v>Active</v>
      </c>
      <c r="G490">
        <v>313</v>
      </c>
      <c r="H490" t="str">
        <f>_xlfn.XLOOKUP(Table1[[#This Row],[ProductID]],Products!A:A,Products!B:B)</f>
        <v>Clothing</v>
      </c>
      <c r="I490" t="str">
        <f>_xlfn.XLOOKUP(Table1[[#This Row],[ProductID]],Products!A:A,Products!C:C)</f>
        <v>Women</v>
      </c>
      <c r="J490">
        <v>9</v>
      </c>
      <c r="K490" s="5">
        <f>_xlfn.XLOOKUP(Table1[[#This Row],[ProductID]],Products!A:A,Products!E:E)</f>
        <v>104</v>
      </c>
      <c r="L490" s="5">
        <v>123.73</v>
      </c>
      <c r="M490" s="6">
        <v>0.25</v>
      </c>
      <c r="N490" t="s">
        <v>8</v>
      </c>
      <c r="O490" s="5">
        <f t="shared" si="35"/>
        <v>92.797499999999999</v>
      </c>
      <c r="P490" s="5">
        <f t="shared" si="36"/>
        <v>835.17750000000001</v>
      </c>
      <c r="Q490" s="5">
        <f>Table1[[#This Row],[Quantity]]*(Table1[[#This Row],[Saleprice]]-Table1[[#This Row],[Costprice]])</f>
        <v>-100.82250000000001</v>
      </c>
      <c r="R490">
        <f t="shared" si="37"/>
        <v>2022</v>
      </c>
      <c r="S490">
        <f t="shared" si="38"/>
        <v>6</v>
      </c>
      <c r="T490" t="str">
        <f t="shared" si="39"/>
        <v>June</v>
      </c>
    </row>
    <row r="491" spans="1:20" x14ac:dyDescent="0.3">
      <c r="A491" s="3">
        <v>44725</v>
      </c>
      <c r="B491">
        <v>103</v>
      </c>
      <c r="C491" s="3">
        <f>_xlfn.XLOOKUP(B491,Stores!A:A,Stores!E:E)</f>
        <v>43952</v>
      </c>
      <c r="D491">
        <v>207</v>
      </c>
      <c r="E491" s="3">
        <f>_xlfn.XLOOKUP(D491,SalesReps!A:A,SalesReps!D:D)</f>
        <v>44656</v>
      </c>
      <c r="F491" s="3" t="str">
        <f>_xlfn.XLOOKUP(Table1[[#This Row],[RepID]],SalesReps!A:A,SalesReps!E:E)</f>
        <v>Active</v>
      </c>
      <c r="G491">
        <v>304</v>
      </c>
      <c r="H491" t="str">
        <f>_xlfn.XLOOKUP(Table1[[#This Row],[ProductID]],Products!A:A,Products!B:B)</f>
        <v>Home &amp; Kitchen</v>
      </c>
      <c r="I491" t="str">
        <f>_xlfn.XLOOKUP(Table1[[#This Row],[ProductID]],Products!A:A,Products!C:C)</f>
        <v>Furniture</v>
      </c>
      <c r="J491">
        <v>1</v>
      </c>
      <c r="K491" s="5">
        <f>_xlfn.XLOOKUP(Table1[[#This Row],[ProductID]],Products!A:A,Products!E:E)</f>
        <v>345.38</v>
      </c>
      <c r="L491" s="5">
        <v>416.38</v>
      </c>
      <c r="M491" s="6">
        <v>0.23</v>
      </c>
      <c r="N491" t="s">
        <v>9</v>
      </c>
      <c r="O491" s="5">
        <f t="shared" si="35"/>
        <v>320.61259999999999</v>
      </c>
      <c r="P491" s="5">
        <f t="shared" si="36"/>
        <v>320.61259999999999</v>
      </c>
      <c r="Q491" s="5">
        <f>Table1[[#This Row],[Quantity]]*(Table1[[#This Row],[Saleprice]]-Table1[[#This Row],[Costprice]])</f>
        <v>-24.767400000000009</v>
      </c>
      <c r="R491">
        <f t="shared" si="37"/>
        <v>2022</v>
      </c>
      <c r="S491">
        <f t="shared" si="38"/>
        <v>6</v>
      </c>
      <c r="T491" t="str">
        <f t="shared" si="39"/>
        <v>June</v>
      </c>
    </row>
    <row r="492" spans="1:20" x14ac:dyDescent="0.3">
      <c r="A492" s="3">
        <v>44726</v>
      </c>
      <c r="B492">
        <v>103</v>
      </c>
      <c r="C492" s="3">
        <f>_xlfn.XLOOKUP(B492,Stores!A:A,Stores!E:E)</f>
        <v>43952</v>
      </c>
      <c r="D492">
        <v>207</v>
      </c>
      <c r="E492" s="3">
        <f>_xlfn.XLOOKUP(D492,SalesReps!A:A,SalesReps!D:D)</f>
        <v>44656</v>
      </c>
      <c r="F492" s="3" t="str">
        <f>_xlfn.XLOOKUP(Table1[[#This Row],[RepID]],SalesReps!A:A,SalesReps!E:E)</f>
        <v>Active</v>
      </c>
      <c r="G492">
        <v>316</v>
      </c>
      <c r="H492" t="str">
        <f>_xlfn.XLOOKUP(Table1[[#This Row],[ProductID]],Products!A:A,Products!B:B)</f>
        <v>Home &amp; Kitchen</v>
      </c>
      <c r="I492" t="str">
        <f>_xlfn.XLOOKUP(Table1[[#This Row],[ProductID]],Products!A:A,Products!C:C)</f>
        <v>Furniture</v>
      </c>
      <c r="J492">
        <v>6</v>
      </c>
      <c r="K492" s="5">
        <f>_xlfn.XLOOKUP(Table1[[#This Row],[ProductID]],Products!A:A,Products!E:E)</f>
        <v>334.95</v>
      </c>
      <c r="L492" s="5">
        <v>387.55</v>
      </c>
      <c r="M492" s="6">
        <v>0.16</v>
      </c>
      <c r="N492" t="s">
        <v>9</v>
      </c>
      <c r="O492" s="5">
        <f t="shared" si="35"/>
        <v>325.54199999999997</v>
      </c>
      <c r="P492" s="5">
        <f t="shared" si="36"/>
        <v>1953.252</v>
      </c>
      <c r="Q492" s="5">
        <f>Table1[[#This Row],[Quantity]]*(Table1[[#This Row],[Saleprice]]-Table1[[#This Row],[Costprice]])</f>
        <v>-56.448000000000093</v>
      </c>
      <c r="R492">
        <f t="shared" si="37"/>
        <v>2022</v>
      </c>
      <c r="S492">
        <f t="shared" si="38"/>
        <v>6</v>
      </c>
      <c r="T492" t="str">
        <f t="shared" si="39"/>
        <v>June</v>
      </c>
    </row>
    <row r="493" spans="1:20" x14ac:dyDescent="0.3">
      <c r="A493" s="3">
        <v>44726</v>
      </c>
      <c r="B493">
        <v>103</v>
      </c>
      <c r="C493" s="3">
        <f>_xlfn.XLOOKUP(B493,Stores!A:A,Stores!E:E)</f>
        <v>43952</v>
      </c>
      <c r="D493">
        <v>207</v>
      </c>
      <c r="E493" s="3">
        <f>_xlfn.XLOOKUP(D493,SalesReps!A:A,SalesReps!D:D)</f>
        <v>44656</v>
      </c>
      <c r="F493" s="3" t="str">
        <f>_xlfn.XLOOKUP(Table1[[#This Row],[RepID]],SalesReps!A:A,SalesReps!E:E)</f>
        <v>Active</v>
      </c>
      <c r="G493">
        <v>316</v>
      </c>
      <c r="H493" t="str">
        <f>_xlfn.XLOOKUP(Table1[[#This Row],[ProductID]],Products!A:A,Products!B:B)</f>
        <v>Home &amp; Kitchen</v>
      </c>
      <c r="I493" t="str">
        <f>_xlfn.XLOOKUP(Table1[[#This Row],[ProductID]],Products!A:A,Products!C:C)</f>
        <v>Furniture</v>
      </c>
      <c r="J493">
        <v>3</v>
      </c>
      <c r="K493" s="5">
        <f>_xlfn.XLOOKUP(Table1[[#This Row],[ProductID]],Products!A:A,Products!E:E)</f>
        <v>334.95</v>
      </c>
      <c r="L493" s="5">
        <v>387.55</v>
      </c>
      <c r="M493" s="6">
        <v>0.16</v>
      </c>
      <c r="N493" t="s">
        <v>9</v>
      </c>
      <c r="O493" s="5">
        <f t="shared" si="35"/>
        <v>325.54199999999997</v>
      </c>
      <c r="P493" s="5">
        <f t="shared" si="36"/>
        <v>976.62599999999998</v>
      </c>
      <c r="Q493" s="5">
        <f>Table1[[#This Row],[Quantity]]*(Table1[[#This Row],[Saleprice]]-Table1[[#This Row],[Costprice]])</f>
        <v>-28.224000000000046</v>
      </c>
      <c r="R493">
        <f t="shared" si="37"/>
        <v>2022</v>
      </c>
      <c r="S493">
        <f t="shared" si="38"/>
        <v>6</v>
      </c>
      <c r="T493" t="str">
        <f t="shared" si="39"/>
        <v>June</v>
      </c>
    </row>
    <row r="494" spans="1:20" x14ac:dyDescent="0.3">
      <c r="A494" s="3">
        <v>44726</v>
      </c>
      <c r="B494">
        <v>105</v>
      </c>
      <c r="C494" s="3">
        <f>_xlfn.XLOOKUP(B494,Stores!A:A,Stores!E:E)</f>
        <v>44161</v>
      </c>
      <c r="D494">
        <v>216</v>
      </c>
      <c r="E494" s="3">
        <f>_xlfn.XLOOKUP(D494,SalesReps!A:A,SalesReps!D:D)</f>
        <v>44672</v>
      </c>
      <c r="F494" s="3" t="str">
        <f>_xlfn.XLOOKUP(Table1[[#This Row],[RepID]],SalesReps!A:A,SalesReps!E:E)</f>
        <v>Left</v>
      </c>
      <c r="G494">
        <v>301</v>
      </c>
      <c r="H494" t="str">
        <f>_xlfn.XLOOKUP(Table1[[#This Row],[ProductID]],Products!A:A,Products!B:B)</f>
        <v>Electronics</v>
      </c>
      <c r="I494" t="str">
        <f>_xlfn.XLOOKUP(Table1[[#This Row],[ProductID]],Products!A:A,Products!C:C)</f>
        <v>Mobiles</v>
      </c>
      <c r="J494">
        <v>5</v>
      </c>
      <c r="K494" s="5">
        <f>_xlfn.XLOOKUP(Table1[[#This Row],[ProductID]],Products!A:A,Products!E:E)</f>
        <v>159.16</v>
      </c>
      <c r="L494" s="5">
        <v>233.25</v>
      </c>
      <c r="M494" s="6">
        <v>0.12</v>
      </c>
      <c r="N494" t="s">
        <v>10</v>
      </c>
      <c r="O494" s="5">
        <f t="shared" si="35"/>
        <v>205.26</v>
      </c>
      <c r="P494" s="5">
        <f t="shared" si="36"/>
        <v>1026.3</v>
      </c>
      <c r="Q494" s="5">
        <f>Table1[[#This Row],[Quantity]]*(Table1[[#This Row],[Saleprice]]-Table1[[#This Row],[Costprice]])</f>
        <v>230.49999999999997</v>
      </c>
      <c r="R494">
        <f t="shared" si="37"/>
        <v>2022</v>
      </c>
      <c r="S494">
        <f t="shared" si="38"/>
        <v>6</v>
      </c>
      <c r="T494" t="str">
        <f t="shared" si="39"/>
        <v>June</v>
      </c>
    </row>
    <row r="495" spans="1:20" x14ac:dyDescent="0.3">
      <c r="A495" s="3">
        <v>44726</v>
      </c>
      <c r="B495">
        <v>101</v>
      </c>
      <c r="C495" s="3">
        <f>_xlfn.XLOOKUP(B495,Stores!A:A,Stores!E:E)</f>
        <v>44691</v>
      </c>
      <c r="D495">
        <v>206</v>
      </c>
      <c r="E495" s="3">
        <f>_xlfn.XLOOKUP(D495,SalesReps!A:A,SalesReps!D:D)</f>
        <v>44357</v>
      </c>
      <c r="F495" s="3" t="str">
        <f>_xlfn.XLOOKUP(Table1[[#This Row],[RepID]],SalesReps!A:A,SalesReps!E:E)</f>
        <v>Active</v>
      </c>
      <c r="G495">
        <v>312</v>
      </c>
      <c r="H495" t="str">
        <f>_xlfn.XLOOKUP(Table1[[#This Row],[ProductID]],Products!A:A,Products!B:B)</f>
        <v>Toys</v>
      </c>
      <c r="I495" t="str">
        <f>_xlfn.XLOOKUP(Table1[[#This Row],[ProductID]],Products!A:A,Products!C:C)</f>
        <v>Board Games</v>
      </c>
      <c r="J495">
        <v>2</v>
      </c>
      <c r="K495" s="5">
        <f>_xlfn.XLOOKUP(Table1[[#This Row],[ProductID]],Products!A:A,Products!E:E)</f>
        <v>100.05</v>
      </c>
      <c r="L495" s="5">
        <v>118.03</v>
      </c>
      <c r="M495" s="6">
        <v>0.19</v>
      </c>
      <c r="N495" t="s">
        <v>8</v>
      </c>
      <c r="O495" s="5">
        <f t="shared" si="35"/>
        <v>95.604300000000009</v>
      </c>
      <c r="P495" s="5">
        <f t="shared" si="36"/>
        <v>191.20860000000002</v>
      </c>
      <c r="Q495" s="5">
        <f>Table1[[#This Row],[Quantity]]*(Table1[[#This Row],[Saleprice]]-Table1[[#This Row],[Costprice]])</f>
        <v>-8.891399999999976</v>
      </c>
      <c r="R495">
        <f t="shared" si="37"/>
        <v>2022</v>
      </c>
      <c r="S495">
        <f t="shared" si="38"/>
        <v>6</v>
      </c>
      <c r="T495" t="str">
        <f t="shared" si="39"/>
        <v>June</v>
      </c>
    </row>
    <row r="496" spans="1:20" x14ac:dyDescent="0.3">
      <c r="A496" s="3">
        <v>44726</v>
      </c>
      <c r="B496">
        <v>105</v>
      </c>
      <c r="C496" s="3">
        <f>_xlfn.XLOOKUP(B496,Stores!A:A,Stores!E:E)</f>
        <v>44161</v>
      </c>
      <c r="D496">
        <v>216</v>
      </c>
      <c r="E496" s="3">
        <f>_xlfn.XLOOKUP(D496,SalesReps!A:A,SalesReps!D:D)</f>
        <v>44672</v>
      </c>
      <c r="F496" s="3" t="str">
        <f>_xlfn.XLOOKUP(Table1[[#This Row],[RepID]],SalesReps!A:A,SalesReps!E:E)</f>
        <v>Left</v>
      </c>
      <c r="G496">
        <v>317</v>
      </c>
      <c r="H496" t="str">
        <f>_xlfn.XLOOKUP(Table1[[#This Row],[ProductID]],Products!A:A,Products!B:B)</f>
        <v>Toys</v>
      </c>
      <c r="I496" t="str">
        <f>_xlfn.XLOOKUP(Table1[[#This Row],[ProductID]],Products!A:A,Products!C:C)</f>
        <v>Educational</v>
      </c>
      <c r="J496">
        <v>3</v>
      </c>
      <c r="K496" s="5">
        <f>_xlfn.XLOOKUP(Table1[[#This Row],[ProductID]],Products!A:A,Products!E:E)</f>
        <v>77.61</v>
      </c>
      <c r="L496" s="5">
        <v>144.9</v>
      </c>
      <c r="M496" s="6">
        <v>0.13</v>
      </c>
      <c r="N496" t="s">
        <v>10</v>
      </c>
      <c r="O496" s="5">
        <f t="shared" si="35"/>
        <v>126.063</v>
      </c>
      <c r="P496" s="5">
        <f t="shared" si="36"/>
        <v>378.18900000000002</v>
      </c>
      <c r="Q496" s="5">
        <f>Table1[[#This Row],[Quantity]]*(Table1[[#This Row],[Saleprice]]-Table1[[#This Row],[Costprice]])</f>
        <v>145.35900000000001</v>
      </c>
      <c r="R496">
        <f t="shared" si="37"/>
        <v>2022</v>
      </c>
      <c r="S496">
        <f t="shared" si="38"/>
        <v>6</v>
      </c>
      <c r="T496" t="str">
        <f t="shared" si="39"/>
        <v>June</v>
      </c>
    </row>
    <row r="497" spans="1:20" x14ac:dyDescent="0.3">
      <c r="A497" s="3">
        <v>44727</v>
      </c>
      <c r="B497">
        <v>105</v>
      </c>
      <c r="C497" s="3">
        <f>_xlfn.XLOOKUP(B497,Stores!A:A,Stores!E:E)</f>
        <v>44161</v>
      </c>
      <c r="D497">
        <v>216</v>
      </c>
      <c r="E497" s="3">
        <f>_xlfn.XLOOKUP(D497,SalesReps!A:A,SalesReps!D:D)</f>
        <v>44672</v>
      </c>
      <c r="F497" s="3" t="str">
        <f>_xlfn.XLOOKUP(Table1[[#This Row],[RepID]],SalesReps!A:A,SalesReps!E:E)</f>
        <v>Left</v>
      </c>
      <c r="G497">
        <v>317</v>
      </c>
      <c r="H497" t="str">
        <f>_xlfn.XLOOKUP(Table1[[#This Row],[ProductID]],Products!A:A,Products!B:B)</f>
        <v>Toys</v>
      </c>
      <c r="I497" t="str">
        <f>_xlfn.XLOOKUP(Table1[[#This Row],[ProductID]],Products!A:A,Products!C:C)</f>
        <v>Educational</v>
      </c>
      <c r="J497">
        <v>5</v>
      </c>
      <c r="K497" s="5">
        <f>_xlfn.XLOOKUP(Table1[[#This Row],[ProductID]],Products!A:A,Products!E:E)</f>
        <v>77.61</v>
      </c>
      <c r="L497" s="5">
        <v>144.9</v>
      </c>
      <c r="M497" s="6">
        <v>0.13</v>
      </c>
      <c r="N497" t="s">
        <v>10</v>
      </c>
      <c r="O497" s="5">
        <f t="shared" si="35"/>
        <v>126.063</v>
      </c>
      <c r="P497" s="5">
        <f t="shared" si="36"/>
        <v>630.31500000000005</v>
      </c>
      <c r="Q497" s="5">
        <f>Table1[[#This Row],[Quantity]]*(Table1[[#This Row],[Saleprice]]-Table1[[#This Row],[Costprice]])</f>
        <v>242.26500000000001</v>
      </c>
      <c r="R497">
        <f t="shared" si="37"/>
        <v>2022</v>
      </c>
      <c r="S497">
        <f t="shared" si="38"/>
        <v>6</v>
      </c>
      <c r="T497" t="str">
        <f t="shared" si="39"/>
        <v>June</v>
      </c>
    </row>
    <row r="498" spans="1:20" x14ac:dyDescent="0.3">
      <c r="A498" s="3">
        <v>44727</v>
      </c>
      <c r="B498">
        <v>105</v>
      </c>
      <c r="C498" s="3">
        <f>_xlfn.XLOOKUP(B498,Stores!A:A,Stores!E:E)</f>
        <v>44161</v>
      </c>
      <c r="D498">
        <v>216</v>
      </c>
      <c r="E498" s="3">
        <f>_xlfn.XLOOKUP(D498,SalesReps!A:A,SalesReps!D:D)</f>
        <v>44672</v>
      </c>
      <c r="F498" s="3" t="str">
        <f>_xlfn.XLOOKUP(Table1[[#This Row],[RepID]],SalesReps!A:A,SalesReps!E:E)</f>
        <v>Left</v>
      </c>
      <c r="G498">
        <v>303</v>
      </c>
      <c r="H498" t="str">
        <f>_xlfn.XLOOKUP(Table1[[#This Row],[ProductID]],Products!A:A,Products!B:B)</f>
        <v>Home &amp; Kitchen</v>
      </c>
      <c r="I498" t="str">
        <f>_xlfn.XLOOKUP(Table1[[#This Row],[ProductID]],Products!A:A,Products!C:C)</f>
        <v>Furniture</v>
      </c>
      <c r="J498">
        <v>9</v>
      </c>
      <c r="K498" s="5">
        <f>_xlfn.XLOOKUP(Table1[[#This Row],[ProductID]],Products!A:A,Products!E:E)</f>
        <v>192.04</v>
      </c>
      <c r="L498" s="5">
        <v>221.37</v>
      </c>
      <c r="M498" s="6">
        <v>0.06</v>
      </c>
      <c r="N498" t="s">
        <v>10</v>
      </c>
      <c r="O498" s="5">
        <f t="shared" si="35"/>
        <v>208.08779999999999</v>
      </c>
      <c r="P498" s="5">
        <f t="shared" si="36"/>
        <v>1872.7901999999999</v>
      </c>
      <c r="Q498" s="5">
        <f>Table1[[#This Row],[Quantity]]*(Table1[[#This Row],[Saleprice]]-Table1[[#This Row],[Costprice]])</f>
        <v>144.43019999999996</v>
      </c>
      <c r="R498">
        <f t="shared" si="37"/>
        <v>2022</v>
      </c>
      <c r="S498">
        <f t="shared" si="38"/>
        <v>6</v>
      </c>
      <c r="T498" t="str">
        <f t="shared" si="39"/>
        <v>June</v>
      </c>
    </row>
    <row r="499" spans="1:20" x14ac:dyDescent="0.3">
      <c r="A499" s="3">
        <v>44727</v>
      </c>
      <c r="B499">
        <v>103</v>
      </c>
      <c r="C499" s="3">
        <f>_xlfn.XLOOKUP(B499,Stores!A:A,Stores!E:E)</f>
        <v>43952</v>
      </c>
      <c r="D499">
        <v>207</v>
      </c>
      <c r="E499" s="3">
        <f>_xlfn.XLOOKUP(D499,SalesReps!A:A,SalesReps!D:D)</f>
        <v>44656</v>
      </c>
      <c r="F499" s="3" t="str">
        <f>_xlfn.XLOOKUP(Table1[[#This Row],[RepID]],SalesReps!A:A,SalesReps!E:E)</f>
        <v>Active</v>
      </c>
      <c r="G499">
        <v>308</v>
      </c>
      <c r="H499" t="str">
        <f>_xlfn.XLOOKUP(Table1[[#This Row],[ProductID]],Products!A:A,Products!B:B)</f>
        <v>Home &amp; Kitchen</v>
      </c>
      <c r="I499" t="str">
        <f>_xlfn.XLOOKUP(Table1[[#This Row],[ProductID]],Products!A:A,Products!C:C)</f>
        <v>Furniture</v>
      </c>
      <c r="J499">
        <v>7</v>
      </c>
      <c r="K499" s="5">
        <f>_xlfn.XLOOKUP(Table1[[#This Row],[ProductID]],Products!A:A,Products!E:E)</f>
        <v>377.46</v>
      </c>
      <c r="L499" s="5">
        <v>474.17</v>
      </c>
      <c r="M499" s="6">
        <v>0.16</v>
      </c>
      <c r="N499" t="s">
        <v>9</v>
      </c>
      <c r="O499" s="5">
        <f t="shared" si="35"/>
        <v>398.30279999999999</v>
      </c>
      <c r="P499" s="5">
        <f t="shared" si="36"/>
        <v>2788.1196</v>
      </c>
      <c r="Q499" s="5">
        <f>Table1[[#This Row],[Quantity]]*(Table1[[#This Row],[Saleprice]]-Table1[[#This Row],[Costprice]])</f>
        <v>145.89960000000008</v>
      </c>
      <c r="R499">
        <f t="shared" si="37"/>
        <v>2022</v>
      </c>
      <c r="S499">
        <f t="shared" si="38"/>
        <v>6</v>
      </c>
      <c r="T499" t="str">
        <f t="shared" si="39"/>
        <v>June</v>
      </c>
    </row>
    <row r="500" spans="1:20" x14ac:dyDescent="0.3">
      <c r="A500" s="3">
        <v>44727</v>
      </c>
      <c r="B500">
        <v>109</v>
      </c>
      <c r="C500" s="3">
        <f>_xlfn.XLOOKUP(B500,Stores!A:A,Stores!E:E)</f>
        <v>44600</v>
      </c>
      <c r="D500">
        <v>214</v>
      </c>
      <c r="E500" s="3">
        <f>_xlfn.XLOOKUP(D500,SalesReps!A:A,SalesReps!D:D)</f>
        <v>44707</v>
      </c>
      <c r="F500" s="3" t="str">
        <f>_xlfn.XLOOKUP(Table1[[#This Row],[RepID]],SalesReps!A:A,SalesReps!E:E)</f>
        <v>Active</v>
      </c>
      <c r="G500">
        <v>319</v>
      </c>
      <c r="H500" t="str">
        <f>_xlfn.XLOOKUP(Table1[[#This Row],[ProductID]],Products!A:A,Products!B:B)</f>
        <v>Toys</v>
      </c>
      <c r="I500" t="str">
        <f>_xlfn.XLOOKUP(Table1[[#This Row],[ProductID]],Products!A:A,Products!C:C)</f>
        <v>Board Games</v>
      </c>
      <c r="J500">
        <v>3</v>
      </c>
      <c r="K500" s="5">
        <f>_xlfn.XLOOKUP(Table1[[#This Row],[ProductID]],Products!A:A,Products!E:E)</f>
        <v>81.069999999999993</v>
      </c>
      <c r="L500" s="5">
        <v>174.51</v>
      </c>
      <c r="M500" s="6">
        <v>0.24</v>
      </c>
      <c r="N500" t="s">
        <v>11</v>
      </c>
      <c r="O500" s="5">
        <f t="shared" si="35"/>
        <v>132.6276</v>
      </c>
      <c r="P500" s="5">
        <f t="shared" si="36"/>
        <v>397.88279999999997</v>
      </c>
      <c r="Q500" s="5">
        <f>Table1[[#This Row],[Quantity]]*(Table1[[#This Row],[Saleprice]]-Table1[[#This Row],[Costprice]])</f>
        <v>154.67280000000002</v>
      </c>
      <c r="R500">
        <f t="shared" si="37"/>
        <v>2022</v>
      </c>
      <c r="S500">
        <f t="shared" si="38"/>
        <v>6</v>
      </c>
      <c r="T500" t="str">
        <f t="shared" si="39"/>
        <v>June</v>
      </c>
    </row>
    <row r="501" spans="1:20" x14ac:dyDescent="0.3">
      <c r="A501" s="3">
        <v>44727</v>
      </c>
      <c r="B501">
        <v>109</v>
      </c>
      <c r="C501" s="3">
        <f>_xlfn.XLOOKUP(B501,Stores!A:A,Stores!E:E)</f>
        <v>44600</v>
      </c>
      <c r="D501">
        <v>214</v>
      </c>
      <c r="E501" s="3">
        <f>_xlfn.XLOOKUP(D501,SalesReps!A:A,SalesReps!D:D)</f>
        <v>44707</v>
      </c>
      <c r="F501" s="3" t="str">
        <f>_xlfn.XLOOKUP(Table1[[#This Row],[RepID]],SalesReps!A:A,SalesReps!E:E)</f>
        <v>Active</v>
      </c>
      <c r="G501">
        <v>309</v>
      </c>
      <c r="H501" t="str">
        <f>_xlfn.XLOOKUP(Table1[[#This Row],[ProductID]],Products!A:A,Products!B:B)</f>
        <v>Electronics</v>
      </c>
      <c r="I501" t="str">
        <f>_xlfn.XLOOKUP(Table1[[#This Row],[ProductID]],Products!A:A,Products!C:C)</f>
        <v>Laptops</v>
      </c>
      <c r="J501">
        <v>9</v>
      </c>
      <c r="K501" s="5">
        <f>_xlfn.XLOOKUP(Table1[[#This Row],[ProductID]],Products!A:A,Products!E:E)</f>
        <v>229.68</v>
      </c>
      <c r="L501" s="5">
        <v>283.02</v>
      </c>
      <c r="M501" s="6">
        <v>0.18</v>
      </c>
      <c r="N501" t="s">
        <v>11</v>
      </c>
      <c r="O501" s="5">
        <f t="shared" si="35"/>
        <v>232.07640000000001</v>
      </c>
      <c r="P501" s="5">
        <f t="shared" si="36"/>
        <v>2088.6876000000002</v>
      </c>
      <c r="Q501" s="5">
        <f>Table1[[#This Row],[Quantity]]*(Table1[[#This Row],[Saleprice]]-Table1[[#This Row],[Costprice]])</f>
        <v>21.567599999999999</v>
      </c>
      <c r="R501">
        <f t="shared" si="37"/>
        <v>2022</v>
      </c>
      <c r="S501">
        <f t="shared" si="38"/>
        <v>6</v>
      </c>
      <c r="T501" t="str">
        <f t="shared" si="39"/>
        <v>June</v>
      </c>
    </row>
    <row r="502" spans="1:20" x14ac:dyDescent="0.3">
      <c r="A502" s="3">
        <v>44727</v>
      </c>
      <c r="B502">
        <v>101</v>
      </c>
      <c r="C502" s="3">
        <f>_xlfn.XLOOKUP(B502,Stores!A:A,Stores!E:E)</f>
        <v>44691</v>
      </c>
      <c r="D502">
        <v>206</v>
      </c>
      <c r="E502" s="3">
        <f>_xlfn.XLOOKUP(D502,SalesReps!A:A,SalesReps!D:D)</f>
        <v>44357</v>
      </c>
      <c r="F502" s="3" t="str">
        <f>_xlfn.XLOOKUP(Table1[[#This Row],[RepID]],SalesReps!A:A,SalesReps!E:E)</f>
        <v>Active</v>
      </c>
      <c r="G502">
        <v>310</v>
      </c>
      <c r="H502" t="str">
        <f>_xlfn.XLOOKUP(Table1[[#This Row],[ProductID]],Products!A:A,Products!B:B)</f>
        <v>Home &amp; Kitchen</v>
      </c>
      <c r="I502" t="str">
        <f>_xlfn.XLOOKUP(Table1[[#This Row],[ProductID]],Products!A:A,Products!C:C)</f>
        <v>Furniture</v>
      </c>
      <c r="J502">
        <v>4</v>
      </c>
      <c r="K502" s="5">
        <f>_xlfn.XLOOKUP(Table1[[#This Row],[ProductID]],Products!A:A,Products!E:E)</f>
        <v>160.31</v>
      </c>
      <c r="L502" s="5">
        <v>258.3</v>
      </c>
      <c r="M502" s="6">
        <v>0.15</v>
      </c>
      <c r="N502" t="s">
        <v>8</v>
      </c>
      <c r="O502" s="5">
        <f t="shared" si="35"/>
        <v>219.55500000000001</v>
      </c>
      <c r="P502" s="5">
        <f t="shared" si="36"/>
        <v>878.22</v>
      </c>
      <c r="Q502" s="5">
        <f>Table1[[#This Row],[Quantity]]*(Table1[[#This Row],[Saleprice]]-Table1[[#This Row],[Costprice]])</f>
        <v>236.98000000000002</v>
      </c>
      <c r="R502">
        <f t="shared" si="37"/>
        <v>2022</v>
      </c>
      <c r="S502">
        <f t="shared" si="38"/>
        <v>6</v>
      </c>
      <c r="T502" t="str">
        <f t="shared" si="39"/>
        <v>June</v>
      </c>
    </row>
    <row r="503" spans="1:20" x14ac:dyDescent="0.3">
      <c r="A503" s="3">
        <v>44728</v>
      </c>
      <c r="B503">
        <v>103</v>
      </c>
      <c r="C503" s="3">
        <f>_xlfn.XLOOKUP(B503,Stores!A:A,Stores!E:E)</f>
        <v>43952</v>
      </c>
      <c r="D503">
        <v>207</v>
      </c>
      <c r="E503" s="3">
        <f>_xlfn.XLOOKUP(D503,SalesReps!A:A,SalesReps!D:D)</f>
        <v>44656</v>
      </c>
      <c r="F503" s="3" t="str">
        <f>_xlfn.XLOOKUP(Table1[[#This Row],[RepID]],SalesReps!A:A,SalesReps!E:E)</f>
        <v>Active</v>
      </c>
      <c r="G503">
        <v>309</v>
      </c>
      <c r="H503" t="str">
        <f>_xlfn.XLOOKUP(Table1[[#This Row],[ProductID]],Products!A:A,Products!B:B)</f>
        <v>Electronics</v>
      </c>
      <c r="I503" t="str">
        <f>_xlfn.XLOOKUP(Table1[[#This Row],[ProductID]],Products!A:A,Products!C:C)</f>
        <v>Laptops</v>
      </c>
      <c r="J503">
        <v>4</v>
      </c>
      <c r="K503" s="5">
        <f>_xlfn.XLOOKUP(Table1[[#This Row],[ProductID]],Products!A:A,Products!E:E)</f>
        <v>229.68</v>
      </c>
      <c r="L503" s="5">
        <v>280.81</v>
      </c>
      <c r="M503" s="6">
        <v>0.14000000000000001</v>
      </c>
      <c r="N503" t="s">
        <v>9</v>
      </c>
      <c r="O503" s="5">
        <f t="shared" si="35"/>
        <v>241.4966</v>
      </c>
      <c r="P503" s="5">
        <f t="shared" si="36"/>
        <v>965.9864</v>
      </c>
      <c r="Q503" s="5">
        <f>Table1[[#This Row],[Quantity]]*(Table1[[#This Row],[Saleprice]]-Table1[[#This Row],[Costprice]])</f>
        <v>47.266399999999976</v>
      </c>
      <c r="R503">
        <f t="shared" si="37"/>
        <v>2022</v>
      </c>
      <c r="S503">
        <f t="shared" si="38"/>
        <v>6</v>
      </c>
      <c r="T503" t="str">
        <f t="shared" si="39"/>
        <v>June</v>
      </c>
    </row>
    <row r="504" spans="1:20" x14ac:dyDescent="0.3">
      <c r="A504" s="3">
        <v>44728</v>
      </c>
      <c r="B504">
        <v>105</v>
      </c>
      <c r="C504" s="3">
        <f>_xlfn.XLOOKUP(B504,Stores!A:A,Stores!E:E)</f>
        <v>44161</v>
      </c>
      <c r="D504">
        <v>216</v>
      </c>
      <c r="E504" s="3">
        <f>_xlfn.XLOOKUP(D504,SalesReps!A:A,SalesReps!D:D)</f>
        <v>44672</v>
      </c>
      <c r="F504" s="3" t="str">
        <f>_xlfn.XLOOKUP(Table1[[#This Row],[RepID]],SalesReps!A:A,SalesReps!E:E)</f>
        <v>Left</v>
      </c>
      <c r="G504">
        <v>301</v>
      </c>
      <c r="H504" t="str">
        <f>_xlfn.XLOOKUP(Table1[[#This Row],[ProductID]],Products!A:A,Products!B:B)</f>
        <v>Electronics</v>
      </c>
      <c r="I504" t="str">
        <f>_xlfn.XLOOKUP(Table1[[#This Row],[ProductID]],Products!A:A,Products!C:C)</f>
        <v>Mobiles</v>
      </c>
      <c r="J504">
        <v>3</v>
      </c>
      <c r="K504" s="5">
        <f>_xlfn.XLOOKUP(Table1[[#This Row],[ProductID]],Products!A:A,Products!E:E)</f>
        <v>159.16</v>
      </c>
      <c r="L504" s="5">
        <v>233.25</v>
      </c>
      <c r="M504" s="6">
        <v>0.12</v>
      </c>
      <c r="N504" t="s">
        <v>10</v>
      </c>
      <c r="O504" s="5">
        <f t="shared" si="35"/>
        <v>205.26</v>
      </c>
      <c r="P504" s="5">
        <f t="shared" si="36"/>
        <v>615.78</v>
      </c>
      <c r="Q504" s="5">
        <f>Table1[[#This Row],[Quantity]]*(Table1[[#This Row],[Saleprice]]-Table1[[#This Row],[Costprice]])</f>
        <v>138.29999999999998</v>
      </c>
      <c r="R504">
        <f t="shared" si="37"/>
        <v>2022</v>
      </c>
      <c r="S504">
        <f t="shared" si="38"/>
        <v>6</v>
      </c>
      <c r="T504" t="str">
        <f t="shared" si="39"/>
        <v>June</v>
      </c>
    </row>
    <row r="505" spans="1:20" x14ac:dyDescent="0.3">
      <c r="A505" s="3">
        <v>44728</v>
      </c>
      <c r="B505">
        <v>103</v>
      </c>
      <c r="C505" s="3">
        <f>_xlfn.XLOOKUP(B505,Stores!A:A,Stores!E:E)</f>
        <v>43952</v>
      </c>
      <c r="D505">
        <v>207</v>
      </c>
      <c r="E505" s="3">
        <f>_xlfn.XLOOKUP(D505,SalesReps!A:A,SalesReps!D:D)</f>
        <v>44656</v>
      </c>
      <c r="F505" s="3" t="str">
        <f>_xlfn.XLOOKUP(Table1[[#This Row],[RepID]],SalesReps!A:A,SalesReps!E:E)</f>
        <v>Active</v>
      </c>
      <c r="G505">
        <v>317</v>
      </c>
      <c r="H505" t="str">
        <f>_xlfn.XLOOKUP(Table1[[#This Row],[ProductID]],Products!A:A,Products!B:B)</f>
        <v>Toys</v>
      </c>
      <c r="I505" t="str">
        <f>_xlfn.XLOOKUP(Table1[[#This Row],[ProductID]],Products!A:A,Products!C:C)</f>
        <v>Educational</v>
      </c>
      <c r="J505">
        <v>5</v>
      </c>
      <c r="K505" s="5">
        <f>_xlfn.XLOOKUP(Table1[[#This Row],[ProductID]],Products!A:A,Products!E:E)</f>
        <v>77.61</v>
      </c>
      <c r="L505" s="5">
        <v>118.45</v>
      </c>
      <c r="M505" s="6">
        <v>0.06</v>
      </c>
      <c r="N505" t="s">
        <v>9</v>
      </c>
      <c r="O505" s="5">
        <f t="shared" si="35"/>
        <v>111.34299999999999</v>
      </c>
      <c r="P505" s="5">
        <f t="shared" si="36"/>
        <v>556.71499999999992</v>
      </c>
      <c r="Q505" s="5">
        <f>Table1[[#This Row],[Quantity]]*(Table1[[#This Row],[Saleprice]]-Table1[[#This Row],[Costprice]])</f>
        <v>168.66499999999996</v>
      </c>
      <c r="R505">
        <f t="shared" si="37"/>
        <v>2022</v>
      </c>
      <c r="S505">
        <f t="shared" si="38"/>
        <v>6</v>
      </c>
      <c r="T505" t="str">
        <f t="shared" si="39"/>
        <v>June</v>
      </c>
    </row>
    <row r="506" spans="1:20" x14ac:dyDescent="0.3">
      <c r="A506" s="3">
        <v>44728</v>
      </c>
      <c r="B506">
        <v>103</v>
      </c>
      <c r="C506" s="3">
        <f>_xlfn.XLOOKUP(B506,Stores!A:A,Stores!E:E)</f>
        <v>43952</v>
      </c>
      <c r="D506">
        <v>207</v>
      </c>
      <c r="E506" s="3">
        <f>_xlfn.XLOOKUP(D506,SalesReps!A:A,SalesReps!D:D)</f>
        <v>44656</v>
      </c>
      <c r="F506" s="3" t="str">
        <f>_xlfn.XLOOKUP(Table1[[#This Row],[RepID]],SalesReps!A:A,SalesReps!E:E)</f>
        <v>Active</v>
      </c>
      <c r="G506">
        <v>315</v>
      </c>
      <c r="H506" t="str">
        <f>_xlfn.XLOOKUP(Table1[[#This Row],[ProductID]],Products!A:A,Products!B:B)</f>
        <v>Toys</v>
      </c>
      <c r="I506" t="str">
        <f>_xlfn.XLOOKUP(Table1[[#This Row],[ProductID]],Products!A:A,Products!C:C)</f>
        <v>Board Games</v>
      </c>
      <c r="J506">
        <v>9</v>
      </c>
      <c r="K506" s="5">
        <f>_xlfn.XLOOKUP(Table1[[#This Row],[ProductID]],Products!A:A,Products!E:E)</f>
        <v>247.9</v>
      </c>
      <c r="L506" s="5">
        <v>267.97000000000003</v>
      </c>
      <c r="M506" s="6">
        <v>7.0000000000000007E-2</v>
      </c>
      <c r="N506" t="s">
        <v>9</v>
      </c>
      <c r="O506" s="5">
        <f t="shared" si="35"/>
        <v>249.21210000000002</v>
      </c>
      <c r="P506" s="5">
        <f t="shared" si="36"/>
        <v>2242.9089000000004</v>
      </c>
      <c r="Q506" s="5">
        <f>Table1[[#This Row],[Quantity]]*(Table1[[#This Row],[Saleprice]]-Table1[[#This Row],[Costprice]])</f>
        <v>11.808900000000136</v>
      </c>
      <c r="R506">
        <f t="shared" si="37"/>
        <v>2022</v>
      </c>
      <c r="S506">
        <f t="shared" si="38"/>
        <v>6</v>
      </c>
      <c r="T506" t="str">
        <f t="shared" si="39"/>
        <v>June</v>
      </c>
    </row>
    <row r="507" spans="1:20" x14ac:dyDescent="0.3">
      <c r="A507" s="3">
        <v>44729</v>
      </c>
      <c r="B507">
        <v>105</v>
      </c>
      <c r="C507" s="3">
        <f>_xlfn.XLOOKUP(B507,Stores!A:A,Stores!E:E)</f>
        <v>44161</v>
      </c>
      <c r="D507">
        <v>216</v>
      </c>
      <c r="E507" s="3">
        <f>_xlfn.XLOOKUP(D507,SalesReps!A:A,SalesReps!D:D)</f>
        <v>44672</v>
      </c>
      <c r="F507" s="3" t="str">
        <f>_xlfn.XLOOKUP(Table1[[#This Row],[RepID]],SalesReps!A:A,SalesReps!E:E)</f>
        <v>Left</v>
      </c>
      <c r="G507">
        <v>307</v>
      </c>
      <c r="H507" t="str">
        <f>_xlfn.XLOOKUP(Table1[[#This Row],[ProductID]],Products!A:A,Products!B:B)</f>
        <v>Toys</v>
      </c>
      <c r="I507" t="str">
        <f>_xlfn.XLOOKUP(Table1[[#This Row],[ProductID]],Products!A:A,Products!C:C)</f>
        <v>Outdoor</v>
      </c>
      <c r="J507">
        <v>8</v>
      </c>
      <c r="K507" s="5">
        <f>_xlfn.XLOOKUP(Table1[[#This Row],[ProductID]],Products!A:A,Products!E:E)</f>
        <v>15.17</v>
      </c>
      <c r="L507" s="5">
        <v>29.31</v>
      </c>
      <c r="M507" s="6">
        <v>0.24</v>
      </c>
      <c r="N507" t="s">
        <v>10</v>
      </c>
      <c r="O507" s="5">
        <f t="shared" si="35"/>
        <v>22.275600000000001</v>
      </c>
      <c r="P507" s="5">
        <f t="shared" si="36"/>
        <v>178.20480000000001</v>
      </c>
      <c r="Q507" s="5">
        <f>Table1[[#This Row],[Quantity]]*(Table1[[#This Row],[Saleprice]]-Table1[[#This Row],[Costprice]])</f>
        <v>56.844800000000006</v>
      </c>
      <c r="R507">
        <f t="shared" si="37"/>
        <v>2022</v>
      </c>
      <c r="S507">
        <f t="shared" si="38"/>
        <v>6</v>
      </c>
      <c r="T507" t="str">
        <f t="shared" si="39"/>
        <v>June</v>
      </c>
    </row>
    <row r="508" spans="1:20" x14ac:dyDescent="0.3">
      <c r="A508" s="3">
        <v>44729</v>
      </c>
      <c r="B508">
        <v>103</v>
      </c>
      <c r="C508" s="3">
        <f>_xlfn.XLOOKUP(B508,Stores!A:A,Stores!E:E)</f>
        <v>43952</v>
      </c>
      <c r="D508">
        <v>207</v>
      </c>
      <c r="E508" s="3">
        <f>_xlfn.XLOOKUP(D508,SalesReps!A:A,SalesReps!D:D)</f>
        <v>44656</v>
      </c>
      <c r="F508" s="3" t="str">
        <f>_xlfn.XLOOKUP(Table1[[#This Row],[RepID]],SalesReps!A:A,SalesReps!E:E)</f>
        <v>Active</v>
      </c>
      <c r="G508">
        <v>312</v>
      </c>
      <c r="H508" t="str">
        <f>_xlfn.XLOOKUP(Table1[[#This Row],[ProductID]],Products!A:A,Products!B:B)</f>
        <v>Toys</v>
      </c>
      <c r="I508" t="str">
        <f>_xlfn.XLOOKUP(Table1[[#This Row],[ProductID]],Products!A:A,Products!C:C)</f>
        <v>Board Games</v>
      </c>
      <c r="J508">
        <v>7</v>
      </c>
      <c r="K508" s="5">
        <f>_xlfn.XLOOKUP(Table1[[#This Row],[ProductID]],Products!A:A,Products!E:E)</f>
        <v>100.05</v>
      </c>
      <c r="L508" s="5">
        <v>144.93</v>
      </c>
      <c r="M508" s="6">
        <v>0.1</v>
      </c>
      <c r="N508" t="s">
        <v>9</v>
      </c>
      <c r="O508" s="5">
        <f t="shared" si="35"/>
        <v>130.43700000000001</v>
      </c>
      <c r="P508" s="5">
        <f t="shared" si="36"/>
        <v>913.05900000000008</v>
      </c>
      <c r="Q508" s="5">
        <f>Table1[[#This Row],[Quantity]]*(Table1[[#This Row],[Saleprice]]-Table1[[#This Row],[Costprice]])</f>
        <v>212.70900000000012</v>
      </c>
      <c r="R508">
        <f t="shared" si="37"/>
        <v>2022</v>
      </c>
      <c r="S508">
        <f t="shared" si="38"/>
        <v>6</v>
      </c>
      <c r="T508" t="str">
        <f t="shared" si="39"/>
        <v>June</v>
      </c>
    </row>
    <row r="509" spans="1:20" x14ac:dyDescent="0.3">
      <c r="A509" s="3">
        <v>44729</v>
      </c>
      <c r="B509">
        <v>101</v>
      </c>
      <c r="C509" s="3">
        <f>_xlfn.XLOOKUP(B509,Stores!A:A,Stores!E:E)</f>
        <v>44691</v>
      </c>
      <c r="D509">
        <v>201</v>
      </c>
      <c r="E509" s="3">
        <f>_xlfn.XLOOKUP(D509,SalesReps!A:A,SalesReps!D:D)</f>
        <v>44688</v>
      </c>
      <c r="F509" s="3" t="str">
        <f>_xlfn.XLOOKUP(Table1[[#This Row],[RepID]],SalesReps!A:A,SalesReps!E:E)</f>
        <v>Active</v>
      </c>
      <c r="G509">
        <v>311</v>
      </c>
      <c r="H509" t="str">
        <f>_xlfn.XLOOKUP(Table1[[#This Row],[ProductID]],Products!A:A,Products!B:B)</f>
        <v>Home &amp; Kitchen</v>
      </c>
      <c r="I509" t="str">
        <f>_xlfn.XLOOKUP(Table1[[#This Row],[ProductID]],Products!A:A,Products!C:C)</f>
        <v>Furniture</v>
      </c>
      <c r="J509">
        <v>2</v>
      </c>
      <c r="K509" s="5">
        <f>_xlfn.XLOOKUP(Table1[[#This Row],[ProductID]],Products!A:A,Products!E:E)</f>
        <v>16.23</v>
      </c>
      <c r="L509" s="5">
        <v>73.739999999999995</v>
      </c>
      <c r="M509" s="6">
        <v>0.16</v>
      </c>
      <c r="N509" t="s">
        <v>8</v>
      </c>
      <c r="O509" s="5">
        <f t="shared" si="35"/>
        <v>61.941599999999994</v>
      </c>
      <c r="P509" s="5">
        <f t="shared" si="36"/>
        <v>123.88319999999999</v>
      </c>
      <c r="Q509" s="5">
        <f>Table1[[#This Row],[Quantity]]*(Table1[[#This Row],[Saleprice]]-Table1[[#This Row],[Costprice]])</f>
        <v>91.42319999999998</v>
      </c>
      <c r="R509">
        <f t="shared" si="37"/>
        <v>2022</v>
      </c>
      <c r="S509">
        <f t="shared" si="38"/>
        <v>6</v>
      </c>
      <c r="T509" t="str">
        <f t="shared" si="39"/>
        <v>June</v>
      </c>
    </row>
    <row r="510" spans="1:20" x14ac:dyDescent="0.3">
      <c r="A510" s="3">
        <v>44729</v>
      </c>
      <c r="B510">
        <v>106</v>
      </c>
      <c r="C510" s="3">
        <f>_xlfn.XLOOKUP(B510,Stores!A:A,Stores!E:E)</f>
        <v>43918</v>
      </c>
      <c r="D510">
        <v>212</v>
      </c>
      <c r="E510" s="3">
        <f>_xlfn.XLOOKUP(D510,SalesReps!A:A,SalesReps!D:D)</f>
        <v>44671</v>
      </c>
      <c r="F510" s="3" t="str">
        <f>_xlfn.XLOOKUP(Table1[[#This Row],[RepID]],SalesReps!A:A,SalesReps!E:E)</f>
        <v>Active</v>
      </c>
      <c r="G510">
        <v>304</v>
      </c>
      <c r="H510" t="str">
        <f>_xlfn.XLOOKUP(Table1[[#This Row],[ProductID]],Products!A:A,Products!B:B)</f>
        <v>Home &amp; Kitchen</v>
      </c>
      <c r="I510" t="str">
        <f>_xlfn.XLOOKUP(Table1[[#This Row],[ProductID]],Products!A:A,Products!C:C)</f>
        <v>Furniture</v>
      </c>
      <c r="J510">
        <v>3</v>
      </c>
      <c r="K510" s="5">
        <f>_xlfn.XLOOKUP(Table1[[#This Row],[ProductID]],Products!A:A,Products!E:E)</f>
        <v>345.38</v>
      </c>
      <c r="L510" s="5">
        <v>371.13</v>
      </c>
      <c r="M510" s="6">
        <v>0.13</v>
      </c>
      <c r="N510" t="s">
        <v>10</v>
      </c>
      <c r="O510" s="5">
        <f t="shared" si="35"/>
        <v>322.88310000000001</v>
      </c>
      <c r="P510" s="5">
        <f t="shared" si="36"/>
        <v>968.64930000000004</v>
      </c>
      <c r="Q510" s="5">
        <f>Table1[[#This Row],[Quantity]]*(Table1[[#This Row],[Saleprice]]-Table1[[#This Row],[Costprice]])</f>
        <v>-67.490699999999947</v>
      </c>
      <c r="R510">
        <f t="shared" si="37"/>
        <v>2022</v>
      </c>
      <c r="S510">
        <f t="shared" si="38"/>
        <v>6</v>
      </c>
      <c r="T510" t="str">
        <f t="shared" si="39"/>
        <v>June</v>
      </c>
    </row>
    <row r="511" spans="1:20" x14ac:dyDescent="0.3">
      <c r="A511" s="3">
        <v>44730</v>
      </c>
      <c r="B511">
        <v>101</v>
      </c>
      <c r="C511" s="3">
        <f>_xlfn.XLOOKUP(B511,Stores!A:A,Stores!E:E)</f>
        <v>44691</v>
      </c>
      <c r="D511">
        <v>203</v>
      </c>
      <c r="E511" s="3">
        <f>_xlfn.XLOOKUP(D511,SalesReps!A:A,SalesReps!D:D)</f>
        <v>44582</v>
      </c>
      <c r="F511" s="3" t="str">
        <f>_xlfn.XLOOKUP(Table1[[#This Row],[RepID]],SalesReps!A:A,SalesReps!E:E)</f>
        <v>Active</v>
      </c>
      <c r="G511">
        <v>319</v>
      </c>
      <c r="H511" t="str">
        <f>_xlfn.XLOOKUP(Table1[[#This Row],[ProductID]],Products!A:A,Products!B:B)</f>
        <v>Toys</v>
      </c>
      <c r="I511" t="str">
        <f>_xlfn.XLOOKUP(Table1[[#This Row],[ProductID]],Products!A:A,Products!C:C)</f>
        <v>Board Games</v>
      </c>
      <c r="J511">
        <v>8</v>
      </c>
      <c r="K511" s="5">
        <f>_xlfn.XLOOKUP(Table1[[#This Row],[ProductID]],Products!A:A,Products!E:E)</f>
        <v>81.069999999999993</v>
      </c>
      <c r="L511" s="5">
        <v>91.15</v>
      </c>
      <c r="M511" s="6">
        <v>0.24</v>
      </c>
      <c r="N511" t="s">
        <v>8</v>
      </c>
      <c r="O511" s="5">
        <f t="shared" si="35"/>
        <v>69.274000000000001</v>
      </c>
      <c r="P511" s="5">
        <f t="shared" si="36"/>
        <v>554.19200000000001</v>
      </c>
      <c r="Q511" s="5">
        <f>Table1[[#This Row],[Quantity]]*(Table1[[#This Row],[Saleprice]]-Table1[[#This Row],[Costprice]])</f>
        <v>-94.367999999999938</v>
      </c>
      <c r="R511">
        <f t="shared" si="37"/>
        <v>2022</v>
      </c>
      <c r="S511">
        <f t="shared" si="38"/>
        <v>6</v>
      </c>
      <c r="T511" t="str">
        <f t="shared" si="39"/>
        <v>June</v>
      </c>
    </row>
    <row r="512" spans="1:20" x14ac:dyDescent="0.3">
      <c r="A512" s="3">
        <v>44730</v>
      </c>
      <c r="B512">
        <v>103</v>
      </c>
      <c r="C512" s="3">
        <f>_xlfn.XLOOKUP(B512,Stores!A:A,Stores!E:E)</f>
        <v>43952</v>
      </c>
      <c r="D512">
        <v>207</v>
      </c>
      <c r="E512" s="3">
        <f>_xlfn.XLOOKUP(D512,SalesReps!A:A,SalesReps!D:D)</f>
        <v>44656</v>
      </c>
      <c r="F512" s="3" t="str">
        <f>_xlfn.XLOOKUP(Table1[[#This Row],[RepID]],SalesReps!A:A,SalesReps!E:E)</f>
        <v>Active</v>
      </c>
      <c r="G512">
        <v>315</v>
      </c>
      <c r="H512" t="str">
        <f>_xlfn.XLOOKUP(Table1[[#This Row],[ProductID]],Products!A:A,Products!B:B)</f>
        <v>Toys</v>
      </c>
      <c r="I512" t="str">
        <f>_xlfn.XLOOKUP(Table1[[#This Row],[ProductID]],Products!A:A,Products!C:C)</f>
        <v>Board Games</v>
      </c>
      <c r="J512">
        <v>3</v>
      </c>
      <c r="K512" s="5">
        <f>_xlfn.XLOOKUP(Table1[[#This Row],[ProductID]],Products!A:A,Products!E:E)</f>
        <v>247.9</v>
      </c>
      <c r="L512" s="5">
        <v>267.97000000000003</v>
      </c>
      <c r="M512" s="6">
        <v>7.0000000000000007E-2</v>
      </c>
      <c r="N512" t="s">
        <v>9</v>
      </c>
      <c r="O512" s="5">
        <f t="shared" si="35"/>
        <v>249.21210000000002</v>
      </c>
      <c r="P512" s="5">
        <f t="shared" si="36"/>
        <v>747.63630000000012</v>
      </c>
      <c r="Q512" s="5">
        <f>Table1[[#This Row],[Quantity]]*(Table1[[#This Row],[Saleprice]]-Table1[[#This Row],[Costprice]])</f>
        <v>3.9363000000000454</v>
      </c>
      <c r="R512">
        <f t="shared" si="37"/>
        <v>2022</v>
      </c>
      <c r="S512">
        <f t="shared" si="38"/>
        <v>6</v>
      </c>
      <c r="T512" t="str">
        <f t="shared" si="39"/>
        <v>June</v>
      </c>
    </row>
    <row r="513" spans="1:20" x14ac:dyDescent="0.3">
      <c r="A513" s="3">
        <v>44730</v>
      </c>
      <c r="B513">
        <v>103</v>
      </c>
      <c r="C513" s="3">
        <f>_xlfn.XLOOKUP(B513,Stores!A:A,Stores!E:E)</f>
        <v>43952</v>
      </c>
      <c r="D513">
        <v>207</v>
      </c>
      <c r="E513" s="3">
        <f>_xlfn.XLOOKUP(D513,SalesReps!A:A,SalesReps!D:D)</f>
        <v>44656</v>
      </c>
      <c r="F513" s="3" t="str">
        <f>_xlfn.XLOOKUP(Table1[[#This Row],[RepID]],SalesReps!A:A,SalesReps!E:E)</f>
        <v>Active</v>
      </c>
      <c r="G513">
        <v>303</v>
      </c>
      <c r="H513" t="str">
        <f>_xlfn.XLOOKUP(Table1[[#This Row],[ProductID]],Products!A:A,Products!B:B)</f>
        <v>Home &amp; Kitchen</v>
      </c>
      <c r="I513" t="str">
        <f>_xlfn.XLOOKUP(Table1[[#This Row],[ProductID]],Products!A:A,Products!C:C)</f>
        <v>Furniture</v>
      </c>
      <c r="J513">
        <v>9</v>
      </c>
      <c r="K513" s="5">
        <f>_xlfn.XLOOKUP(Table1[[#This Row],[ProductID]],Products!A:A,Products!E:E)</f>
        <v>192.04</v>
      </c>
      <c r="L513" s="5">
        <v>289.35000000000002</v>
      </c>
      <c r="M513" s="6">
        <v>0.22</v>
      </c>
      <c r="N513" t="s">
        <v>9</v>
      </c>
      <c r="O513" s="5">
        <f t="shared" si="35"/>
        <v>225.69300000000001</v>
      </c>
      <c r="P513" s="5">
        <f t="shared" si="36"/>
        <v>2031.2370000000001</v>
      </c>
      <c r="Q513" s="5">
        <f>Table1[[#This Row],[Quantity]]*(Table1[[#This Row],[Saleprice]]-Table1[[#This Row],[Costprice]])</f>
        <v>302.87700000000018</v>
      </c>
      <c r="R513">
        <f t="shared" si="37"/>
        <v>2022</v>
      </c>
      <c r="S513">
        <f t="shared" si="38"/>
        <v>6</v>
      </c>
      <c r="T513" t="str">
        <f t="shared" si="39"/>
        <v>June</v>
      </c>
    </row>
    <row r="514" spans="1:20" x14ac:dyDescent="0.3">
      <c r="A514" s="3">
        <v>44730</v>
      </c>
      <c r="B514">
        <v>103</v>
      </c>
      <c r="C514" s="3">
        <f>_xlfn.XLOOKUP(B514,Stores!A:A,Stores!E:E)</f>
        <v>43952</v>
      </c>
      <c r="D514">
        <v>207</v>
      </c>
      <c r="E514" s="3">
        <f>_xlfn.XLOOKUP(D514,SalesReps!A:A,SalesReps!D:D)</f>
        <v>44656</v>
      </c>
      <c r="F514" s="3" t="str">
        <f>_xlfn.XLOOKUP(Table1[[#This Row],[RepID]],SalesReps!A:A,SalesReps!E:E)</f>
        <v>Active</v>
      </c>
      <c r="G514">
        <v>301</v>
      </c>
      <c r="H514" t="str">
        <f>_xlfn.XLOOKUP(Table1[[#This Row],[ProductID]],Products!A:A,Products!B:B)</f>
        <v>Electronics</v>
      </c>
      <c r="I514" t="str">
        <f>_xlfn.XLOOKUP(Table1[[#This Row],[ProductID]],Products!A:A,Products!C:C)</f>
        <v>Mobiles</v>
      </c>
      <c r="J514">
        <v>6</v>
      </c>
      <c r="K514" s="5">
        <f>_xlfn.XLOOKUP(Table1[[#This Row],[ProductID]],Products!A:A,Products!E:E)</f>
        <v>159.16</v>
      </c>
      <c r="L514" s="5">
        <v>244.18</v>
      </c>
      <c r="M514" s="6">
        <v>0.14000000000000001</v>
      </c>
      <c r="N514" t="s">
        <v>9</v>
      </c>
      <c r="O514" s="5">
        <f t="shared" ref="O514:O577" si="40">L514*(1-M514)</f>
        <v>209.9948</v>
      </c>
      <c r="P514" s="5">
        <f t="shared" ref="P514:P577" si="41">O514*J514</f>
        <v>1259.9688000000001</v>
      </c>
      <c r="Q514" s="5">
        <f>Table1[[#This Row],[Quantity]]*(Table1[[#This Row],[Saleprice]]-Table1[[#This Row],[Costprice]])</f>
        <v>305.00880000000001</v>
      </c>
      <c r="R514">
        <f t="shared" ref="R514:R577" si="42">YEAR(A514)</f>
        <v>2022</v>
      </c>
      <c r="S514">
        <f t="shared" ref="S514:S577" si="43">MONTH(A514)</f>
        <v>6</v>
      </c>
      <c r="T514" t="str">
        <f t="shared" ref="T514:T577" si="44">TEXT(A514,"MMMM")</f>
        <v>June</v>
      </c>
    </row>
    <row r="515" spans="1:20" x14ac:dyDescent="0.3">
      <c r="A515" s="3">
        <v>44730</v>
      </c>
      <c r="B515">
        <v>109</v>
      </c>
      <c r="C515" s="3">
        <f>_xlfn.XLOOKUP(B515,Stores!A:A,Stores!E:E)</f>
        <v>44600</v>
      </c>
      <c r="D515">
        <v>214</v>
      </c>
      <c r="E515" s="3">
        <f>_xlfn.XLOOKUP(D515,SalesReps!A:A,SalesReps!D:D)</f>
        <v>44707</v>
      </c>
      <c r="F515" s="3" t="str">
        <f>_xlfn.XLOOKUP(Table1[[#This Row],[RepID]],SalesReps!A:A,SalesReps!E:E)</f>
        <v>Active</v>
      </c>
      <c r="G515">
        <v>303</v>
      </c>
      <c r="H515" t="str">
        <f>_xlfn.XLOOKUP(Table1[[#This Row],[ProductID]],Products!A:A,Products!B:B)</f>
        <v>Home &amp; Kitchen</v>
      </c>
      <c r="I515" t="str">
        <f>_xlfn.XLOOKUP(Table1[[#This Row],[ProductID]],Products!A:A,Products!C:C)</f>
        <v>Furniture</v>
      </c>
      <c r="J515">
        <v>7</v>
      </c>
      <c r="K515" s="5">
        <f>_xlfn.XLOOKUP(Table1[[#This Row],[ProductID]],Products!A:A,Products!E:E)</f>
        <v>192.04</v>
      </c>
      <c r="L515" s="5">
        <v>250.55</v>
      </c>
      <c r="M515" s="6">
        <v>0.19</v>
      </c>
      <c r="N515" t="s">
        <v>11</v>
      </c>
      <c r="O515" s="5">
        <f t="shared" si="40"/>
        <v>202.94550000000001</v>
      </c>
      <c r="P515" s="5">
        <f t="shared" si="41"/>
        <v>1420.6185</v>
      </c>
      <c r="Q515" s="5">
        <f>Table1[[#This Row],[Quantity]]*(Table1[[#This Row],[Saleprice]]-Table1[[#This Row],[Costprice]])</f>
        <v>76.338500000000124</v>
      </c>
      <c r="R515">
        <f t="shared" si="42"/>
        <v>2022</v>
      </c>
      <c r="S515">
        <f t="shared" si="43"/>
        <v>6</v>
      </c>
      <c r="T515" t="str">
        <f t="shared" si="44"/>
        <v>June</v>
      </c>
    </row>
    <row r="516" spans="1:20" x14ac:dyDescent="0.3">
      <c r="A516" s="3">
        <v>44730</v>
      </c>
      <c r="B516">
        <v>103</v>
      </c>
      <c r="C516" s="3">
        <f>_xlfn.XLOOKUP(B516,Stores!A:A,Stores!E:E)</f>
        <v>43952</v>
      </c>
      <c r="D516">
        <v>207</v>
      </c>
      <c r="E516" s="3">
        <f>_xlfn.XLOOKUP(D516,SalesReps!A:A,SalesReps!D:D)</f>
        <v>44656</v>
      </c>
      <c r="F516" s="3" t="str">
        <f>_xlfn.XLOOKUP(Table1[[#This Row],[RepID]],SalesReps!A:A,SalesReps!E:E)</f>
        <v>Active</v>
      </c>
      <c r="G516">
        <v>307</v>
      </c>
      <c r="H516" t="str">
        <f>_xlfn.XLOOKUP(Table1[[#This Row],[ProductID]],Products!A:A,Products!B:B)</f>
        <v>Toys</v>
      </c>
      <c r="I516" t="str">
        <f>_xlfn.XLOOKUP(Table1[[#This Row],[ProductID]],Products!A:A,Products!C:C)</f>
        <v>Outdoor</v>
      </c>
      <c r="J516">
        <v>5</v>
      </c>
      <c r="K516" s="5">
        <f>_xlfn.XLOOKUP(Table1[[#This Row],[ProductID]],Products!A:A,Products!E:E)</f>
        <v>15.17</v>
      </c>
      <c r="L516" s="5">
        <v>41.09</v>
      </c>
      <c r="M516" s="6">
        <v>0.19</v>
      </c>
      <c r="N516" t="s">
        <v>9</v>
      </c>
      <c r="O516" s="5">
        <f t="shared" si="40"/>
        <v>33.282900000000005</v>
      </c>
      <c r="P516" s="5">
        <f t="shared" si="41"/>
        <v>166.41450000000003</v>
      </c>
      <c r="Q516" s="5">
        <f>Table1[[#This Row],[Quantity]]*(Table1[[#This Row],[Saleprice]]-Table1[[#This Row],[Costprice]])</f>
        <v>90.56450000000001</v>
      </c>
      <c r="R516">
        <f t="shared" si="42"/>
        <v>2022</v>
      </c>
      <c r="S516">
        <f t="shared" si="43"/>
        <v>6</v>
      </c>
      <c r="T516" t="str">
        <f t="shared" si="44"/>
        <v>June</v>
      </c>
    </row>
    <row r="517" spans="1:20" x14ac:dyDescent="0.3">
      <c r="A517" s="3">
        <v>44730</v>
      </c>
      <c r="B517">
        <v>105</v>
      </c>
      <c r="C517" s="3">
        <f>_xlfn.XLOOKUP(B517,Stores!A:A,Stores!E:E)</f>
        <v>44161</v>
      </c>
      <c r="D517">
        <v>216</v>
      </c>
      <c r="E517" s="3">
        <f>_xlfn.XLOOKUP(D517,SalesReps!A:A,SalesReps!D:D)</f>
        <v>44672</v>
      </c>
      <c r="F517" s="3" t="str">
        <f>_xlfn.XLOOKUP(Table1[[#This Row],[RepID]],SalesReps!A:A,SalesReps!E:E)</f>
        <v>Left</v>
      </c>
      <c r="G517">
        <v>318</v>
      </c>
      <c r="H517" t="str">
        <f>_xlfn.XLOOKUP(Table1[[#This Row],[ProductID]],Products!A:A,Products!B:B)</f>
        <v>Electronics</v>
      </c>
      <c r="I517" t="str">
        <f>_xlfn.XLOOKUP(Table1[[#This Row],[ProductID]],Products!A:A,Products!C:C)</f>
        <v>Mobiles</v>
      </c>
      <c r="J517">
        <v>6</v>
      </c>
      <c r="K517" s="5">
        <f>_xlfn.XLOOKUP(Table1[[#This Row],[ProductID]],Products!A:A,Products!E:E)</f>
        <v>162.51</v>
      </c>
      <c r="L517" s="5">
        <v>249.89</v>
      </c>
      <c r="M517" s="6">
        <v>0.16</v>
      </c>
      <c r="N517" t="s">
        <v>10</v>
      </c>
      <c r="O517" s="5">
        <f t="shared" si="40"/>
        <v>209.90759999999997</v>
      </c>
      <c r="P517" s="5">
        <f t="shared" si="41"/>
        <v>1259.4455999999998</v>
      </c>
      <c r="Q517" s="5">
        <f>Table1[[#This Row],[Quantity]]*(Table1[[#This Row],[Saleprice]]-Table1[[#This Row],[Costprice]])</f>
        <v>284.3855999999999</v>
      </c>
      <c r="R517">
        <f t="shared" si="42"/>
        <v>2022</v>
      </c>
      <c r="S517">
        <f t="shared" si="43"/>
        <v>6</v>
      </c>
      <c r="T517" t="str">
        <f t="shared" si="44"/>
        <v>June</v>
      </c>
    </row>
    <row r="518" spans="1:20" x14ac:dyDescent="0.3">
      <c r="A518" s="3">
        <v>44730</v>
      </c>
      <c r="B518">
        <v>101</v>
      </c>
      <c r="C518" s="3">
        <f>_xlfn.XLOOKUP(B518,Stores!A:A,Stores!E:E)</f>
        <v>44691</v>
      </c>
      <c r="D518">
        <v>203</v>
      </c>
      <c r="E518" s="3">
        <f>_xlfn.XLOOKUP(D518,SalesReps!A:A,SalesReps!D:D)</f>
        <v>44582</v>
      </c>
      <c r="F518" s="3" t="str">
        <f>_xlfn.XLOOKUP(Table1[[#This Row],[RepID]],SalesReps!A:A,SalesReps!E:E)</f>
        <v>Active</v>
      </c>
      <c r="G518">
        <v>308</v>
      </c>
      <c r="H518" t="str">
        <f>_xlfn.XLOOKUP(Table1[[#This Row],[ProductID]],Products!A:A,Products!B:B)</f>
        <v>Home &amp; Kitchen</v>
      </c>
      <c r="I518" t="str">
        <f>_xlfn.XLOOKUP(Table1[[#This Row],[ProductID]],Products!A:A,Products!C:C)</f>
        <v>Furniture</v>
      </c>
      <c r="J518">
        <v>5</v>
      </c>
      <c r="K518" s="5">
        <f>_xlfn.XLOOKUP(Table1[[#This Row],[ProductID]],Products!A:A,Products!E:E)</f>
        <v>377.46</v>
      </c>
      <c r="L518" s="5">
        <v>475.77</v>
      </c>
      <c r="M518" s="6">
        <v>0.15</v>
      </c>
      <c r="N518" t="s">
        <v>8</v>
      </c>
      <c r="O518" s="5">
        <f t="shared" si="40"/>
        <v>404.40449999999998</v>
      </c>
      <c r="P518" s="5">
        <f t="shared" si="41"/>
        <v>2022.0225</v>
      </c>
      <c r="Q518" s="5">
        <f>Table1[[#This Row],[Quantity]]*(Table1[[#This Row],[Saleprice]]-Table1[[#This Row],[Costprice]])</f>
        <v>134.72250000000003</v>
      </c>
      <c r="R518">
        <f t="shared" si="42"/>
        <v>2022</v>
      </c>
      <c r="S518">
        <f t="shared" si="43"/>
        <v>6</v>
      </c>
      <c r="T518" t="str">
        <f t="shared" si="44"/>
        <v>June</v>
      </c>
    </row>
    <row r="519" spans="1:20" x14ac:dyDescent="0.3">
      <c r="A519" s="3">
        <v>44730</v>
      </c>
      <c r="B519">
        <v>101</v>
      </c>
      <c r="C519" s="3">
        <f>_xlfn.XLOOKUP(B519,Stores!A:A,Stores!E:E)</f>
        <v>44691</v>
      </c>
      <c r="D519">
        <v>213</v>
      </c>
      <c r="E519" s="3">
        <f>_xlfn.XLOOKUP(D519,SalesReps!A:A,SalesReps!D:D)</f>
        <v>44255</v>
      </c>
      <c r="F519" s="3" t="str">
        <f>_xlfn.XLOOKUP(Table1[[#This Row],[RepID]],SalesReps!A:A,SalesReps!E:E)</f>
        <v>Active</v>
      </c>
      <c r="G519">
        <v>314</v>
      </c>
      <c r="H519" t="str">
        <f>_xlfn.XLOOKUP(Table1[[#This Row],[ProductID]],Products!A:A,Products!B:B)</f>
        <v>Clothing</v>
      </c>
      <c r="I519" t="str">
        <f>_xlfn.XLOOKUP(Table1[[#This Row],[ProductID]],Products!A:A,Products!C:C)</f>
        <v>Kids</v>
      </c>
      <c r="J519">
        <v>6</v>
      </c>
      <c r="K519" s="5">
        <f>_xlfn.XLOOKUP(Table1[[#This Row],[ProductID]],Products!A:A,Products!E:E)</f>
        <v>276.47000000000003</v>
      </c>
      <c r="L519" s="5">
        <v>349.36</v>
      </c>
      <c r="M519" s="6">
        <v>0.06</v>
      </c>
      <c r="N519" t="s">
        <v>8</v>
      </c>
      <c r="O519" s="5">
        <f t="shared" si="40"/>
        <v>328.39839999999998</v>
      </c>
      <c r="P519" s="5">
        <f t="shared" si="41"/>
        <v>1970.3903999999998</v>
      </c>
      <c r="Q519" s="5">
        <f>Table1[[#This Row],[Quantity]]*(Table1[[#This Row],[Saleprice]]-Table1[[#This Row],[Costprice]])</f>
        <v>311.57039999999972</v>
      </c>
      <c r="R519">
        <f t="shared" si="42"/>
        <v>2022</v>
      </c>
      <c r="S519">
        <f t="shared" si="43"/>
        <v>6</v>
      </c>
      <c r="T519" t="str">
        <f t="shared" si="44"/>
        <v>June</v>
      </c>
    </row>
    <row r="520" spans="1:20" x14ac:dyDescent="0.3">
      <c r="A520" s="3">
        <v>44730</v>
      </c>
      <c r="B520">
        <v>101</v>
      </c>
      <c r="C520" s="3">
        <f>_xlfn.XLOOKUP(B520,Stores!A:A,Stores!E:E)</f>
        <v>44691</v>
      </c>
      <c r="D520">
        <v>213</v>
      </c>
      <c r="E520" s="3">
        <f>_xlfn.XLOOKUP(D520,SalesReps!A:A,SalesReps!D:D)</f>
        <v>44255</v>
      </c>
      <c r="F520" s="3" t="str">
        <f>_xlfn.XLOOKUP(Table1[[#This Row],[RepID]],SalesReps!A:A,SalesReps!E:E)</f>
        <v>Active</v>
      </c>
      <c r="G520">
        <v>308</v>
      </c>
      <c r="H520" t="str">
        <f>_xlfn.XLOOKUP(Table1[[#This Row],[ProductID]],Products!A:A,Products!B:B)</f>
        <v>Home &amp; Kitchen</v>
      </c>
      <c r="I520" t="str">
        <f>_xlfn.XLOOKUP(Table1[[#This Row],[ProductID]],Products!A:A,Products!C:C)</f>
        <v>Furniture</v>
      </c>
      <c r="J520">
        <v>9</v>
      </c>
      <c r="K520" s="5">
        <f>_xlfn.XLOOKUP(Table1[[#This Row],[ProductID]],Products!A:A,Products!E:E)</f>
        <v>377.46</v>
      </c>
      <c r="L520" s="5">
        <v>475.77</v>
      </c>
      <c r="M520" s="6">
        <v>0.15</v>
      </c>
      <c r="N520" t="s">
        <v>8</v>
      </c>
      <c r="O520" s="5">
        <f t="shared" si="40"/>
        <v>404.40449999999998</v>
      </c>
      <c r="P520" s="5">
        <f t="shared" si="41"/>
        <v>3639.6405</v>
      </c>
      <c r="Q520" s="5">
        <f>Table1[[#This Row],[Quantity]]*(Table1[[#This Row],[Saleprice]]-Table1[[#This Row],[Costprice]])</f>
        <v>242.50050000000005</v>
      </c>
      <c r="R520">
        <f t="shared" si="42"/>
        <v>2022</v>
      </c>
      <c r="S520">
        <f t="shared" si="43"/>
        <v>6</v>
      </c>
      <c r="T520" t="str">
        <f t="shared" si="44"/>
        <v>June</v>
      </c>
    </row>
    <row r="521" spans="1:20" x14ac:dyDescent="0.3">
      <c r="A521" s="3">
        <v>44731</v>
      </c>
      <c r="B521">
        <v>106</v>
      </c>
      <c r="C521" s="3">
        <f>_xlfn.XLOOKUP(B521,Stores!A:A,Stores!E:E)</f>
        <v>43918</v>
      </c>
      <c r="D521">
        <v>212</v>
      </c>
      <c r="E521" s="3">
        <f>_xlfn.XLOOKUP(D521,SalesReps!A:A,SalesReps!D:D)</f>
        <v>44671</v>
      </c>
      <c r="F521" s="3" t="str">
        <f>_xlfn.XLOOKUP(Table1[[#This Row],[RepID]],SalesReps!A:A,SalesReps!E:E)</f>
        <v>Active</v>
      </c>
      <c r="G521">
        <v>313</v>
      </c>
      <c r="H521" t="str">
        <f>_xlfn.XLOOKUP(Table1[[#This Row],[ProductID]],Products!A:A,Products!B:B)</f>
        <v>Clothing</v>
      </c>
      <c r="I521" t="str">
        <f>_xlfn.XLOOKUP(Table1[[#This Row],[ProductID]],Products!A:A,Products!C:C)</f>
        <v>Women</v>
      </c>
      <c r="J521">
        <v>9</v>
      </c>
      <c r="K521" s="5">
        <f>_xlfn.XLOOKUP(Table1[[#This Row],[ProductID]],Products!A:A,Products!E:E)</f>
        <v>104</v>
      </c>
      <c r="L521" s="5">
        <v>134.80000000000001</v>
      </c>
      <c r="M521" s="6">
        <v>0.24</v>
      </c>
      <c r="N521" t="s">
        <v>10</v>
      </c>
      <c r="O521" s="5">
        <f t="shared" si="40"/>
        <v>102.44800000000001</v>
      </c>
      <c r="P521" s="5">
        <f t="shared" si="41"/>
        <v>922.03200000000004</v>
      </c>
      <c r="Q521" s="5">
        <f>Table1[[#This Row],[Quantity]]*(Table1[[#This Row],[Saleprice]]-Table1[[#This Row],[Costprice]])</f>
        <v>-13.967999999999932</v>
      </c>
      <c r="R521">
        <f t="shared" si="42"/>
        <v>2022</v>
      </c>
      <c r="S521">
        <f t="shared" si="43"/>
        <v>6</v>
      </c>
      <c r="T521" t="str">
        <f t="shared" si="44"/>
        <v>June</v>
      </c>
    </row>
    <row r="522" spans="1:20" x14ac:dyDescent="0.3">
      <c r="A522" s="3">
        <v>44731</v>
      </c>
      <c r="B522">
        <v>105</v>
      </c>
      <c r="C522" s="3">
        <f>_xlfn.XLOOKUP(B522,Stores!A:A,Stores!E:E)</f>
        <v>44161</v>
      </c>
      <c r="D522">
        <v>216</v>
      </c>
      <c r="E522" s="3">
        <f>_xlfn.XLOOKUP(D522,SalesReps!A:A,SalesReps!D:D)</f>
        <v>44672</v>
      </c>
      <c r="F522" s="3" t="str">
        <f>_xlfn.XLOOKUP(Table1[[#This Row],[RepID]],SalesReps!A:A,SalesReps!E:E)</f>
        <v>Left</v>
      </c>
      <c r="G522">
        <v>312</v>
      </c>
      <c r="H522" t="str">
        <f>_xlfn.XLOOKUP(Table1[[#This Row],[ProductID]],Products!A:A,Products!B:B)</f>
        <v>Toys</v>
      </c>
      <c r="I522" t="str">
        <f>_xlfn.XLOOKUP(Table1[[#This Row],[ProductID]],Products!A:A,Products!C:C)</f>
        <v>Board Games</v>
      </c>
      <c r="J522">
        <v>7</v>
      </c>
      <c r="K522" s="5">
        <f>_xlfn.XLOOKUP(Table1[[#This Row],[ProductID]],Products!A:A,Products!E:E)</f>
        <v>100.05</v>
      </c>
      <c r="L522" s="5">
        <v>105.54</v>
      </c>
      <c r="M522" s="6">
        <v>0.18</v>
      </c>
      <c r="N522" t="s">
        <v>10</v>
      </c>
      <c r="O522" s="5">
        <f t="shared" si="40"/>
        <v>86.542800000000014</v>
      </c>
      <c r="P522" s="5">
        <f t="shared" si="41"/>
        <v>605.79960000000005</v>
      </c>
      <c r="Q522" s="5">
        <f>Table1[[#This Row],[Quantity]]*(Table1[[#This Row],[Saleprice]]-Table1[[#This Row],[Costprice]])</f>
        <v>-94.550399999999883</v>
      </c>
      <c r="R522">
        <f t="shared" si="42"/>
        <v>2022</v>
      </c>
      <c r="S522">
        <f t="shared" si="43"/>
        <v>6</v>
      </c>
      <c r="T522" t="str">
        <f t="shared" si="44"/>
        <v>June</v>
      </c>
    </row>
    <row r="523" spans="1:20" x14ac:dyDescent="0.3">
      <c r="A523" s="3">
        <v>44731</v>
      </c>
      <c r="B523">
        <v>109</v>
      </c>
      <c r="C523" s="3">
        <f>_xlfn.XLOOKUP(B523,Stores!A:A,Stores!E:E)</f>
        <v>44600</v>
      </c>
      <c r="D523">
        <v>214</v>
      </c>
      <c r="E523" s="3">
        <f>_xlfn.XLOOKUP(D523,SalesReps!A:A,SalesReps!D:D)</f>
        <v>44707</v>
      </c>
      <c r="F523" s="3" t="str">
        <f>_xlfn.XLOOKUP(Table1[[#This Row],[RepID]],SalesReps!A:A,SalesReps!E:E)</f>
        <v>Active</v>
      </c>
      <c r="G523">
        <v>318</v>
      </c>
      <c r="H523" t="str">
        <f>_xlfn.XLOOKUP(Table1[[#This Row],[ProductID]],Products!A:A,Products!B:B)</f>
        <v>Electronics</v>
      </c>
      <c r="I523" t="str">
        <f>_xlfn.XLOOKUP(Table1[[#This Row],[ProductID]],Products!A:A,Products!C:C)</f>
        <v>Mobiles</v>
      </c>
      <c r="J523">
        <v>8</v>
      </c>
      <c r="K523" s="5">
        <f>_xlfn.XLOOKUP(Table1[[#This Row],[ProductID]],Products!A:A,Products!E:E)</f>
        <v>162.51</v>
      </c>
      <c r="L523" s="5">
        <v>214.68</v>
      </c>
      <c r="M523" s="6">
        <v>0.13</v>
      </c>
      <c r="N523" t="s">
        <v>11</v>
      </c>
      <c r="O523" s="5">
        <f t="shared" si="40"/>
        <v>186.77160000000001</v>
      </c>
      <c r="P523" s="5">
        <f t="shared" si="41"/>
        <v>1494.1728000000001</v>
      </c>
      <c r="Q523" s="5">
        <f>Table1[[#This Row],[Quantity]]*(Table1[[#This Row],[Saleprice]]-Table1[[#This Row],[Costprice]])</f>
        <v>194.09280000000012</v>
      </c>
      <c r="R523">
        <f t="shared" si="42"/>
        <v>2022</v>
      </c>
      <c r="S523">
        <f t="shared" si="43"/>
        <v>6</v>
      </c>
      <c r="T523" t="str">
        <f t="shared" si="44"/>
        <v>June</v>
      </c>
    </row>
    <row r="524" spans="1:20" x14ac:dyDescent="0.3">
      <c r="A524" s="3">
        <v>44731</v>
      </c>
      <c r="B524">
        <v>105</v>
      </c>
      <c r="C524" s="3">
        <f>_xlfn.XLOOKUP(B524,Stores!A:A,Stores!E:E)</f>
        <v>44161</v>
      </c>
      <c r="D524">
        <v>216</v>
      </c>
      <c r="E524" s="3">
        <f>_xlfn.XLOOKUP(D524,SalesReps!A:A,SalesReps!D:D)</f>
        <v>44672</v>
      </c>
      <c r="F524" s="3" t="str">
        <f>_xlfn.XLOOKUP(Table1[[#This Row],[RepID]],SalesReps!A:A,SalesReps!E:E)</f>
        <v>Left</v>
      </c>
      <c r="G524">
        <v>314</v>
      </c>
      <c r="H524" t="str">
        <f>_xlfn.XLOOKUP(Table1[[#This Row],[ProductID]],Products!A:A,Products!B:B)</f>
        <v>Clothing</v>
      </c>
      <c r="I524" t="str">
        <f>_xlfn.XLOOKUP(Table1[[#This Row],[ProductID]],Products!A:A,Products!C:C)</f>
        <v>Kids</v>
      </c>
      <c r="J524">
        <v>7</v>
      </c>
      <c r="K524" s="5">
        <f>_xlfn.XLOOKUP(Table1[[#This Row],[ProductID]],Products!A:A,Products!E:E)</f>
        <v>276.47000000000003</v>
      </c>
      <c r="L524" s="5">
        <v>322.16000000000003</v>
      </c>
      <c r="M524" s="6">
        <v>0.19</v>
      </c>
      <c r="N524" t="s">
        <v>10</v>
      </c>
      <c r="O524" s="5">
        <f t="shared" si="40"/>
        <v>260.94960000000003</v>
      </c>
      <c r="P524" s="5">
        <f t="shared" si="41"/>
        <v>1826.6472000000003</v>
      </c>
      <c r="Q524" s="5">
        <f>Table1[[#This Row],[Quantity]]*(Table1[[#This Row],[Saleprice]]-Table1[[#This Row],[Costprice]])</f>
        <v>-108.64279999999997</v>
      </c>
      <c r="R524">
        <f t="shared" si="42"/>
        <v>2022</v>
      </c>
      <c r="S524">
        <f t="shared" si="43"/>
        <v>6</v>
      </c>
      <c r="T524" t="str">
        <f t="shared" si="44"/>
        <v>June</v>
      </c>
    </row>
    <row r="525" spans="1:20" x14ac:dyDescent="0.3">
      <c r="A525" s="3">
        <v>44731</v>
      </c>
      <c r="B525">
        <v>101</v>
      </c>
      <c r="C525" s="3">
        <f>_xlfn.XLOOKUP(B525,Stores!A:A,Stores!E:E)</f>
        <v>44691</v>
      </c>
      <c r="D525">
        <v>203</v>
      </c>
      <c r="E525" s="3">
        <f>_xlfn.XLOOKUP(D525,SalesReps!A:A,SalesReps!D:D)</f>
        <v>44582</v>
      </c>
      <c r="F525" s="3" t="str">
        <f>_xlfn.XLOOKUP(Table1[[#This Row],[RepID]],SalesReps!A:A,SalesReps!E:E)</f>
        <v>Active</v>
      </c>
      <c r="G525">
        <v>310</v>
      </c>
      <c r="H525" t="str">
        <f>_xlfn.XLOOKUP(Table1[[#This Row],[ProductID]],Products!A:A,Products!B:B)</f>
        <v>Home &amp; Kitchen</v>
      </c>
      <c r="I525" t="str">
        <f>_xlfn.XLOOKUP(Table1[[#This Row],[ProductID]],Products!A:A,Products!C:C)</f>
        <v>Furniture</v>
      </c>
      <c r="J525">
        <v>6</v>
      </c>
      <c r="K525" s="5">
        <f>_xlfn.XLOOKUP(Table1[[#This Row],[ProductID]],Products!A:A,Products!E:E)</f>
        <v>160.31</v>
      </c>
      <c r="L525" s="5">
        <v>258.3</v>
      </c>
      <c r="M525" s="6">
        <v>0.15</v>
      </c>
      <c r="N525" t="s">
        <v>8</v>
      </c>
      <c r="O525" s="5">
        <f t="shared" si="40"/>
        <v>219.55500000000001</v>
      </c>
      <c r="P525" s="5">
        <f t="shared" si="41"/>
        <v>1317.33</v>
      </c>
      <c r="Q525" s="5">
        <f>Table1[[#This Row],[Quantity]]*(Table1[[#This Row],[Saleprice]]-Table1[[#This Row],[Costprice]])</f>
        <v>355.47</v>
      </c>
      <c r="R525">
        <f t="shared" si="42"/>
        <v>2022</v>
      </c>
      <c r="S525">
        <f t="shared" si="43"/>
        <v>6</v>
      </c>
      <c r="T525" t="str">
        <f t="shared" si="44"/>
        <v>June</v>
      </c>
    </row>
    <row r="526" spans="1:20" x14ac:dyDescent="0.3">
      <c r="A526" s="3">
        <v>44731</v>
      </c>
      <c r="B526">
        <v>109</v>
      </c>
      <c r="C526" s="3">
        <f>_xlfn.XLOOKUP(B526,Stores!A:A,Stores!E:E)</f>
        <v>44600</v>
      </c>
      <c r="D526">
        <v>214</v>
      </c>
      <c r="E526" s="3">
        <f>_xlfn.XLOOKUP(D526,SalesReps!A:A,SalesReps!D:D)</f>
        <v>44707</v>
      </c>
      <c r="F526" s="3" t="str">
        <f>_xlfn.XLOOKUP(Table1[[#This Row],[RepID]],SalesReps!A:A,SalesReps!E:E)</f>
        <v>Active</v>
      </c>
      <c r="G526">
        <v>313</v>
      </c>
      <c r="H526" t="str">
        <f>_xlfn.XLOOKUP(Table1[[#This Row],[ProductID]],Products!A:A,Products!B:B)</f>
        <v>Clothing</v>
      </c>
      <c r="I526" t="str">
        <f>_xlfn.XLOOKUP(Table1[[#This Row],[ProductID]],Products!A:A,Products!C:C)</f>
        <v>Women</v>
      </c>
      <c r="J526">
        <v>6</v>
      </c>
      <c r="K526" s="5">
        <f>_xlfn.XLOOKUP(Table1[[#This Row],[ProductID]],Products!A:A,Products!E:E)</f>
        <v>104</v>
      </c>
      <c r="L526" s="5">
        <v>175.45</v>
      </c>
      <c r="M526" s="6">
        <v>0.08</v>
      </c>
      <c r="N526" t="s">
        <v>11</v>
      </c>
      <c r="O526" s="5">
        <f t="shared" si="40"/>
        <v>161.41399999999999</v>
      </c>
      <c r="P526" s="5">
        <f t="shared" si="41"/>
        <v>968.48399999999992</v>
      </c>
      <c r="Q526" s="5">
        <f>Table1[[#This Row],[Quantity]]*(Table1[[#This Row],[Saleprice]]-Table1[[#This Row],[Costprice]])</f>
        <v>344.48399999999992</v>
      </c>
      <c r="R526">
        <f t="shared" si="42"/>
        <v>2022</v>
      </c>
      <c r="S526">
        <f t="shared" si="43"/>
        <v>6</v>
      </c>
      <c r="T526" t="str">
        <f t="shared" si="44"/>
        <v>June</v>
      </c>
    </row>
    <row r="527" spans="1:20" x14ac:dyDescent="0.3">
      <c r="A527" s="3">
        <v>44732</v>
      </c>
      <c r="B527">
        <v>109</v>
      </c>
      <c r="C527" s="3">
        <f>_xlfn.XLOOKUP(B527,Stores!A:A,Stores!E:E)</f>
        <v>44600</v>
      </c>
      <c r="D527">
        <v>214</v>
      </c>
      <c r="E527" s="3">
        <f>_xlfn.XLOOKUP(D527,SalesReps!A:A,SalesReps!D:D)</f>
        <v>44707</v>
      </c>
      <c r="F527" s="3" t="str">
        <f>_xlfn.XLOOKUP(Table1[[#This Row],[RepID]],SalesReps!A:A,SalesReps!E:E)</f>
        <v>Active</v>
      </c>
      <c r="G527">
        <v>318</v>
      </c>
      <c r="H527" t="str">
        <f>_xlfn.XLOOKUP(Table1[[#This Row],[ProductID]],Products!A:A,Products!B:B)</f>
        <v>Electronics</v>
      </c>
      <c r="I527" t="str">
        <f>_xlfn.XLOOKUP(Table1[[#This Row],[ProductID]],Products!A:A,Products!C:C)</f>
        <v>Mobiles</v>
      </c>
      <c r="J527">
        <v>3</v>
      </c>
      <c r="K527" s="5">
        <f>_xlfn.XLOOKUP(Table1[[#This Row],[ProductID]],Products!A:A,Products!E:E)</f>
        <v>162.51</v>
      </c>
      <c r="L527" s="5">
        <v>214.68</v>
      </c>
      <c r="M527" s="6">
        <v>0.13</v>
      </c>
      <c r="N527" t="s">
        <v>11</v>
      </c>
      <c r="O527" s="5">
        <f t="shared" si="40"/>
        <v>186.77160000000001</v>
      </c>
      <c r="P527" s="5">
        <f t="shared" si="41"/>
        <v>560.31479999999999</v>
      </c>
      <c r="Q527" s="5">
        <f>Table1[[#This Row],[Quantity]]*(Table1[[#This Row],[Saleprice]]-Table1[[#This Row],[Costprice]])</f>
        <v>72.784800000000047</v>
      </c>
      <c r="R527">
        <f t="shared" si="42"/>
        <v>2022</v>
      </c>
      <c r="S527">
        <f t="shared" si="43"/>
        <v>6</v>
      </c>
      <c r="T527" t="str">
        <f t="shared" si="44"/>
        <v>June</v>
      </c>
    </row>
    <row r="528" spans="1:20" x14ac:dyDescent="0.3">
      <c r="A528" s="3">
        <v>44732</v>
      </c>
      <c r="B528">
        <v>101</v>
      </c>
      <c r="C528" s="3">
        <f>_xlfn.XLOOKUP(B528,Stores!A:A,Stores!E:E)</f>
        <v>44691</v>
      </c>
      <c r="D528">
        <v>201</v>
      </c>
      <c r="E528" s="3">
        <f>_xlfn.XLOOKUP(D528,SalesReps!A:A,SalesReps!D:D)</f>
        <v>44688</v>
      </c>
      <c r="F528" s="3" t="str">
        <f>_xlfn.XLOOKUP(Table1[[#This Row],[RepID]],SalesReps!A:A,SalesReps!E:E)</f>
        <v>Active</v>
      </c>
      <c r="G528">
        <v>306</v>
      </c>
      <c r="H528" t="str">
        <f>_xlfn.XLOOKUP(Table1[[#This Row],[ProductID]],Products!A:A,Products!B:B)</f>
        <v>Clothing</v>
      </c>
      <c r="I528" t="str">
        <f>_xlfn.XLOOKUP(Table1[[#This Row],[ProductID]],Products!A:A,Products!C:C)</f>
        <v>Men</v>
      </c>
      <c r="J528">
        <v>1</v>
      </c>
      <c r="K528" s="5">
        <f>_xlfn.XLOOKUP(Table1[[#This Row],[ProductID]],Products!A:A,Products!E:E)</f>
        <v>185.69</v>
      </c>
      <c r="L528" s="5">
        <v>283.47000000000003</v>
      </c>
      <c r="M528" s="6">
        <v>0.13</v>
      </c>
      <c r="N528" t="s">
        <v>8</v>
      </c>
      <c r="O528" s="5">
        <f t="shared" si="40"/>
        <v>246.61890000000002</v>
      </c>
      <c r="P528" s="5">
        <f t="shared" si="41"/>
        <v>246.61890000000002</v>
      </c>
      <c r="Q528" s="5">
        <f>Table1[[#This Row],[Quantity]]*(Table1[[#This Row],[Saleprice]]-Table1[[#This Row],[Costprice]])</f>
        <v>60.928900000000027</v>
      </c>
      <c r="R528">
        <f t="shared" si="42"/>
        <v>2022</v>
      </c>
      <c r="S528">
        <f t="shared" si="43"/>
        <v>6</v>
      </c>
      <c r="T528" t="str">
        <f t="shared" si="44"/>
        <v>June</v>
      </c>
    </row>
    <row r="529" spans="1:20" x14ac:dyDescent="0.3">
      <c r="A529" s="3">
        <v>44732</v>
      </c>
      <c r="B529">
        <v>109</v>
      </c>
      <c r="C529" s="3">
        <f>_xlfn.XLOOKUP(B529,Stores!A:A,Stores!E:E)</f>
        <v>44600</v>
      </c>
      <c r="D529">
        <v>214</v>
      </c>
      <c r="E529" s="3">
        <f>_xlfn.XLOOKUP(D529,SalesReps!A:A,SalesReps!D:D)</f>
        <v>44707</v>
      </c>
      <c r="F529" s="3" t="str">
        <f>_xlfn.XLOOKUP(Table1[[#This Row],[RepID]],SalesReps!A:A,SalesReps!E:E)</f>
        <v>Active</v>
      </c>
      <c r="G529">
        <v>310</v>
      </c>
      <c r="H529" t="str">
        <f>_xlfn.XLOOKUP(Table1[[#This Row],[ProductID]],Products!A:A,Products!B:B)</f>
        <v>Home &amp; Kitchen</v>
      </c>
      <c r="I529" t="str">
        <f>_xlfn.XLOOKUP(Table1[[#This Row],[ProductID]],Products!A:A,Products!C:C)</f>
        <v>Furniture</v>
      </c>
      <c r="J529">
        <v>9</v>
      </c>
      <c r="K529" s="5">
        <f>_xlfn.XLOOKUP(Table1[[#This Row],[ProductID]],Products!A:A,Products!E:E)</f>
        <v>160.31</v>
      </c>
      <c r="L529" s="5">
        <v>249.24</v>
      </c>
      <c r="M529" s="6">
        <v>0.2</v>
      </c>
      <c r="N529" t="s">
        <v>11</v>
      </c>
      <c r="O529" s="5">
        <f t="shared" si="40"/>
        <v>199.39200000000002</v>
      </c>
      <c r="P529" s="5">
        <f t="shared" si="41"/>
        <v>1794.5280000000002</v>
      </c>
      <c r="Q529" s="5">
        <f>Table1[[#This Row],[Quantity]]*(Table1[[#This Row],[Saleprice]]-Table1[[#This Row],[Costprice]])</f>
        <v>351.73800000000017</v>
      </c>
      <c r="R529">
        <f t="shared" si="42"/>
        <v>2022</v>
      </c>
      <c r="S529">
        <f t="shared" si="43"/>
        <v>6</v>
      </c>
      <c r="T529" t="str">
        <f t="shared" si="44"/>
        <v>June</v>
      </c>
    </row>
    <row r="530" spans="1:20" x14ac:dyDescent="0.3">
      <c r="A530" s="3">
        <v>44732</v>
      </c>
      <c r="B530">
        <v>101</v>
      </c>
      <c r="C530" s="3">
        <f>_xlfn.XLOOKUP(B530,Stores!A:A,Stores!E:E)</f>
        <v>44691</v>
      </c>
      <c r="D530">
        <v>206</v>
      </c>
      <c r="E530" s="3">
        <f>_xlfn.XLOOKUP(D530,SalesReps!A:A,SalesReps!D:D)</f>
        <v>44357</v>
      </c>
      <c r="F530" s="3" t="str">
        <f>_xlfn.XLOOKUP(Table1[[#This Row],[RepID]],SalesReps!A:A,SalesReps!E:E)</f>
        <v>Active</v>
      </c>
      <c r="G530">
        <v>302</v>
      </c>
      <c r="H530" t="str">
        <f>_xlfn.XLOOKUP(Table1[[#This Row],[ProductID]],Products!A:A,Products!B:B)</f>
        <v>Toys</v>
      </c>
      <c r="I530" t="str">
        <f>_xlfn.XLOOKUP(Table1[[#This Row],[ProductID]],Products!A:A,Products!C:C)</f>
        <v>Outdoor</v>
      </c>
      <c r="J530">
        <v>6</v>
      </c>
      <c r="K530" s="5">
        <f>_xlfn.XLOOKUP(Table1[[#This Row],[ProductID]],Products!A:A,Products!E:E)</f>
        <v>393.46</v>
      </c>
      <c r="L530" s="5">
        <v>426.61</v>
      </c>
      <c r="M530" s="6">
        <v>0.08</v>
      </c>
      <c r="N530" t="s">
        <v>8</v>
      </c>
      <c r="O530" s="5">
        <f t="shared" si="40"/>
        <v>392.48120000000006</v>
      </c>
      <c r="P530" s="5">
        <f t="shared" si="41"/>
        <v>2354.8872000000001</v>
      </c>
      <c r="Q530" s="5">
        <f>Table1[[#This Row],[Quantity]]*(Table1[[#This Row],[Saleprice]]-Table1[[#This Row],[Costprice]])</f>
        <v>-5.8727999999995291</v>
      </c>
      <c r="R530">
        <f t="shared" si="42"/>
        <v>2022</v>
      </c>
      <c r="S530">
        <f t="shared" si="43"/>
        <v>6</v>
      </c>
      <c r="T530" t="str">
        <f t="shared" si="44"/>
        <v>June</v>
      </c>
    </row>
    <row r="531" spans="1:20" x14ac:dyDescent="0.3">
      <c r="A531" s="3">
        <v>44733</v>
      </c>
      <c r="B531">
        <v>105</v>
      </c>
      <c r="C531" s="3">
        <f>_xlfn.XLOOKUP(B531,Stores!A:A,Stores!E:E)</f>
        <v>44161</v>
      </c>
      <c r="D531">
        <v>216</v>
      </c>
      <c r="E531" s="3">
        <f>_xlfn.XLOOKUP(D531,SalesReps!A:A,SalesReps!D:D)</f>
        <v>44672</v>
      </c>
      <c r="F531" s="3" t="str">
        <f>_xlfn.XLOOKUP(Table1[[#This Row],[RepID]],SalesReps!A:A,SalesReps!E:E)</f>
        <v>Left</v>
      </c>
      <c r="G531">
        <v>303</v>
      </c>
      <c r="H531" t="str">
        <f>_xlfn.XLOOKUP(Table1[[#This Row],[ProductID]],Products!A:A,Products!B:B)</f>
        <v>Home &amp; Kitchen</v>
      </c>
      <c r="I531" t="str">
        <f>_xlfn.XLOOKUP(Table1[[#This Row],[ProductID]],Products!A:A,Products!C:C)</f>
        <v>Furniture</v>
      </c>
      <c r="J531">
        <v>2</v>
      </c>
      <c r="K531" s="5">
        <f>_xlfn.XLOOKUP(Table1[[#This Row],[ProductID]],Products!A:A,Products!E:E)</f>
        <v>192.04</v>
      </c>
      <c r="L531" s="5">
        <v>221.37</v>
      </c>
      <c r="M531" s="6">
        <v>0.06</v>
      </c>
      <c r="N531" t="s">
        <v>10</v>
      </c>
      <c r="O531" s="5">
        <f t="shared" si="40"/>
        <v>208.08779999999999</v>
      </c>
      <c r="P531" s="5">
        <f t="shared" si="41"/>
        <v>416.17559999999997</v>
      </c>
      <c r="Q531" s="5">
        <f>Table1[[#This Row],[Quantity]]*(Table1[[#This Row],[Saleprice]]-Table1[[#This Row],[Costprice]])</f>
        <v>32.09559999999999</v>
      </c>
      <c r="R531">
        <f t="shared" si="42"/>
        <v>2022</v>
      </c>
      <c r="S531">
        <f t="shared" si="43"/>
        <v>6</v>
      </c>
      <c r="T531" t="str">
        <f t="shared" si="44"/>
        <v>June</v>
      </c>
    </row>
    <row r="532" spans="1:20" x14ac:dyDescent="0.3">
      <c r="A532" s="3">
        <v>44733</v>
      </c>
      <c r="B532">
        <v>103</v>
      </c>
      <c r="C532" s="3">
        <f>_xlfn.XLOOKUP(B532,Stores!A:A,Stores!E:E)</f>
        <v>43952</v>
      </c>
      <c r="D532">
        <v>207</v>
      </c>
      <c r="E532" s="3">
        <f>_xlfn.XLOOKUP(D532,SalesReps!A:A,SalesReps!D:D)</f>
        <v>44656</v>
      </c>
      <c r="F532" s="3" t="str">
        <f>_xlfn.XLOOKUP(Table1[[#This Row],[RepID]],SalesReps!A:A,SalesReps!E:E)</f>
        <v>Active</v>
      </c>
      <c r="G532">
        <v>303</v>
      </c>
      <c r="H532" t="str">
        <f>_xlfn.XLOOKUP(Table1[[#This Row],[ProductID]],Products!A:A,Products!B:B)</f>
        <v>Home &amp; Kitchen</v>
      </c>
      <c r="I532" t="str">
        <f>_xlfn.XLOOKUP(Table1[[#This Row],[ProductID]],Products!A:A,Products!C:C)</f>
        <v>Furniture</v>
      </c>
      <c r="J532">
        <v>2</v>
      </c>
      <c r="K532" s="5">
        <f>_xlfn.XLOOKUP(Table1[[#This Row],[ProductID]],Products!A:A,Products!E:E)</f>
        <v>192.04</v>
      </c>
      <c r="L532" s="5">
        <v>289.35000000000002</v>
      </c>
      <c r="M532" s="6">
        <v>0.22</v>
      </c>
      <c r="N532" t="s">
        <v>9</v>
      </c>
      <c r="O532" s="5">
        <f t="shared" si="40"/>
        <v>225.69300000000001</v>
      </c>
      <c r="P532" s="5">
        <f t="shared" si="41"/>
        <v>451.38600000000002</v>
      </c>
      <c r="Q532" s="5">
        <f>Table1[[#This Row],[Quantity]]*(Table1[[#This Row],[Saleprice]]-Table1[[#This Row],[Costprice]])</f>
        <v>67.30600000000004</v>
      </c>
      <c r="R532">
        <f t="shared" si="42"/>
        <v>2022</v>
      </c>
      <c r="S532">
        <f t="shared" si="43"/>
        <v>6</v>
      </c>
      <c r="T532" t="str">
        <f t="shared" si="44"/>
        <v>June</v>
      </c>
    </row>
    <row r="533" spans="1:20" x14ac:dyDescent="0.3">
      <c r="A533" s="3">
        <v>44733</v>
      </c>
      <c r="B533">
        <v>103</v>
      </c>
      <c r="C533" s="3">
        <f>_xlfn.XLOOKUP(B533,Stores!A:A,Stores!E:E)</f>
        <v>43952</v>
      </c>
      <c r="D533">
        <v>207</v>
      </c>
      <c r="E533" s="3">
        <f>_xlfn.XLOOKUP(D533,SalesReps!A:A,SalesReps!D:D)</f>
        <v>44656</v>
      </c>
      <c r="F533" s="3" t="str">
        <f>_xlfn.XLOOKUP(Table1[[#This Row],[RepID]],SalesReps!A:A,SalesReps!E:E)</f>
        <v>Active</v>
      </c>
      <c r="G533">
        <v>318</v>
      </c>
      <c r="H533" t="str">
        <f>_xlfn.XLOOKUP(Table1[[#This Row],[ProductID]],Products!A:A,Products!B:B)</f>
        <v>Electronics</v>
      </c>
      <c r="I533" t="str">
        <f>_xlfn.XLOOKUP(Table1[[#This Row],[ProductID]],Products!A:A,Products!C:C)</f>
        <v>Mobiles</v>
      </c>
      <c r="J533">
        <v>6</v>
      </c>
      <c r="K533" s="5">
        <f>_xlfn.XLOOKUP(Table1[[#This Row],[ProductID]],Products!A:A,Products!E:E)</f>
        <v>162.51</v>
      </c>
      <c r="L533" s="5">
        <v>237.02</v>
      </c>
      <c r="M533" s="6">
        <v>0.08</v>
      </c>
      <c r="N533" t="s">
        <v>9</v>
      </c>
      <c r="O533" s="5">
        <f t="shared" si="40"/>
        <v>218.05840000000001</v>
      </c>
      <c r="P533" s="5">
        <f t="shared" si="41"/>
        <v>1308.3504</v>
      </c>
      <c r="Q533" s="5">
        <f>Table1[[#This Row],[Quantity]]*(Table1[[#This Row],[Saleprice]]-Table1[[#This Row],[Costprice]])</f>
        <v>333.29040000000009</v>
      </c>
      <c r="R533">
        <f t="shared" si="42"/>
        <v>2022</v>
      </c>
      <c r="S533">
        <f t="shared" si="43"/>
        <v>6</v>
      </c>
      <c r="T533" t="str">
        <f t="shared" si="44"/>
        <v>June</v>
      </c>
    </row>
    <row r="534" spans="1:20" x14ac:dyDescent="0.3">
      <c r="A534" s="3">
        <v>44733</v>
      </c>
      <c r="B534">
        <v>106</v>
      </c>
      <c r="C534" s="3">
        <f>_xlfn.XLOOKUP(B534,Stores!A:A,Stores!E:E)</f>
        <v>43918</v>
      </c>
      <c r="D534">
        <v>212</v>
      </c>
      <c r="E534" s="3">
        <f>_xlfn.XLOOKUP(D534,SalesReps!A:A,SalesReps!D:D)</f>
        <v>44671</v>
      </c>
      <c r="F534" s="3" t="str">
        <f>_xlfn.XLOOKUP(Table1[[#This Row],[RepID]],SalesReps!A:A,SalesReps!E:E)</f>
        <v>Active</v>
      </c>
      <c r="G534">
        <v>316</v>
      </c>
      <c r="H534" t="str">
        <f>_xlfn.XLOOKUP(Table1[[#This Row],[ProductID]],Products!A:A,Products!B:B)</f>
        <v>Home &amp; Kitchen</v>
      </c>
      <c r="I534" t="str">
        <f>_xlfn.XLOOKUP(Table1[[#This Row],[ProductID]],Products!A:A,Products!C:C)</f>
        <v>Furniture</v>
      </c>
      <c r="J534">
        <v>5</v>
      </c>
      <c r="K534" s="5">
        <f>_xlfn.XLOOKUP(Table1[[#This Row],[ProductID]],Products!A:A,Products!E:E)</f>
        <v>334.95</v>
      </c>
      <c r="L534" s="5">
        <v>422.33</v>
      </c>
      <c r="M534" s="6">
        <v>0.18</v>
      </c>
      <c r="N534" t="s">
        <v>10</v>
      </c>
      <c r="O534" s="5">
        <f t="shared" si="40"/>
        <v>346.31060000000002</v>
      </c>
      <c r="P534" s="5">
        <f t="shared" si="41"/>
        <v>1731.5530000000001</v>
      </c>
      <c r="Q534" s="5">
        <f>Table1[[#This Row],[Quantity]]*(Table1[[#This Row],[Saleprice]]-Table1[[#This Row],[Costprice]])</f>
        <v>56.803000000000168</v>
      </c>
      <c r="R534">
        <f t="shared" si="42"/>
        <v>2022</v>
      </c>
      <c r="S534">
        <f t="shared" si="43"/>
        <v>6</v>
      </c>
      <c r="T534" t="str">
        <f t="shared" si="44"/>
        <v>June</v>
      </c>
    </row>
    <row r="535" spans="1:20" x14ac:dyDescent="0.3">
      <c r="A535" s="3">
        <v>44734</v>
      </c>
      <c r="B535">
        <v>105</v>
      </c>
      <c r="C535" s="3">
        <f>_xlfn.XLOOKUP(B535,Stores!A:A,Stores!E:E)</f>
        <v>44161</v>
      </c>
      <c r="D535">
        <v>216</v>
      </c>
      <c r="E535" s="3">
        <f>_xlfn.XLOOKUP(D535,SalesReps!A:A,SalesReps!D:D)</f>
        <v>44672</v>
      </c>
      <c r="F535" s="3" t="str">
        <f>_xlfn.XLOOKUP(Table1[[#This Row],[RepID]],SalesReps!A:A,SalesReps!E:E)</f>
        <v>Left</v>
      </c>
      <c r="G535">
        <v>320</v>
      </c>
      <c r="H535" t="str">
        <f>_xlfn.XLOOKUP(Table1[[#This Row],[ProductID]],Products!A:A,Products!B:B)</f>
        <v>Toys</v>
      </c>
      <c r="I535" t="str">
        <f>_xlfn.XLOOKUP(Table1[[#This Row],[ProductID]],Products!A:A,Products!C:C)</f>
        <v>Outdoor</v>
      </c>
      <c r="J535">
        <v>7</v>
      </c>
      <c r="K535" s="5">
        <f>_xlfn.XLOOKUP(Table1[[#This Row],[ProductID]],Products!A:A,Products!E:E)</f>
        <v>304.58999999999997</v>
      </c>
      <c r="L535" s="5">
        <v>350.07</v>
      </c>
      <c r="M535" s="6">
        <v>0.09</v>
      </c>
      <c r="N535" t="s">
        <v>10</v>
      </c>
      <c r="O535" s="5">
        <f t="shared" si="40"/>
        <v>318.56369999999998</v>
      </c>
      <c r="P535" s="5">
        <f t="shared" si="41"/>
        <v>2229.9458999999997</v>
      </c>
      <c r="Q535" s="5">
        <f>Table1[[#This Row],[Quantity]]*(Table1[[#This Row],[Saleprice]]-Table1[[#This Row],[Costprice]])</f>
        <v>97.815900000000056</v>
      </c>
      <c r="R535">
        <f t="shared" si="42"/>
        <v>2022</v>
      </c>
      <c r="S535">
        <f t="shared" si="43"/>
        <v>6</v>
      </c>
      <c r="T535" t="str">
        <f t="shared" si="44"/>
        <v>June</v>
      </c>
    </row>
    <row r="536" spans="1:20" x14ac:dyDescent="0.3">
      <c r="A536" s="3">
        <v>44734</v>
      </c>
      <c r="B536">
        <v>105</v>
      </c>
      <c r="C536" s="3">
        <f>_xlfn.XLOOKUP(B536,Stores!A:A,Stores!E:E)</f>
        <v>44161</v>
      </c>
      <c r="D536">
        <v>216</v>
      </c>
      <c r="E536" s="3">
        <f>_xlfn.XLOOKUP(D536,SalesReps!A:A,SalesReps!D:D)</f>
        <v>44672</v>
      </c>
      <c r="F536" s="3" t="str">
        <f>_xlfn.XLOOKUP(Table1[[#This Row],[RepID]],SalesReps!A:A,SalesReps!E:E)</f>
        <v>Left</v>
      </c>
      <c r="G536">
        <v>301</v>
      </c>
      <c r="H536" t="str">
        <f>_xlfn.XLOOKUP(Table1[[#This Row],[ProductID]],Products!A:A,Products!B:B)</f>
        <v>Electronics</v>
      </c>
      <c r="I536" t="str">
        <f>_xlfn.XLOOKUP(Table1[[#This Row],[ProductID]],Products!A:A,Products!C:C)</f>
        <v>Mobiles</v>
      </c>
      <c r="J536">
        <v>4</v>
      </c>
      <c r="K536" s="5">
        <f>_xlfn.XLOOKUP(Table1[[#This Row],[ProductID]],Products!A:A,Products!E:E)</f>
        <v>159.16</v>
      </c>
      <c r="L536" s="5">
        <v>233.25</v>
      </c>
      <c r="M536" s="6">
        <v>0.12</v>
      </c>
      <c r="N536" t="s">
        <v>10</v>
      </c>
      <c r="O536" s="5">
        <f t="shared" si="40"/>
        <v>205.26</v>
      </c>
      <c r="P536" s="5">
        <f t="shared" si="41"/>
        <v>821.04</v>
      </c>
      <c r="Q536" s="5">
        <f>Table1[[#This Row],[Quantity]]*(Table1[[#This Row],[Saleprice]]-Table1[[#This Row],[Costprice]])</f>
        <v>184.39999999999998</v>
      </c>
      <c r="R536">
        <f t="shared" si="42"/>
        <v>2022</v>
      </c>
      <c r="S536">
        <f t="shared" si="43"/>
        <v>6</v>
      </c>
      <c r="T536" t="str">
        <f t="shared" si="44"/>
        <v>June</v>
      </c>
    </row>
    <row r="537" spans="1:20" x14ac:dyDescent="0.3">
      <c r="A537" s="3">
        <v>44734</v>
      </c>
      <c r="B537">
        <v>105</v>
      </c>
      <c r="C537" s="3">
        <f>_xlfn.XLOOKUP(B537,Stores!A:A,Stores!E:E)</f>
        <v>44161</v>
      </c>
      <c r="D537">
        <v>216</v>
      </c>
      <c r="E537" s="3">
        <f>_xlfn.XLOOKUP(D537,SalesReps!A:A,SalesReps!D:D)</f>
        <v>44672</v>
      </c>
      <c r="F537" s="3" t="str">
        <f>_xlfn.XLOOKUP(Table1[[#This Row],[RepID]],SalesReps!A:A,SalesReps!E:E)</f>
        <v>Left</v>
      </c>
      <c r="G537">
        <v>309</v>
      </c>
      <c r="H537" t="str">
        <f>_xlfn.XLOOKUP(Table1[[#This Row],[ProductID]],Products!A:A,Products!B:B)</f>
        <v>Electronics</v>
      </c>
      <c r="I537" t="str">
        <f>_xlfn.XLOOKUP(Table1[[#This Row],[ProductID]],Products!A:A,Products!C:C)</f>
        <v>Laptops</v>
      </c>
      <c r="J537">
        <v>4</v>
      </c>
      <c r="K537" s="5">
        <f>_xlfn.XLOOKUP(Table1[[#This Row],[ProductID]],Products!A:A,Products!E:E)</f>
        <v>229.68</v>
      </c>
      <c r="L537" s="5">
        <v>236.4</v>
      </c>
      <c r="M537" s="6">
        <v>0.15</v>
      </c>
      <c r="N537" t="s">
        <v>10</v>
      </c>
      <c r="O537" s="5">
        <f t="shared" si="40"/>
        <v>200.94</v>
      </c>
      <c r="P537" s="5">
        <f t="shared" si="41"/>
        <v>803.76</v>
      </c>
      <c r="Q537" s="5">
        <f>Table1[[#This Row],[Quantity]]*(Table1[[#This Row],[Saleprice]]-Table1[[#This Row],[Costprice]])</f>
        <v>-114.96000000000004</v>
      </c>
      <c r="R537">
        <f t="shared" si="42"/>
        <v>2022</v>
      </c>
      <c r="S537">
        <f t="shared" si="43"/>
        <v>6</v>
      </c>
      <c r="T537" t="str">
        <f t="shared" si="44"/>
        <v>June</v>
      </c>
    </row>
    <row r="538" spans="1:20" x14ac:dyDescent="0.3">
      <c r="A538" s="3">
        <v>44735</v>
      </c>
      <c r="B538">
        <v>103</v>
      </c>
      <c r="C538" s="3">
        <f>_xlfn.XLOOKUP(B538,Stores!A:A,Stores!E:E)</f>
        <v>43952</v>
      </c>
      <c r="D538">
        <v>207</v>
      </c>
      <c r="E538" s="3">
        <f>_xlfn.XLOOKUP(D538,SalesReps!A:A,SalesReps!D:D)</f>
        <v>44656</v>
      </c>
      <c r="F538" s="3" t="str">
        <f>_xlfn.XLOOKUP(Table1[[#This Row],[RepID]],SalesReps!A:A,SalesReps!E:E)</f>
        <v>Active</v>
      </c>
      <c r="G538">
        <v>308</v>
      </c>
      <c r="H538" t="str">
        <f>_xlfn.XLOOKUP(Table1[[#This Row],[ProductID]],Products!A:A,Products!B:B)</f>
        <v>Home &amp; Kitchen</v>
      </c>
      <c r="I538" t="str">
        <f>_xlfn.XLOOKUP(Table1[[#This Row],[ProductID]],Products!A:A,Products!C:C)</f>
        <v>Furniture</v>
      </c>
      <c r="J538">
        <v>2</v>
      </c>
      <c r="K538" s="5">
        <f>_xlfn.XLOOKUP(Table1[[#This Row],[ProductID]],Products!A:A,Products!E:E)</f>
        <v>377.46</v>
      </c>
      <c r="L538" s="5">
        <v>474.17</v>
      </c>
      <c r="M538" s="6">
        <v>0.16</v>
      </c>
      <c r="N538" t="s">
        <v>9</v>
      </c>
      <c r="O538" s="5">
        <f t="shared" si="40"/>
        <v>398.30279999999999</v>
      </c>
      <c r="P538" s="5">
        <f t="shared" si="41"/>
        <v>796.60559999999998</v>
      </c>
      <c r="Q538" s="5">
        <f>Table1[[#This Row],[Quantity]]*(Table1[[#This Row],[Saleprice]]-Table1[[#This Row],[Costprice]])</f>
        <v>41.685600000000022</v>
      </c>
      <c r="R538">
        <f t="shared" si="42"/>
        <v>2022</v>
      </c>
      <c r="S538">
        <f t="shared" si="43"/>
        <v>6</v>
      </c>
      <c r="T538" t="str">
        <f t="shared" si="44"/>
        <v>June</v>
      </c>
    </row>
    <row r="539" spans="1:20" x14ac:dyDescent="0.3">
      <c r="A539" s="3">
        <v>44735</v>
      </c>
      <c r="B539">
        <v>103</v>
      </c>
      <c r="C539" s="3">
        <f>_xlfn.XLOOKUP(B539,Stores!A:A,Stores!E:E)</f>
        <v>43952</v>
      </c>
      <c r="D539">
        <v>207</v>
      </c>
      <c r="E539" s="3">
        <f>_xlfn.XLOOKUP(D539,SalesReps!A:A,SalesReps!D:D)</f>
        <v>44656</v>
      </c>
      <c r="F539" s="3" t="str">
        <f>_xlfn.XLOOKUP(Table1[[#This Row],[RepID]],SalesReps!A:A,SalesReps!E:E)</f>
        <v>Active</v>
      </c>
      <c r="G539">
        <v>311</v>
      </c>
      <c r="H539" t="str">
        <f>_xlfn.XLOOKUP(Table1[[#This Row],[ProductID]],Products!A:A,Products!B:B)</f>
        <v>Home &amp; Kitchen</v>
      </c>
      <c r="I539" t="str">
        <f>_xlfn.XLOOKUP(Table1[[#This Row],[ProductID]],Products!A:A,Products!C:C)</f>
        <v>Furniture</v>
      </c>
      <c r="J539">
        <v>2</v>
      </c>
      <c r="K539" s="5">
        <f>_xlfn.XLOOKUP(Table1[[#This Row],[ProductID]],Products!A:A,Products!E:E)</f>
        <v>16.23</v>
      </c>
      <c r="L539" s="5">
        <v>50.27</v>
      </c>
      <c r="M539" s="6">
        <v>0.09</v>
      </c>
      <c r="N539" t="s">
        <v>9</v>
      </c>
      <c r="O539" s="5">
        <f t="shared" si="40"/>
        <v>45.745700000000006</v>
      </c>
      <c r="P539" s="5">
        <f t="shared" si="41"/>
        <v>91.491400000000013</v>
      </c>
      <c r="Q539" s="5">
        <f>Table1[[#This Row],[Quantity]]*(Table1[[#This Row],[Saleprice]]-Table1[[#This Row],[Costprice]])</f>
        <v>59.031400000000012</v>
      </c>
      <c r="R539">
        <f t="shared" si="42"/>
        <v>2022</v>
      </c>
      <c r="S539">
        <f t="shared" si="43"/>
        <v>6</v>
      </c>
      <c r="T539" t="str">
        <f t="shared" si="44"/>
        <v>June</v>
      </c>
    </row>
    <row r="540" spans="1:20" x14ac:dyDescent="0.3">
      <c r="A540" s="3">
        <v>44735</v>
      </c>
      <c r="B540">
        <v>103</v>
      </c>
      <c r="C540" s="3">
        <f>_xlfn.XLOOKUP(B540,Stores!A:A,Stores!E:E)</f>
        <v>43952</v>
      </c>
      <c r="D540">
        <v>207</v>
      </c>
      <c r="E540" s="3">
        <f>_xlfn.XLOOKUP(D540,SalesReps!A:A,SalesReps!D:D)</f>
        <v>44656</v>
      </c>
      <c r="F540" s="3" t="str">
        <f>_xlfn.XLOOKUP(Table1[[#This Row],[RepID]],SalesReps!A:A,SalesReps!E:E)</f>
        <v>Active</v>
      </c>
      <c r="G540">
        <v>313</v>
      </c>
      <c r="H540" t="str">
        <f>_xlfn.XLOOKUP(Table1[[#This Row],[ProductID]],Products!A:A,Products!B:B)</f>
        <v>Clothing</v>
      </c>
      <c r="I540" t="str">
        <f>_xlfn.XLOOKUP(Table1[[#This Row],[ProductID]],Products!A:A,Products!C:C)</f>
        <v>Women</v>
      </c>
      <c r="J540">
        <v>4</v>
      </c>
      <c r="K540" s="5">
        <f>_xlfn.XLOOKUP(Table1[[#This Row],[ProductID]],Products!A:A,Products!E:E)</f>
        <v>104</v>
      </c>
      <c r="L540" s="5">
        <v>132.77000000000001</v>
      </c>
      <c r="M540" s="6">
        <v>0.06</v>
      </c>
      <c r="N540" t="s">
        <v>9</v>
      </c>
      <c r="O540" s="5">
        <f t="shared" si="40"/>
        <v>124.80380000000001</v>
      </c>
      <c r="P540" s="5">
        <f t="shared" si="41"/>
        <v>499.21520000000004</v>
      </c>
      <c r="Q540" s="5">
        <f>Table1[[#This Row],[Quantity]]*(Table1[[#This Row],[Saleprice]]-Table1[[#This Row],[Costprice]])</f>
        <v>83.215200000000038</v>
      </c>
      <c r="R540">
        <f t="shared" si="42"/>
        <v>2022</v>
      </c>
      <c r="S540">
        <f t="shared" si="43"/>
        <v>6</v>
      </c>
      <c r="T540" t="str">
        <f t="shared" si="44"/>
        <v>June</v>
      </c>
    </row>
    <row r="541" spans="1:20" x14ac:dyDescent="0.3">
      <c r="A541" s="3">
        <v>44735</v>
      </c>
      <c r="B541">
        <v>105</v>
      </c>
      <c r="C541" s="3">
        <f>_xlfn.XLOOKUP(B541,Stores!A:A,Stores!E:E)</f>
        <v>44161</v>
      </c>
      <c r="D541">
        <v>216</v>
      </c>
      <c r="E541" s="3">
        <f>_xlfn.XLOOKUP(D541,SalesReps!A:A,SalesReps!D:D)</f>
        <v>44672</v>
      </c>
      <c r="F541" s="3" t="str">
        <f>_xlfn.XLOOKUP(Table1[[#This Row],[RepID]],SalesReps!A:A,SalesReps!E:E)</f>
        <v>Left</v>
      </c>
      <c r="G541">
        <v>320</v>
      </c>
      <c r="H541" t="str">
        <f>_xlfn.XLOOKUP(Table1[[#This Row],[ProductID]],Products!A:A,Products!B:B)</f>
        <v>Toys</v>
      </c>
      <c r="I541" t="str">
        <f>_xlfn.XLOOKUP(Table1[[#This Row],[ProductID]],Products!A:A,Products!C:C)</f>
        <v>Outdoor</v>
      </c>
      <c r="J541">
        <v>2</v>
      </c>
      <c r="K541" s="5">
        <f>_xlfn.XLOOKUP(Table1[[#This Row],[ProductID]],Products!A:A,Products!E:E)</f>
        <v>304.58999999999997</v>
      </c>
      <c r="L541" s="5">
        <v>350.07</v>
      </c>
      <c r="M541" s="6">
        <v>0.09</v>
      </c>
      <c r="N541" t="s">
        <v>10</v>
      </c>
      <c r="O541" s="5">
        <f t="shared" si="40"/>
        <v>318.56369999999998</v>
      </c>
      <c r="P541" s="5">
        <f t="shared" si="41"/>
        <v>637.12739999999997</v>
      </c>
      <c r="Q541" s="5">
        <f>Table1[[#This Row],[Quantity]]*(Table1[[#This Row],[Saleprice]]-Table1[[#This Row],[Costprice]])</f>
        <v>27.947400000000016</v>
      </c>
      <c r="R541">
        <f t="shared" si="42"/>
        <v>2022</v>
      </c>
      <c r="S541">
        <f t="shared" si="43"/>
        <v>6</v>
      </c>
      <c r="T541" t="str">
        <f t="shared" si="44"/>
        <v>June</v>
      </c>
    </row>
    <row r="542" spans="1:20" x14ac:dyDescent="0.3">
      <c r="A542" s="3">
        <v>44735</v>
      </c>
      <c r="B542">
        <v>105</v>
      </c>
      <c r="C542" s="3">
        <f>_xlfn.XLOOKUP(B542,Stores!A:A,Stores!E:E)</f>
        <v>44161</v>
      </c>
      <c r="D542">
        <v>216</v>
      </c>
      <c r="E542" s="3">
        <f>_xlfn.XLOOKUP(D542,SalesReps!A:A,SalesReps!D:D)</f>
        <v>44672</v>
      </c>
      <c r="F542" s="3" t="str">
        <f>_xlfn.XLOOKUP(Table1[[#This Row],[RepID]],SalesReps!A:A,SalesReps!E:E)</f>
        <v>Left</v>
      </c>
      <c r="G542">
        <v>312</v>
      </c>
      <c r="H542" t="str">
        <f>_xlfn.XLOOKUP(Table1[[#This Row],[ProductID]],Products!A:A,Products!B:B)</f>
        <v>Toys</v>
      </c>
      <c r="I542" t="str">
        <f>_xlfn.XLOOKUP(Table1[[#This Row],[ProductID]],Products!A:A,Products!C:C)</f>
        <v>Board Games</v>
      </c>
      <c r="J542">
        <v>9</v>
      </c>
      <c r="K542" s="5">
        <f>_xlfn.XLOOKUP(Table1[[#This Row],[ProductID]],Products!A:A,Products!E:E)</f>
        <v>100.05</v>
      </c>
      <c r="L542" s="5">
        <v>105.54</v>
      </c>
      <c r="M542" s="6">
        <v>0.18</v>
      </c>
      <c r="N542" t="s">
        <v>10</v>
      </c>
      <c r="O542" s="5">
        <f t="shared" si="40"/>
        <v>86.542800000000014</v>
      </c>
      <c r="P542" s="5">
        <f t="shared" si="41"/>
        <v>778.88520000000017</v>
      </c>
      <c r="Q542" s="5">
        <f>Table1[[#This Row],[Quantity]]*(Table1[[#This Row],[Saleprice]]-Table1[[#This Row],[Costprice]])</f>
        <v>-121.56479999999985</v>
      </c>
      <c r="R542">
        <f t="shared" si="42"/>
        <v>2022</v>
      </c>
      <c r="S542">
        <f t="shared" si="43"/>
        <v>6</v>
      </c>
      <c r="T542" t="str">
        <f t="shared" si="44"/>
        <v>June</v>
      </c>
    </row>
    <row r="543" spans="1:20" x14ac:dyDescent="0.3">
      <c r="A543" s="3">
        <v>44735</v>
      </c>
      <c r="B543">
        <v>101</v>
      </c>
      <c r="C543" s="3">
        <f>_xlfn.XLOOKUP(B543,Stores!A:A,Stores!E:E)</f>
        <v>44691</v>
      </c>
      <c r="D543">
        <v>206</v>
      </c>
      <c r="E543" s="3">
        <f>_xlfn.XLOOKUP(D543,SalesReps!A:A,SalesReps!D:D)</f>
        <v>44357</v>
      </c>
      <c r="F543" s="3" t="str">
        <f>_xlfn.XLOOKUP(Table1[[#This Row],[RepID]],SalesReps!A:A,SalesReps!E:E)</f>
        <v>Active</v>
      </c>
      <c r="G543">
        <v>310</v>
      </c>
      <c r="H543" t="str">
        <f>_xlfn.XLOOKUP(Table1[[#This Row],[ProductID]],Products!A:A,Products!B:B)</f>
        <v>Home &amp; Kitchen</v>
      </c>
      <c r="I543" t="str">
        <f>_xlfn.XLOOKUP(Table1[[#This Row],[ProductID]],Products!A:A,Products!C:C)</f>
        <v>Furniture</v>
      </c>
      <c r="J543">
        <v>3</v>
      </c>
      <c r="K543" s="5">
        <f>_xlfn.XLOOKUP(Table1[[#This Row],[ProductID]],Products!A:A,Products!E:E)</f>
        <v>160.31</v>
      </c>
      <c r="L543" s="5">
        <v>258.3</v>
      </c>
      <c r="M543" s="6">
        <v>0.15</v>
      </c>
      <c r="N543" t="s">
        <v>8</v>
      </c>
      <c r="O543" s="5">
        <f t="shared" si="40"/>
        <v>219.55500000000001</v>
      </c>
      <c r="P543" s="5">
        <f t="shared" si="41"/>
        <v>658.66499999999996</v>
      </c>
      <c r="Q543" s="5">
        <f>Table1[[#This Row],[Quantity]]*(Table1[[#This Row],[Saleprice]]-Table1[[#This Row],[Costprice]])</f>
        <v>177.73500000000001</v>
      </c>
      <c r="R543">
        <f t="shared" si="42"/>
        <v>2022</v>
      </c>
      <c r="S543">
        <f t="shared" si="43"/>
        <v>6</v>
      </c>
      <c r="T543" t="str">
        <f t="shared" si="44"/>
        <v>June</v>
      </c>
    </row>
    <row r="544" spans="1:20" x14ac:dyDescent="0.3">
      <c r="A544" s="3">
        <v>44736</v>
      </c>
      <c r="B544">
        <v>106</v>
      </c>
      <c r="C544" s="3">
        <f>_xlfn.XLOOKUP(B544,Stores!A:A,Stores!E:E)</f>
        <v>43918</v>
      </c>
      <c r="D544">
        <v>212</v>
      </c>
      <c r="E544" s="3">
        <f>_xlfn.XLOOKUP(D544,SalesReps!A:A,SalesReps!D:D)</f>
        <v>44671</v>
      </c>
      <c r="F544" s="3" t="str">
        <f>_xlfn.XLOOKUP(Table1[[#This Row],[RepID]],SalesReps!A:A,SalesReps!E:E)</f>
        <v>Active</v>
      </c>
      <c r="G544">
        <v>308</v>
      </c>
      <c r="H544" t="str">
        <f>_xlfn.XLOOKUP(Table1[[#This Row],[ProductID]],Products!A:A,Products!B:B)</f>
        <v>Home &amp; Kitchen</v>
      </c>
      <c r="I544" t="str">
        <f>_xlfn.XLOOKUP(Table1[[#This Row],[ProductID]],Products!A:A,Products!C:C)</f>
        <v>Furniture</v>
      </c>
      <c r="J544">
        <v>7</v>
      </c>
      <c r="K544" s="5">
        <f>_xlfn.XLOOKUP(Table1[[#This Row],[ProductID]],Products!A:A,Products!E:E)</f>
        <v>377.46</v>
      </c>
      <c r="L544" s="5">
        <v>462.89</v>
      </c>
      <c r="M544" s="6">
        <v>0.22</v>
      </c>
      <c r="N544" t="s">
        <v>10</v>
      </c>
      <c r="O544" s="5">
        <f t="shared" si="40"/>
        <v>361.05419999999998</v>
      </c>
      <c r="P544" s="5">
        <f t="shared" si="41"/>
        <v>2527.3793999999998</v>
      </c>
      <c r="Q544" s="5">
        <f>Table1[[#This Row],[Quantity]]*(Table1[[#This Row],[Saleprice]]-Table1[[#This Row],[Costprice]])</f>
        <v>-114.84059999999999</v>
      </c>
      <c r="R544">
        <f t="shared" si="42"/>
        <v>2022</v>
      </c>
      <c r="S544">
        <f t="shared" si="43"/>
        <v>6</v>
      </c>
      <c r="T544" t="str">
        <f t="shared" si="44"/>
        <v>June</v>
      </c>
    </row>
    <row r="545" spans="1:20" x14ac:dyDescent="0.3">
      <c r="A545" s="3">
        <v>44736</v>
      </c>
      <c r="B545">
        <v>103</v>
      </c>
      <c r="C545" s="3">
        <f>_xlfn.XLOOKUP(B545,Stores!A:A,Stores!E:E)</f>
        <v>43952</v>
      </c>
      <c r="D545">
        <v>207</v>
      </c>
      <c r="E545" s="3">
        <f>_xlfn.XLOOKUP(D545,SalesReps!A:A,SalesReps!D:D)</f>
        <v>44656</v>
      </c>
      <c r="F545" s="3" t="str">
        <f>_xlfn.XLOOKUP(Table1[[#This Row],[RepID]],SalesReps!A:A,SalesReps!E:E)</f>
        <v>Active</v>
      </c>
      <c r="G545">
        <v>306</v>
      </c>
      <c r="H545" t="str">
        <f>_xlfn.XLOOKUP(Table1[[#This Row],[ProductID]],Products!A:A,Products!B:B)</f>
        <v>Clothing</v>
      </c>
      <c r="I545" t="str">
        <f>_xlfn.XLOOKUP(Table1[[#This Row],[ProductID]],Products!A:A,Products!C:C)</f>
        <v>Men</v>
      </c>
      <c r="J545">
        <v>1</v>
      </c>
      <c r="K545" s="5">
        <f>_xlfn.XLOOKUP(Table1[[#This Row],[ProductID]],Products!A:A,Products!E:E)</f>
        <v>185.69</v>
      </c>
      <c r="L545" s="5">
        <v>250.95</v>
      </c>
      <c r="M545" s="6">
        <v>0.19</v>
      </c>
      <c r="N545" t="s">
        <v>9</v>
      </c>
      <c r="O545" s="5">
        <f t="shared" si="40"/>
        <v>203.26949999999999</v>
      </c>
      <c r="P545" s="5">
        <f t="shared" si="41"/>
        <v>203.26949999999999</v>
      </c>
      <c r="Q545" s="5">
        <f>Table1[[#This Row],[Quantity]]*(Table1[[#This Row],[Saleprice]]-Table1[[#This Row],[Costprice]])</f>
        <v>17.579499999999996</v>
      </c>
      <c r="R545">
        <f t="shared" si="42"/>
        <v>2022</v>
      </c>
      <c r="S545">
        <f t="shared" si="43"/>
        <v>6</v>
      </c>
      <c r="T545" t="str">
        <f t="shared" si="44"/>
        <v>June</v>
      </c>
    </row>
    <row r="546" spans="1:20" x14ac:dyDescent="0.3">
      <c r="A546" s="3">
        <v>44736</v>
      </c>
      <c r="B546">
        <v>101</v>
      </c>
      <c r="C546" s="3">
        <f>_xlfn.XLOOKUP(B546,Stores!A:A,Stores!E:E)</f>
        <v>44691</v>
      </c>
      <c r="D546">
        <v>206</v>
      </c>
      <c r="E546" s="3">
        <f>_xlfn.XLOOKUP(D546,SalesReps!A:A,SalesReps!D:D)</f>
        <v>44357</v>
      </c>
      <c r="F546" s="3" t="str">
        <f>_xlfn.XLOOKUP(Table1[[#This Row],[RepID]],SalesReps!A:A,SalesReps!E:E)</f>
        <v>Active</v>
      </c>
      <c r="G546">
        <v>313</v>
      </c>
      <c r="H546" t="str">
        <f>_xlfn.XLOOKUP(Table1[[#This Row],[ProductID]],Products!A:A,Products!B:B)</f>
        <v>Clothing</v>
      </c>
      <c r="I546" t="str">
        <f>_xlfn.XLOOKUP(Table1[[#This Row],[ProductID]],Products!A:A,Products!C:C)</f>
        <v>Women</v>
      </c>
      <c r="J546">
        <v>9</v>
      </c>
      <c r="K546" s="5">
        <f>_xlfn.XLOOKUP(Table1[[#This Row],[ProductID]],Products!A:A,Products!E:E)</f>
        <v>104</v>
      </c>
      <c r="L546" s="5">
        <v>123.73</v>
      </c>
      <c r="M546" s="6">
        <v>0.25</v>
      </c>
      <c r="N546" t="s">
        <v>8</v>
      </c>
      <c r="O546" s="5">
        <f t="shared" si="40"/>
        <v>92.797499999999999</v>
      </c>
      <c r="P546" s="5">
        <f t="shared" si="41"/>
        <v>835.17750000000001</v>
      </c>
      <c r="Q546" s="5">
        <f>Table1[[#This Row],[Quantity]]*(Table1[[#This Row],[Saleprice]]-Table1[[#This Row],[Costprice]])</f>
        <v>-100.82250000000001</v>
      </c>
      <c r="R546">
        <f t="shared" si="42"/>
        <v>2022</v>
      </c>
      <c r="S546">
        <f t="shared" si="43"/>
        <v>6</v>
      </c>
      <c r="T546" t="str">
        <f t="shared" si="44"/>
        <v>June</v>
      </c>
    </row>
    <row r="547" spans="1:20" x14ac:dyDescent="0.3">
      <c r="A547" s="3">
        <v>44736</v>
      </c>
      <c r="B547">
        <v>103</v>
      </c>
      <c r="C547" s="3">
        <f>_xlfn.XLOOKUP(B547,Stores!A:A,Stores!E:E)</f>
        <v>43952</v>
      </c>
      <c r="D547">
        <v>207</v>
      </c>
      <c r="E547" s="3">
        <f>_xlfn.XLOOKUP(D547,SalesReps!A:A,SalesReps!D:D)</f>
        <v>44656</v>
      </c>
      <c r="F547" s="3" t="str">
        <f>_xlfn.XLOOKUP(Table1[[#This Row],[RepID]],SalesReps!A:A,SalesReps!E:E)</f>
        <v>Active</v>
      </c>
      <c r="G547">
        <v>312</v>
      </c>
      <c r="H547" t="str">
        <f>_xlfn.XLOOKUP(Table1[[#This Row],[ProductID]],Products!A:A,Products!B:B)</f>
        <v>Toys</v>
      </c>
      <c r="I547" t="str">
        <f>_xlfn.XLOOKUP(Table1[[#This Row],[ProductID]],Products!A:A,Products!C:C)</f>
        <v>Board Games</v>
      </c>
      <c r="J547">
        <v>8</v>
      </c>
      <c r="K547" s="5">
        <f>_xlfn.XLOOKUP(Table1[[#This Row],[ProductID]],Products!A:A,Products!E:E)</f>
        <v>100.05</v>
      </c>
      <c r="L547" s="5">
        <v>144.93</v>
      </c>
      <c r="M547" s="6">
        <v>0.1</v>
      </c>
      <c r="N547" t="s">
        <v>9</v>
      </c>
      <c r="O547" s="5">
        <f t="shared" si="40"/>
        <v>130.43700000000001</v>
      </c>
      <c r="P547" s="5">
        <f t="shared" si="41"/>
        <v>1043.4960000000001</v>
      </c>
      <c r="Q547" s="5">
        <f>Table1[[#This Row],[Quantity]]*(Table1[[#This Row],[Saleprice]]-Table1[[#This Row],[Costprice]])</f>
        <v>243.09600000000012</v>
      </c>
      <c r="R547">
        <f t="shared" si="42"/>
        <v>2022</v>
      </c>
      <c r="S547">
        <f t="shared" si="43"/>
        <v>6</v>
      </c>
      <c r="T547" t="str">
        <f t="shared" si="44"/>
        <v>June</v>
      </c>
    </row>
    <row r="548" spans="1:20" x14ac:dyDescent="0.3">
      <c r="A548" s="3">
        <v>44736</v>
      </c>
      <c r="B548">
        <v>103</v>
      </c>
      <c r="C548" s="3">
        <f>_xlfn.XLOOKUP(B548,Stores!A:A,Stores!E:E)</f>
        <v>43952</v>
      </c>
      <c r="D548">
        <v>207</v>
      </c>
      <c r="E548" s="3">
        <f>_xlfn.XLOOKUP(D548,SalesReps!A:A,SalesReps!D:D)</f>
        <v>44656</v>
      </c>
      <c r="F548" s="3" t="str">
        <f>_xlfn.XLOOKUP(Table1[[#This Row],[RepID]],SalesReps!A:A,SalesReps!E:E)</f>
        <v>Active</v>
      </c>
      <c r="G548">
        <v>306</v>
      </c>
      <c r="H548" t="str">
        <f>_xlfn.XLOOKUP(Table1[[#This Row],[ProductID]],Products!A:A,Products!B:B)</f>
        <v>Clothing</v>
      </c>
      <c r="I548" t="str">
        <f>_xlfn.XLOOKUP(Table1[[#This Row],[ProductID]],Products!A:A,Products!C:C)</f>
        <v>Men</v>
      </c>
      <c r="J548">
        <v>2</v>
      </c>
      <c r="K548" s="5">
        <f>_xlfn.XLOOKUP(Table1[[#This Row],[ProductID]],Products!A:A,Products!E:E)</f>
        <v>185.69</v>
      </c>
      <c r="L548" s="5">
        <v>250.95</v>
      </c>
      <c r="M548" s="6">
        <v>0.19</v>
      </c>
      <c r="N548" t="s">
        <v>9</v>
      </c>
      <c r="O548" s="5">
        <f t="shared" si="40"/>
        <v>203.26949999999999</v>
      </c>
      <c r="P548" s="5">
        <f t="shared" si="41"/>
        <v>406.53899999999999</v>
      </c>
      <c r="Q548" s="5">
        <f>Table1[[#This Row],[Quantity]]*(Table1[[#This Row],[Saleprice]]-Table1[[#This Row],[Costprice]])</f>
        <v>35.158999999999992</v>
      </c>
      <c r="R548">
        <f t="shared" si="42"/>
        <v>2022</v>
      </c>
      <c r="S548">
        <f t="shared" si="43"/>
        <v>6</v>
      </c>
      <c r="T548" t="str">
        <f t="shared" si="44"/>
        <v>June</v>
      </c>
    </row>
    <row r="549" spans="1:20" x14ac:dyDescent="0.3">
      <c r="A549" s="3">
        <v>44736</v>
      </c>
      <c r="B549">
        <v>101</v>
      </c>
      <c r="C549" s="3">
        <f>_xlfn.XLOOKUP(B549,Stores!A:A,Stores!E:E)</f>
        <v>44691</v>
      </c>
      <c r="D549">
        <v>206</v>
      </c>
      <c r="E549" s="3">
        <f>_xlfn.XLOOKUP(D549,SalesReps!A:A,SalesReps!D:D)</f>
        <v>44357</v>
      </c>
      <c r="F549" s="3" t="str">
        <f>_xlfn.XLOOKUP(Table1[[#This Row],[RepID]],SalesReps!A:A,SalesReps!E:E)</f>
        <v>Active</v>
      </c>
      <c r="G549">
        <v>317</v>
      </c>
      <c r="H549" t="str">
        <f>_xlfn.XLOOKUP(Table1[[#This Row],[ProductID]],Products!A:A,Products!B:B)</f>
        <v>Toys</v>
      </c>
      <c r="I549" t="str">
        <f>_xlfn.XLOOKUP(Table1[[#This Row],[ProductID]],Products!A:A,Products!C:C)</f>
        <v>Educational</v>
      </c>
      <c r="J549">
        <v>2</v>
      </c>
      <c r="K549" s="5">
        <f>_xlfn.XLOOKUP(Table1[[#This Row],[ProductID]],Products!A:A,Products!E:E)</f>
        <v>77.61</v>
      </c>
      <c r="L549" s="5">
        <v>144.5</v>
      </c>
      <c r="M549" s="6">
        <v>0.09</v>
      </c>
      <c r="N549" t="s">
        <v>8</v>
      </c>
      <c r="O549" s="5">
        <f t="shared" si="40"/>
        <v>131.495</v>
      </c>
      <c r="P549" s="5">
        <f t="shared" si="41"/>
        <v>262.99</v>
      </c>
      <c r="Q549" s="5">
        <f>Table1[[#This Row],[Quantity]]*(Table1[[#This Row],[Saleprice]]-Table1[[#This Row],[Costprice]])</f>
        <v>107.77000000000001</v>
      </c>
      <c r="R549">
        <f t="shared" si="42"/>
        <v>2022</v>
      </c>
      <c r="S549">
        <f t="shared" si="43"/>
        <v>6</v>
      </c>
      <c r="T549" t="str">
        <f t="shared" si="44"/>
        <v>June</v>
      </c>
    </row>
    <row r="550" spans="1:20" x14ac:dyDescent="0.3">
      <c r="A550" s="3">
        <v>44737</v>
      </c>
      <c r="B550">
        <v>103</v>
      </c>
      <c r="C550" s="3">
        <f>_xlfn.XLOOKUP(B550,Stores!A:A,Stores!E:E)</f>
        <v>43952</v>
      </c>
      <c r="D550">
        <v>207</v>
      </c>
      <c r="E550" s="3">
        <f>_xlfn.XLOOKUP(D550,SalesReps!A:A,SalesReps!D:D)</f>
        <v>44656</v>
      </c>
      <c r="F550" s="3" t="str">
        <f>_xlfn.XLOOKUP(Table1[[#This Row],[RepID]],SalesReps!A:A,SalesReps!E:E)</f>
        <v>Active</v>
      </c>
      <c r="G550">
        <v>319</v>
      </c>
      <c r="H550" t="str">
        <f>_xlfn.XLOOKUP(Table1[[#This Row],[ProductID]],Products!A:A,Products!B:B)</f>
        <v>Toys</v>
      </c>
      <c r="I550" t="str">
        <f>_xlfn.XLOOKUP(Table1[[#This Row],[ProductID]],Products!A:A,Products!C:C)</f>
        <v>Board Games</v>
      </c>
      <c r="J550">
        <v>8</v>
      </c>
      <c r="K550" s="5">
        <f>_xlfn.XLOOKUP(Table1[[#This Row],[ProductID]],Products!A:A,Products!E:E)</f>
        <v>81.069999999999993</v>
      </c>
      <c r="L550" s="5">
        <v>176.97</v>
      </c>
      <c r="M550" s="6">
        <v>0.19</v>
      </c>
      <c r="N550" t="s">
        <v>9</v>
      </c>
      <c r="O550" s="5">
        <f t="shared" si="40"/>
        <v>143.34570000000002</v>
      </c>
      <c r="P550" s="5">
        <f t="shared" si="41"/>
        <v>1146.7656000000002</v>
      </c>
      <c r="Q550" s="5">
        <f>Table1[[#This Row],[Quantity]]*(Table1[[#This Row],[Saleprice]]-Table1[[#This Row],[Costprice]])</f>
        <v>498.20560000000023</v>
      </c>
      <c r="R550">
        <f t="shared" si="42"/>
        <v>2022</v>
      </c>
      <c r="S550">
        <f t="shared" si="43"/>
        <v>6</v>
      </c>
      <c r="T550" t="str">
        <f t="shared" si="44"/>
        <v>June</v>
      </c>
    </row>
    <row r="551" spans="1:20" x14ac:dyDescent="0.3">
      <c r="A551" s="3">
        <v>44737</v>
      </c>
      <c r="B551">
        <v>103</v>
      </c>
      <c r="C551" s="3">
        <f>_xlfn.XLOOKUP(B551,Stores!A:A,Stores!E:E)</f>
        <v>43952</v>
      </c>
      <c r="D551">
        <v>207</v>
      </c>
      <c r="E551" s="3">
        <f>_xlfn.XLOOKUP(D551,SalesReps!A:A,SalesReps!D:D)</f>
        <v>44656</v>
      </c>
      <c r="F551" s="3" t="str">
        <f>_xlfn.XLOOKUP(Table1[[#This Row],[RepID]],SalesReps!A:A,SalesReps!E:E)</f>
        <v>Active</v>
      </c>
      <c r="G551">
        <v>304</v>
      </c>
      <c r="H551" t="str">
        <f>_xlfn.XLOOKUP(Table1[[#This Row],[ProductID]],Products!A:A,Products!B:B)</f>
        <v>Home &amp; Kitchen</v>
      </c>
      <c r="I551" t="str">
        <f>_xlfn.XLOOKUP(Table1[[#This Row],[ProductID]],Products!A:A,Products!C:C)</f>
        <v>Furniture</v>
      </c>
      <c r="J551">
        <v>1</v>
      </c>
      <c r="K551" s="5">
        <f>_xlfn.XLOOKUP(Table1[[#This Row],[ProductID]],Products!A:A,Products!E:E)</f>
        <v>345.38</v>
      </c>
      <c r="L551" s="5">
        <v>416.38</v>
      </c>
      <c r="M551" s="6">
        <v>0.23</v>
      </c>
      <c r="N551" t="s">
        <v>9</v>
      </c>
      <c r="O551" s="5">
        <f t="shared" si="40"/>
        <v>320.61259999999999</v>
      </c>
      <c r="P551" s="5">
        <f t="shared" si="41"/>
        <v>320.61259999999999</v>
      </c>
      <c r="Q551" s="5">
        <f>Table1[[#This Row],[Quantity]]*(Table1[[#This Row],[Saleprice]]-Table1[[#This Row],[Costprice]])</f>
        <v>-24.767400000000009</v>
      </c>
      <c r="R551">
        <f t="shared" si="42"/>
        <v>2022</v>
      </c>
      <c r="S551">
        <f t="shared" si="43"/>
        <v>6</v>
      </c>
      <c r="T551" t="str">
        <f t="shared" si="44"/>
        <v>June</v>
      </c>
    </row>
    <row r="552" spans="1:20" x14ac:dyDescent="0.3">
      <c r="A552" s="3">
        <v>44737</v>
      </c>
      <c r="B552">
        <v>103</v>
      </c>
      <c r="C552" s="3">
        <f>_xlfn.XLOOKUP(B552,Stores!A:A,Stores!E:E)</f>
        <v>43952</v>
      </c>
      <c r="D552">
        <v>207</v>
      </c>
      <c r="E552" s="3">
        <f>_xlfn.XLOOKUP(D552,SalesReps!A:A,SalesReps!D:D)</f>
        <v>44656</v>
      </c>
      <c r="F552" s="3" t="str">
        <f>_xlfn.XLOOKUP(Table1[[#This Row],[RepID]],SalesReps!A:A,SalesReps!E:E)</f>
        <v>Active</v>
      </c>
      <c r="G552">
        <v>309</v>
      </c>
      <c r="H552" t="str">
        <f>_xlfn.XLOOKUP(Table1[[#This Row],[ProductID]],Products!A:A,Products!B:B)</f>
        <v>Electronics</v>
      </c>
      <c r="I552" t="str">
        <f>_xlfn.XLOOKUP(Table1[[#This Row],[ProductID]],Products!A:A,Products!C:C)</f>
        <v>Laptops</v>
      </c>
      <c r="J552">
        <v>2</v>
      </c>
      <c r="K552" s="5">
        <f>_xlfn.XLOOKUP(Table1[[#This Row],[ProductID]],Products!A:A,Products!E:E)</f>
        <v>229.68</v>
      </c>
      <c r="L552" s="5">
        <v>280.81</v>
      </c>
      <c r="M552" s="6">
        <v>0.14000000000000001</v>
      </c>
      <c r="N552" t="s">
        <v>9</v>
      </c>
      <c r="O552" s="5">
        <f t="shared" si="40"/>
        <v>241.4966</v>
      </c>
      <c r="P552" s="5">
        <f t="shared" si="41"/>
        <v>482.9932</v>
      </c>
      <c r="Q552" s="5">
        <f>Table1[[#This Row],[Quantity]]*(Table1[[#This Row],[Saleprice]]-Table1[[#This Row],[Costprice]])</f>
        <v>23.633199999999988</v>
      </c>
      <c r="R552">
        <f t="shared" si="42"/>
        <v>2022</v>
      </c>
      <c r="S552">
        <f t="shared" si="43"/>
        <v>6</v>
      </c>
      <c r="T552" t="str">
        <f t="shared" si="44"/>
        <v>June</v>
      </c>
    </row>
    <row r="553" spans="1:20" x14ac:dyDescent="0.3">
      <c r="A553" s="3">
        <v>44737</v>
      </c>
      <c r="B553">
        <v>101</v>
      </c>
      <c r="C553" s="3">
        <f>_xlfn.XLOOKUP(B553,Stores!A:A,Stores!E:E)</f>
        <v>44691</v>
      </c>
      <c r="D553">
        <v>206</v>
      </c>
      <c r="E553" s="3">
        <f>_xlfn.XLOOKUP(D553,SalesReps!A:A,SalesReps!D:D)</f>
        <v>44357</v>
      </c>
      <c r="F553" s="3" t="str">
        <f>_xlfn.XLOOKUP(Table1[[#This Row],[RepID]],SalesReps!A:A,SalesReps!E:E)</f>
        <v>Active</v>
      </c>
      <c r="G553">
        <v>314</v>
      </c>
      <c r="H553" t="str">
        <f>_xlfn.XLOOKUP(Table1[[#This Row],[ProductID]],Products!A:A,Products!B:B)</f>
        <v>Clothing</v>
      </c>
      <c r="I553" t="str">
        <f>_xlfn.XLOOKUP(Table1[[#This Row],[ProductID]],Products!A:A,Products!C:C)</f>
        <v>Kids</v>
      </c>
      <c r="J553">
        <v>6</v>
      </c>
      <c r="K553" s="5">
        <f>_xlfn.XLOOKUP(Table1[[#This Row],[ProductID]],Products!A:A,Products!E:E)</f>
        <v>276.47000000000003</v>
      </c>
      <c r="L553" s="5">
        <v>349.36</v>
      </c>
      <c r="M553" s="6">
        <v>0.06</v>
      </c>
      <c r="N553" t="s">
        <v>8</v>
      </c>
      <c r="O553" s="5">
        <f t="shared" si="40"/>
        <v>328.39839999999998</v>
      </c>
      <c r="P553" s="5">
        <f t="shared" si="41"/>
        <v>1970.3903999999998</v>
      </c>
      <c r="Q553" s="5">
        <f>Table1[[#This Row],[Quantity]]*(Table1[[#This Row],[Saleprice]]-Table1[[#This Row],[Costprice]])</f>
        <v>311.57039999999972</v>
      </c>
      <c r="R553">
        <f t="shared" si="42"/>
        <v>2022</v>
      </c>
      <c r="S553">
        <f t="shared" si="43"/>
        <v>6</v>
      </c>
      <c r="T553" t="str">
        <f t="shared" si="44"/>
        <v>June</v>
      </c>
    </row>
    <row r="554" spans="1:20" x14ac:dyDescent="0.3">
      <c r="A554" s="3">
        <v>44737</v>
      </c>
      <c r="B554">
        <v>101</v>
      </c>
      <c r="C554" s="3">
        <f>_xlfn.XLOOKUP(B554,Stores!A:A,Stores!E:E)</f>
        <v>44691</v>
      </c>
      <c r="D554">
        <v>213</v>
      </c>
      <c r="E554" s="3">
        <f>_xlfn.XLOOKUP(D554,SalesReps!A:A,SalesReps!D:D)</f>
        <v>44255</v>
      </c>
      <c r="F554" s="3" t="str">
        <f>_xlfn.XLOOKUP(Table1[[#This Row],[RepID]],SalesReps!A:A,SalesReps!E:E)</f>
        <v>Active</v>
      </c>
      <c r="G554">
        <v>302</v>
      </c>
      <c r="H554" t="str">
        <f>_xlfn.XLOOKUP(Table1[[#This Row],[ProductID]],Products!A:A,Products!B:B)</f>
        <v>Toys</v>
      </c>
      <c r="I554" t="str">
        <f>_xlfn.XLOOKUP(Table1[[#This Row],[ProductID]],Products!A:A,Products!C:C)</f>
        <v>Outdoor</v>
      </c>
      <c r="J554">
        <v>7</v>
      </c>
      <c r="K554" s="5">
        <f>_xlfn.XLOOKUP(Table1[[#This Row],[ProductID]],Products!A:A,Products!E:E)</f>
        <v>393.46</v>
      </c>
      <c r="L554" s="5">
        <v>426.61</v>
      </c>
      <c r="M554" s="6">
        <v>0.08</v>
      </c>
      <c r="N554" t="s">
        <v>8</v>
      </c>
      <c r="O554" s="5">
        <f t="shared" si="40"/>
        <v>392.48120000000006</v>
      </c>
      <c r="P554" s="5">
        <f t="shared" si="41"/>
        <v>2747.3684000000003</v>
      </c>
      <c r="Q554" s="5">
        <f>Table1[[#This Row],[Quantity]]*(Table1[[#This Row],[Saleprice]]-Table1[[#This Row],[Costprice]])</f>
        <v>-6.8515999999994506</v>
      </c>
      <c r="R554">
        <f t="shared" si="42"/>
        <v>2022</v>
      </c>
      <c r="S554">
        <f t="shared" si="43"/>
        <v>6</v>
      </c>
      <c r="T554" t="str">
        <f t="shared" si="44"/>
        <v>June</v>
      </c>
    </row>
    <row r="555" spans="1:20" x14ac:dyDescent="0.3">
      <c r="A555" s="3">
        <v>44738</v>
      </c>
      <c r="B555">
        <v>105</v>
      </c>
      <c r="C555" s="3">
        <f>_xlfn.XLOOKUP(B555,Stores!A:A,Stores!E:E)</f>
        <v>44161</v>
      </c>
      <c r="D555">
        <v>216</v>
      </c>
      <c r="E555" s="3">
        <f>_xlfn.XLOOKUP(D555,SalesReps!A:A,SalesReps!D:D)</f>
        <v>44672</v>
      </c>
      <c r="F555" s="3" t="str">
        <f>_xlfn.XLOOKUP(Table1[[#This Row],[RepID]],SalesReps!A:A,SalesReps!E:E)</f>
        <v>Left</v>
      </c>
      <c r="G555">
        <v>314</v>
      </c>
      <c r="H555" t="str">
        <f>_xlfn.XLOOKUP(Table1[[#This Row],[ProductID]],Products!A:A,Products!B:B)</f>
        <v>Clothing</v>
      </c>
      <c r="I555" t="str">
        <f>_xlfn.XLOOKUP(Table1[[#This Row],[ProductID]],Products!A:A,Products!C:C)</f>
        <v>Kids</v>
      </c>
      <c r="J555">
        <v>3</v>
      </c>
      <c r="K555" s="5">
        <f>_xlfn.XLOOKUP(Table1[[#This Row],[ProductID]],Products!A:A,Products!E:E)</f>
        <v>276.47000000000003</v>
      </c>
      <c r="L555" s="5">
        <v>322.16000000000003</v>
      </c>
      <c r="M555" s="6">
        <v>0.19</v>
      </c>
      <c r="N555" t="s">
        <v>10</v>
      </c>
      <c r="O555" s="5">
        <f t="shared" si="40"/>
        <v>260.94960000000003</v>
      </c>
      <c r="P555" s="5">
        <f t="shared" si="41"/>
        <v>782.8488000000001</v>
      </c>
      <c r="Q555" s="5">
        <f>Table1[[#This Row],[Quantity]]*(Table1[[#This Row],[Saleprice]]-Table1[[#This Row],[Costprice]])</f>
        <v>-46.561199999999985</v>
      </c>
      <c r="R555">
        <f t="shared" si="42"/>
        <v>2022</v>
      </c>
      <c r="S555">
        <f t="shared" si="43"/>
        <v>6</v>
      </c>
      <c r="T555" t="str">
        <f t="shared" si="44"/>
        <v>June</v>
      </c>
    </row>
    <row r="556" spans="1:20" x14ac:dyDescent="0.3">
      <c r="A556" s="3">
        <v>44738</v>
      </c>
      <c r="B556">
        <v>105</v>
      </c>
      <c r="C556" s="3">
        <f>_xlfn.XLOOKUP(B556,Stores!A:A,Stores!E:E)</f>
        <v>44161</v>
      </c>
      <c r="D556">
        <v>216</v>
      </c>
      <c r="E556" s="3">
        <f>_xlfn.XLOOKUP(D556,SalesReps!A:A,SalesReps!D:D)</f>
        <v>44672</v>
      </c>
      <c r="F556" s="3" t="str">
        <f>_xlfn.XLOOKUP(Table1[[#This Row],[RepID]],SalesReps!A:A,SalesReps!E:E)</f>
        <v>Left</v>
      </c>
      <c r="G556">
        <v>314</v>
      </c>
      <c r="H556" t="str">
        <f>_xlfn.XLOOKUP(Table1[[#This Row],[ProductID]],Products!A:A,Products!B:B)</f>
        <v>Clothing</v>
      </c>
      <c r="I556" t="str">
        <f>_xlfn.XLOOKUP(Table1[[#This Row],[ProductID]],Products!A:A,Products!C:C)</f>
        <v>Kids</v>
      </c>
      <c r="J556">
        <v>8</v>
      </c>
      <c r="K556" s="5">
        <f>_xlfn.XLOOKUP(Table1[[#This Row],[ProductID]],Products!A:A,Products!E:E)</f>
        <v>276.47000000000003</v>
      </c>
      <c r="L556" s="5">
        <v>322.16000000000003</v>
      </c>
      <c r="M556" s="6">
        <v>0.19</v>
      </c>
      <c r="N556" t="s">
        <v>10</v>
      </c>
      <c r="O556" s="5">
        <f t="shared" si="40"/>
        <v>260.94960000000003</v>
      </c>
      <c r="P556" s="5">
        <f t="shared" si="41"/>
        <v>2087.5968000000003</v>
      </c>
      <c r="Q556" s="5">
        <f>Table1[[#This Row],[Quantity]]*(Table1[[#This Row],[Saleprice]]-Table1[[#This Row],[Costprice]])</f>
        <v>-124.16319999999996</v>
      </c>
      <c r="R556">
        <f t="shared" si="42"/>
        <v>2022</v>
      </c>
      <c r="S556">
        <f t="shared" si="43"/>
        <v>6</v>
      </c>
      <c r="T556" t="str">
        <f t="shared" si="44"/>
        <v>June</v>
      </c>
    </row>
    <row r="557" spans="1:20" x14ac:dyDescent="0.3">
      <c r="A557" s="3">
        <v>44738</v>
      </c>
      <c r="B557">
        <v>105</v>
      </c>
      <c r="C557" s="3">
        <f>_xlfn.XLOOKUP(B557,Stores!A:A,Stores!E:E)</f>
        <v>44161</v>
      </c>
      <c r="D557">
        <v>216</v>
      </c>
      <c r="E557" s="3">
        <f>_xlfn.XLOOKUP(D557,SalesReps!A:A,SalesReps!D:D)</f>
        <v>44672</v>
      </c>
      <c r="F557" s="3" t="str">
        <f>_xlfn.XLOOKUP(Table1[[#This Row],[RepID]],SalesReps!A:A,SalesReps!E:E)</f>
        <v>Left</v>
      </c>
      <c r="G557">
        <v>319</v>
      </c>
      <c r="H557" t="str">
        <f>_xlfn.XLOOKUP(Table1[[#This Row],[ProductID]],Products!A:A,Products!B:B)</f>
        <v>Toys</v>
      </c>
      <c r="I557" t="str">
        <f>_xlfn.XLOOKUP(Table1[[#This Row],[ProductID]],Products!A:A,Products!C:C)</f>
        <v>Board Games</v>
      </c>
      <c r="J557">
        <v>4</v>
      </c>
      <c r="K557" s="5">
        <f>_xlfn.XLOOKUP(Table1[[#This Row],[ProductID]],Products!A:A,Products!E:E)</f>
        <v>81.069999999999993</v>
      </c>
      <c r="L557" s="5">
        <v>93.98</v>
      </c>
      <c r="M557" s="6">
        <v>7.0000000000000007E-2</v>
      </c>
      <c r="N557" t="s">
        <v>10</v>
      </c>
      <c r="O557" s="5">
        <f t="shared" si="40"/>
        <v>87.401399999999995</v>
      </c>
      <c r="P557" s="5">
        <f t="shared" si="41"/>
        <v>349.60559999999998</v>
      </c>
      <c r="Q557" s="5">
        <f>Table1[[#This Row],[Quantity]]*(Table1[[#This Row],[Saleprice]]-Table1[[#This Row],[Costprice]])</f>
        <v>25.325600000000009</v>
      </c>
      <c r="R557">
        <f t="shared" si="42"/>
        <v>2022</v>
      </c>
      <c r="S557">
        <f t="shared" si="43"/>
        <v>6</v>
      </c>
      <c r="T557" t="str">
        <f t="shared" si="44"/>
        <v>June</v>
      </c>
    </row>
    <row r="558" spans="1:20" x14ac:dyDescent="0.3">
      <c r="A558" s="3">
        <v>44739</v>
      </c>
      <c r="B558">
        <v>105</v>
      </c>
      <c r="C558" s="3">
        <f>_xlfn.XLOOKUP(B558,Stores!A:A,Stores!E:E)</f>
        <v>44161</v>
      </c>
      <c r="D558">
        <v>216</v>
      </c>
      <c r="E558" s="3">
        <f>_xlfn.XLOOKUP(D558,SalesReps!A:A,SalesReps!D:D)</f>
        <v>44672</v>
      </c>
      <c r="F558" s="3" t="str">
        <f>_xlfn.XLOOKUP(Table1[[#This Row],[RepID]],SalesReps!A:A,SalesReps!E:E)</f>
        <v>Left</v>
      </c>
      <c r="G558">
        <v>306</v>
      </c>
      <c r="H558" t="str">
        <f>_xlfn.XLOOKUP(Table1[[#This Row],[ProductID]],Products!A:A,Products!B:B)</f>
        <v>Clothing</v>
      </c>
      <c r="I558" t="str">
        <f>_xlfn.XLOOKUP(Table1[[#This Row],[ProductID]],Products!A:A,Products!C:C)</f>
        <v>Men</v>
      </c>
      <c r="J558">
        <v>7</v>
      </c>
      <c r="K558" s="5">
        <f>_xlfn.XLOOKUP(Table1[[#This Row],[ProductID]],Products!A:A,Products!E:E)</f>
        <v>185.69</v>
      </c>
      <c r="L558" s="5">
        <v>243.21</v>
      </c>
      <c r="M558" s="6">
        <v>0.17</v>
      </c>
      <c r="N558" t="s">
        <v>10</v>
      </c>
      <c r="O558" s="5">
        <f t="shared" si="40"/>
        <v>201.86429999999999</v>
      </c>
      <c r="P558" s="5">
        <f t="shared" si="41"/>
        <v>1413.0500999999999</v>
      </c>
      <c r="Q558" s="5">
        <f>Table1[[#This Row],[Quantity]]*(Table1[[#This Row],[Saleprice]]-Table1[[#This Row],[Costprice]])</f>
        <v>113.22009999999992</v>
      </c>
      <c r="R558">
        <f t="shared" si="42"/>
        <v>2022</v>
      </c>
      <c r="S558">
        <f t="shared" si="43"/>
        <v>6</v>
      </c>
      <c r="T558" t="str">
        <f t="shared" si="44"/>
        <v>June</v>
      </c>
    </row>
    <row r="559" spans="1:20" x14ac:dyDescent="0.3">
      <c r="A559" s="3">
        <v>44739</v>
      </c>
      <c r="B559">
        <v>103</v>
      </c>
      <c r="C559" s="3">
        <f>_xlfn.XLOOKUP(B559,Stores!A:A,Stores!E:E)</f>
        <v>43952</v>
      </c>
      <c r="D559">
        <v>207</v>
      </c>
      <c r="E559" s="3">
        <f>_xlfn.XLOOKUP(D559,SalesReps!A:A,SalesReps!D:D)</f>
        <v>44656</v>
      </c>
      <c r="F559" s="3" t="str">
        <f>_xlfn.XLOOKUP(Table1[[#This Row],[RepID]],SalesReps!A:A,SalesReps!E:E)</f>
        <v>Active</v>
      </c>
      <c r="G559">
        <v>316</v>
      </c>
      <c r="H559" t="str">
        <f>_xlfn.XLOOKUP(Table1[[#This Row],[ProductID]],Products!A:A,Products!B:B)</f>
        <v>Home &amp; Kitchen</v>
      </c>
      <c r="I559" t="str">
        <f>_xlfn.XLOOKUP(Table1[[#This Row],[ProductID]],Products!A:A,Products!C:C)</f>
        <v>Furniture</v>
      </c>
      <c r="J559">
        <v>1</v>
      </c>
      <c r="K559" s="5">
        <f>_xlfn.XLOOKUP(Table1[[#This Row],[ProductID]],Products!A:A,Products!E:E)</f>
        <v>334.95</v>
      </c>
      <c r="L559" s="5">
        <v>387.55</v>
      </c>
      <c r="M559" s="6">
        <v>0.16</v>
      </c>
      <c r="N559" t="s">
        <v>9</v>
      </c>
      <c r="O559" s="5">
        <f t="shared" si="40"/>
        <v>325.54199999999997</v>
      </c>
      <c r="P559" s="5">
        <f t="shared" si="41"/>
        <v>325.54199999999997</v>
      </c>
      <c r="Q559" s="5">
        <f>Table1[[#This Row],[Quantity]]*(Table1[[#This Row],[Saleprice]]-Table1[[#This Row],[Costprice]])</f>
        <v>-9.4080000000000155</v>
      </c>
      <c r="R559">
        <f t="shared" si="42"/>
        <v>2022</v>
      </c>
      <c r="S559">
        <f t="shared" si="43"/>
        <v>6</v>
      </c>
      <c r="T559" t="str">
        <f t="shared" si="44"/>
        <v>June</v>
      </c>
    </row>
    <row r="560" spans="1:20" x14ac:dyDescent="0.3">
      <c r="A560" s="3">
        <v>44739</v>
      </c>
      <c r="B560">
        <v>101</v>
      </c>
      <c r="C560" s="3">
        <f>_xlfn.XLOOKUP(B560,Stores!A:A,Stores!E:E)</f>
        <v>44691</v>
      </c>
      <c r="D560">
        <v>213</v>
      </c>
      <c r="E560" s="3">
        <f>_xlfn.XLOOKUP(D560,SalesReps!A:A,SalesReps!D:D)</f>
        <v>44255</v>
      </c>
      <c r="F560" s="3" t="str">
        <f>_xlfn.XLOOKUP(Table1[[#This Row],[RepID]],SalesReps!A:A,SalesReps!E:E)</f>
        <v>Active</v>
      </c>
      <c r="G560">
        <v>315</v>
      </c>
      <c r="H560" t="str">
        <f>_xlfn.XLOOKUP(Table1[[#This Row],[ProductID]],Products!A:A,Products!B:B)</f>
        <v>Toys</v>
      </c>
      <c r="I560" t="str">
        <f>_xlfn.XLOOKUP(Table1[[#This Row],[ProductID]],Products!A:A,Products!C:C)</f>
        <v>Board Games</v>
      </c>
      <c r="J560">
        <v>9</v>
      </c>
      <c r="K560" s="5">
        <f>_xlfn.XLOOKUP(Table1[[#This Row],[ProductID]],Products!A:A,Products!E:E)</f>
        <v>247.9</v>
      </c>
      <c r="L560" s="5">
        <v>294.29000000000002</v>
      </c>
      <c r="M560" s="6">
        <v>0.2</v>
      </c>
      <c r="N560" t="s">
        <v>8</v>
      </c>
      <c r="O560" s="5">
        <f t="shared" si="40"/>
        <v>235.43200000000002</v>
      </c>
      <c r="P560" s="5">
        <f t="shared" si="41"/>
        <v>2118.8879999999999</v>
      </c>
      <c r="Q560" s="5">
        <f>Table1[[#This Row],[Quantity]]*(Table1[[#This Row],[Saleprice]]-Table1[[#This Row],[Costprice]])</f>
        <v>-112.2119999999999</v>
      </c>
      <c r="R560">
        <f t="shared" si="42"/>
        <v>2022</v>
      </c>
      <c r="S560">
        <f t="shared" si="43"/>
        <v>6</v>
      </c>
      <c r="T560" t="str">
        <f t="shared" si="44"/>
        <v>June</v>
      </c>
    </row>
    <row r="561" spans="1:20" x14ac:dyDescent="0.3">
      <c r="A561" s="3">
        <v>44740</v>
      </c>
      <c r="B561">
        <v>109</v>
      </c>
      <c r="C561" s="3">
        <f>_xlfn.XLOOKUP(B561,Stores!A:A,Stores!E:E)</f>
        <v>44600</v>
      </c>
      <c r="D561">
        <v>214</v>
      </c>
      <c r="E561" s="3">
        <f>_xlfn.XLOOKUP(D561,SalesReps!A:A,SalesReps!D:D)</f>
        <v>44707</v>
      </c>
      <c r="F561" s="3" t="str">
        <f>_xlfn.XLOOKUP(Table1[[#This Row],[RepID]],SalesReps!A:A,SalesReps!E:E)</f>
        <v>Active</v>
      </c>
      <c r="G561">
        <v>311</v>
      </c>
      <c r="H561" t="str">
        <f>_xlfn.XLOOKUP(Table1[[#This Row],[ProductID]],Products!A:A,Products!B:B)</f>
        <v>Home &amp; Kitchen</v>
      </c>
      <c r="I561" t="str">
        <f>_xlfn.XLOOKUP(Table1[[#This Row],[ProductID]],Products!A:A,Products!C:C)</f>
        <v>Furniture</v>
      </c>
      <c r="J561">
        <v>2</v>
      </c>
      <c r="K561" s="5">
        <f>_xlfn.XLOOKUP(Table1[[#This Row],[ProductID]],Products!A:A,Products!E:E)</f>
        <v>16.23</v>
      </c>
      <c r="L561" s="5">
        <v>45.38</v>
      </c>
      <c r="M561" s="6">
        <v>0.11</v>
      </c>
      <c r="N561" t="s">
        <v>11</v>
      </c>
      <c r="O561" s="5">
        <f t="shared" si="40"/>
        <v>40.388200000000005</v>
      </c>
      <c r="P561" s="5">
        <f t="shared" si="41"/>
        <v>80.77640000000001</v>
      </c>
      <c r="Q561" s="5">
        <f>Table1[[#This Row],[Quantity]]*(Table1[[#This Row],[Saleprice]]-Table1[[#This Row],[Costprice]])</f>
        <v>48.316400000000009</v>
      </c>
      <c r="R561">
        <f t="shared" si="42"/>
        <v>2022</v>
      </c>
      <c r="S561">
        <f t="shared" si="43"/>
        <v>6</v>
      </c>
      <c r="T561" t="str">
        <f t="shared" si="44"/>
        <v>June</v>
      </c>
    </row>
    <row r="562" spans="1:20" x14ac:dyDescent="0.3">
      <c r="A562" s="3">
        <v>44740</v>
      </c>
      <c r="B562">
        <v>103</v>
      </c>
      <c r="C562" s="3">
        <f>_xlfn.XLOOKUP(B562,Stores!A:A,Stores!E:E)</f>
        <v>43952</v>
      </c>
      <c r="D562">
        <v>207</v>
      </c>
      <c r="E562" s="3">
        <f>_xlfn.XLOOKUP(D562,SalesReps!A:A,SalesReps!D:D)</f>
        <v>44656</v>
      </c>
      <c r="F562" s="3" t="str">
        <f>_xlfn.XLOOKUP(Table1[[#This Row],[RepID]],SalesReps!A:A,SalesReps!E:E)</f>
        <v>Active</v>
      </c>
      <c r="G562">
        <v>301</v>
      </c>
      <c r="H562" t="str">
        <f>_xlfn.XLOOKUP(Table1[[#This Row],[ProductID]],Products!A:A,Products!B:B)</f>
        <v>Electronics</v>
      </c>
      <c r="I562" t="str">
        <f>_xlfn.XLOOKUP(Table1[[#This Row],[ProductID]],Products!A:A,Products!C:C)</f>
        <v>Mobiles</v>
      </c>
      <c r="J562">
        <v>8</v>
      </c>
      <c r="K562" s="5">
        <f>_xlfn.XLOOKUP(Table1[[#This Row],[ProductID]],Products!A:A,Products!E:E)</f>
        <v>159.16</v>
      </c>
      <c r="L562" s="5">
        <v>244.18</v>
      </c>
      <c r="M562" s="6">
        <v>0.14000000000000001</v>
      </c>
      <c r="N562" t="s">
        <v>9</v>
      </c>
      <c r="O562" s="5">
        <f t="shared" si="40"/>
        <v>209.9948</v>
      </c>
      <c r="P562" s="5">
        <f t="shared" si="41"/>
        <v>1679.9584</v>
      </c>
      <c r="Q562" s="5">
        <f>Table1[[#This Row],[Quantity]]*(Table1[[#This Row],[Saleprice]]-Table1[[#This Row],[Costprice]])</f>
        <v>406.67840000000001</v>
      </c>
      <c r="R562">
        <f t="shared" si="42"/>
        <v>2022</v>
      </c>
      <c r="S562">
        <f t="shared" si="43"/>
        <v>6</v>
      </c>
      <c r="T562" t="str">
        <f t="shared" si="44"/>
        <v>June</v>
      </c>
    </row>
    <row r="563" spans="1:20" x14ac:dyDescent="0.3">
      <c r="A563" s="3">
        <v>44740</v>
      </c>
      <c r="B563">
        <v>101</v>
      </c>
      <c r="C563" s="3">
        <f>_xlfn.XLOOKUP(B563,Stores!A:A,Stores!E:E)</f>
        <v>44691</v>
      </c>
      <c r="D563">
        <v>203</v>
      </c>
      <c r="E563" s="3">
        <f>_xlfn.XLOOKUP(D563,SalesReps!A:A,SalesReps!D:D)</f>
        <v>44582</v>
      </c>
      <c r="F563" s="3" t="str">
        <f>_xlfn.XLOOKUP(Table1[[#This Row],[RepID]],SalesReps!A:A,SalesReps!E:E)</f>
        <v>Active</v>
      </c>
      <c r="G563">
        <v>315</v>
      </c>
      <c r="H563" t="str">
        <f>_xlfn.XLOOKUP(Table1[[#This Row],[ProductID]],Products!A:A,Products!B:B)</f>
        <v>Toys</v>
      </c>
      <c r="I563" t="str">
        <f>_xlfn.XLOOKUP(Table1[[#This Row],[ProductID]],Products!A:A,Products!C:C)</f>
        <v>Board Games</v>
      </c>
      <c r="J563">
        <v>3</v>
      </c>
      <c r="K563" s="5">
        <f>_xlfn.XLOOKUP(Table1[[#This Row],[ProductID]],Products!A:A,Products!E:E)</f>
        <v>247.9</v>
      </c>
      <c r="L563" s="5">
        <v>294.29000000000002</v>
      </c>
      <c r="M563" s="6">
        <v>0.2</v>
      </c>
      <c r="N563" t="s">
        <v>8</v>
      </c>
      <c r="O563" s="5">
        <f t="shared" si="40"/>
        <v>235.43200000000002</v>
      </c>
      <c r="P563" s="5">
        <f t="shared" si="41"/>
        <v>706.29600000000005</v>
      </c>
      <c r="Q563" s="5">
        <f>Table1[[#This Row],[Quantity]]*(Table1[[#This Row],[Saleprice]]-Table1[[#This Row],[Costprice]])</f>
        <v>-37.403999999999968</v>
      </c>
      <c r="R563">
        <f t="shared" si="42"/>
        <v>2022</v>
      </c>
      <c r="S563">
        <f t="shared" si="43"/>
        <v>6</v>
      </c>
      <c r="T563" t="str">
        <f t="shared" si="44"/>
        <v>June</v>
      </c>
    </row>
    <row r="564" spans="1:20" x14ac:dyDescent="0.3">
      <c r="A564" s="3">
        <v>44740</v>
      </c>
      <c r="B564">
        <v>105</v>
      </c>
      <c r="C564" s="3">
        <f>_xlfn.XLOOKUP(B564,Stores!A:A,Stores!E:E)</f>
        <v>44161</v>
      </c>
      <c r="D564">
        <v>216</v>
      </c>
      <c r="E564" s="3">
        <f>_xlfn.XLOOKUP(D564,SalesReps!A:A,SalesReps!D:D)</f>
        <v>44672</v>
      </c>
      <c r="F564" s="3" t="str">
        <f>_xlfn.XLOOKUP(Table1[[#This Row],[RepID]],SalesReps!A:A,SalesReps!E:E)</f>
        <v>Left</v>
      </c>
      <c r="G564">
        <v>303</v>
      </c>
      <c r="H564" t="str">
        <f>_xlfn.XLOOKUP(Table1[[#This Row],[ProductID]],Products!A:A,Products!B:B)</f>
        <v>Home &amp; Kitchen</v>
      </c>
      <c r="I564" t="str">
        <f>_xlfn.XLOOKUP(Table1[[#This Row],[ProductID]],Products!A:A,Products!C:C)</f>
        <v>Furniture</v>
      </c>
      <c r="J564">
        <v>1</v>
      </c>
      <c r="K564" s="5">
        <f>_xlfn.XLOOKUP(Table1[[#This Row],[ProductID]],Products!A:A,Products!E:E)</f>
        <v>192.04</v>
      </c>
      <c r="L564" s="5">
        <v>221.37</v>
      </c>
      <c r="M564" s="6">
        <v>0.06</v>
      </c>
      <c r="N564" t="s">
        <v>10</v>
      </c>
      <c r="O564" s="5">
        <f t="shared" si="40"/>
        <v>208.08779999999999</v>
      </c>
      <c r="P564" s="5">
        <f t="shared" si="41"/>
        <v>208.08779999999999</v>
      </c>
      <c r="Q564" s="5">
        <f>Table1[[#This Row],[Quantity]]*(Table1[[#This Row],[Saleprice]]-Table1[[#This Row],[Costprice]])</f>
        <v>16.047799999999995</v>
      </c>
      <c r="R564">
        <f t="shared" si="42"/>
        <v>2022</v>
      </c>
      <c r="S564">
        <f t="shared" si="43"/>
        <v>6</v>
      </c>
      <c r="T564" t="str">
        <f t="shared" si="44"/>
        <v>June</v>
      </c>
    </row>
    <row r="565" spans="1:20" x14ac:dyDescent="0.3">
      <c r="A565" s="3">
        <v>44741</v>
      </c>
      <c r="B565">
        <v>103</v>
      </c>
      <c r="C565" s="3">
        <f>_xlfn.XLOOKUP(B565,Stores!A:A,Stores!E:E)</f>
        <v>43952</v>
      </c>
      <c r="D565">
        <v>207</v>
      </c>
      <c r="E565" s="3">
        <f>_xlfn.XLOOKUP(D565,SalesReps!A:A,SalesReps!D:D)</f>
        <v>44656</v>
      </c>
      <c r="F565" s="3" t="str">
        <f>_xlfn.XLOOKUP(Table1[[#This Row],[RepID]],SalesReps!A:A,SalesReps!E:E)</f>
        <v>Active</v>
      </c>
      <c r="G565">
        <v>309</v>
      </c>
      <c r="H565" t="str">
        <f>_xlfn.XLOOKUP(Table1[[#This Row],[ProductID]],Products!A:A,Products!B:B)</f>
        <v>Electronics</v>
      </c>
      <c r="I565" t="str">
        <f>_xlfn.XLOOKUP(Table1[[#This Row],[ProductID]],Products!A:A,Products!C:C)</f>
        <v>Laptops</v>
      </c>
      <c r="J565">
        <v>8</v>
      </c>
      <c r="K565" s="5">
        <f>_xlfn.XLOOKUP(Table1[[#This Row],[ProductID]],Products!A:A,Products!E:E)</f>
        <v>229.68</v>
      </c>
      <c r="L565" s="5">
        <v>280.81</v>
      </c>
      <c r="M565" s="6">
        <v>0.14000000000000001</v>
      </c>
      <c r="N565" t="s">
        <v>9</v>
      </c>
      <c r="O565" s="5">
        <f t="shared" si="40"/>
        <v>241.4966</v>
      </c>
      <c r="P565" s="5">
        <f t="shared" si="41"/>
        <v>1931.9728</v>
      </c>
      <c r="Q565" s="5">
        <f>Table1[[#This Row],[Quantity]]*(Table1[[#This Row],[Saleprice]]-Table1[[#This Row],[Costprice]])</f>
        <v>94.532799999999952</v>
      </c>
      <c r="R565">
        <f t="shared" si="42"/>
        <v>2022</v>
      </c>
      <c r="S565">
        <f t="shared" si="43"/>
        <v>6</v>
      </c>
      <c r="T565" t="str">
        <f t="shared" si="44"/>
        <v>June</v>
      </c>
    </row>
    <row r="566" spans="1:20" x14ac:dyDescent="0.3">
      <c r="A566" s="3">
        <v>44741</v>
      </c>
      <c r="B566">
        <v>105</v>
      </c>
      <c r="C566" s="3">
        <f>_xlfn.XLOOKUP(B566,Stores!A:A,Stores!E:E)</f>
        <v>44161</v>
      </c>
      <c r="D566">
        <v>216</v>
      </c>
      <c r="E566" s="3">
        <f>_xlfn.XLOOKUP(D566,SalesReps!A:A,SalesReps!D:D)</f>
        <v>44672</v>
      </c>
      <c r="F566" s="3" t="str">
        <f>_xlfn.XLOOKUP(Table1[[#This Row],[RepID]],SalesReps!A:A,SalesReps!E:E)</f>
        <v>Left</v>
      </c>
      <c r="G566">
        <v>312</v>
      </c>
      <c r="H566" t="str">
        <f>_xlfn.XLOOKUP(Table1[[#This Row],[ProductID]],Products!A:A,Products!B:B)</f>
        <v>Toys</v>
      </c>
      <c r="I566" t="str">
        <f>_xlfn.XLOOKUP(Table1[[#This Row],[ProductID]],Products!A:A,Products!C:C)</f>
        <v>Board Games</v>
      </c>
      <c r="J566">
        <v>2</v>
      </c>
      <c r="K566" s="5">
        <f>_xlfn.XLOOKUP(Table1[[#This Row],[ProductID]],Products!A:A,Products!E:E)</f>
        <v>100.05</v>
      </c>
      <c r="L566" s="5">
        <v>105.54</v>
      </c>
      <c r="M566" s="6">
        <v>0.18</v>
      </c>
      <c r="N566" t="s">
        <v>10</v>
      </c>
      <c r="O566" s="5">
        <f t="shared" si="40"/>
        <v>86.542800000000014</v>
      </c>
      <c r="P566" s="5">
        <f t="shared" si="41"/>
        <v>173.08560000000003</v>
      </c>
      <c r="Q566" s="5">
        <f>Table1[[#This Row],[Quantity]]*(Table1[[#This Row],[Saleprice]]-Table1[[#This Row],[Costprice]])</f>
        <v>-27.014399999999966</v>
      </c>
      <c r="R566">
        <f t="shared" si="42"/>
        <v>2022</v>
      </c>
      <c r="S566">
        <f t="shared" si="43"/>
        <v>6</v>
      </c>
      <c r="T566" t="str">
        <f t="shared" si="44"/>
        <v>June</v>
      </c>
    </row>
    <row r="567" spans="1:20" x14ac:dyDescent="0.3">
      <c r="A567" s="3">
        <v>44741</v>
      </c>
      <c r="B567">
        <v>109</v>
      </c>
      <c r="C567" s="3">
        <f>_xlfn.XLOOKUP(B567,Stores!A:A,Stores!E:E)</f>
        <v>44600</v>
      </c>
      <c r="D567">
        <v>214</v>
      </c>
      <c r="E567" s="3">
        <f>_xlfn.XLOOKUP(D567,SalesReps!A:A,SalesReps!D:D)</f>
        <v>44707</v>
      </c>
      <c r="F567" s="3" t="str">
        <f>_xlfn.XLOOKUP(Table1[[#This Row],[RepID]],SalesReps!A:A,SalesReps!E:E)</f>
        <v>Active</v>
      </c>
      <c r="G567">
        <v>303</v>
      </c>
      <c r="H567" t="str">
        <f>_xlfn.XLOOKUP(Table1[[#This Row],[ProductID]],Products!A:A,Products!B:B)</f>
        <v>Home &amp; Kitchen</v>
      </c>
      <c r="I567" t="str">
        <f>_xlfn.XLOOKUP(Table1[[#This Row],[ProductID]],Products!A:A,Products!C:C)</f>
        <v>Furniture</v>
      </c>
      <c r="J567">
        <v>6</v>
      </c>
      <c r="K567" s="5">
        <f>_xlfn.XLOOKUP(Table1[[#This Row],[ProductID]],Products!A:A,Products!E:E)</f>
        <v>192.04</v>
      </c>
      <c r="L567" s="5">
        <v>250.55</v>
      </c>
      <c r="M567" s="6">
        <v>0.19</v>
      </c>
      <c r="N567" t="s">
        <v>11</v>
      </c>
      <c r="O567" s="5">
        <f t="shared" si="40"/>
        <v>202.94550000000001</v>
      </c>
      <c r="P567" s="5">
        <f t="shared" si="41"/>
        <v>1217.673</v>
      </c>
      <c r="Q567" s="5">
        <f>Table1[[#This Row],[Quantity]]*(Table1[[#This Row],[Saleprice]]-Table1[[#This Row],[Costprice]])</f>
        <v>65.433000000000106</v>
      </c>
      <c r="R567">
        <f t="shared" si="42"/>
        <v>2022</v>
      </c>
      <c r="S567">
        <f t="shared" si="43"/>
        <v>6</v>
      </c>
      <c r="T567" t="str">
        <f t="shared" si="44"/>
        <v>June</v>
      </c>
    </row>
    <row r="568" spans="1:20" x14ac:dyDescent="0.3">
      <c r="A568" s="3">
        <v>44741</v>
      </c>
      <c r="B568">
        <v>109</v>
      </c>
      <c r="C568" s="3">
        <f>_xlfn.XLOOKUP(B568,Stores!A:A,Stores!E:E)</f>
        <v>44600</v>
      </c>
      <c r="D568">
        <v>214</v>
      </c>
      <c r="E568" s="3">
        <f>_xlfn.XLOOKUP(D568,SalesReps!A:A,SalesReps!D:D)</f>
        <v>44707</v>
      </c>
      <c r="F568" s="3" t="str">
        <f>_xlfn.XLOOKUP(Table1[[#This Row],[RepID]],SalesReps!A:A,SalesReps!E:E)</f>
        <v>Active</v>
      </c>
      <c r="G568">
        <v>316</v>
      </c>
      <c r="H568" t="str">
        <f>_xlfn.XLOOKUP(Table1[[#This Row],[ProductID]],Products!A:A,Products!B:B)</f>
        <v>Home &amp; Kitchen</v>
      </c>
      <c r="I568" t="str">
        <f>_xlfn.XLOOKUP(Table1[[#This Row],[ProductID]],Products!A:A,Products!C:C)</f>
        <v>Furniture</v>
      </c>
      <c r="J568">
        <v>7</v>
      </c>
      <c r="K568" s="5">
        <f>_xlfn.XLOOKUP(Table1[[#This Row],[ProductID]],Products!A:A,Products!E:E)</f>
        <v>334.95</v>
      </c>
      <c r="L568" s="5">
        <v>417.01</v>
      </c>
      <c r="M568" s="6">
        <v>0.21</v>
      </c>
      <c r="N568" t="s">
        <v>11</v>
      </c>
      <c r="O568" s="5">
        <f t="shared" si="40"/>
        <v>329.43790000000001</v>
      </c>
      <c r="P568" s="5">
        <f t="shared" si="41"/>
        <v>2306.0653000000002</v>
      </c>
      <c r="Q568" s="5">
        <f>Table1[[#This Row],[Quantity]]*(Table1[[#This Row],[Saleprice]]-Table1[[#This Row],[Costprice]])</f>
        <v>-38.584699999999827</v>
      </c>
      <c r="R568">
        <f t="shared" si="42"/>
        <v>2022</v>
      </c>
      <c r="S568">
        <f t="shared" si="43"/>
        <v>6</v>
      </c>
      <c r="T568" t="str">
        <f t="shared" si="44"/>
        <v>June</v>
      </c>
    </row>
    <row r="569" spans="1:20" x14ac:dyDescent="0.3">
      <c r="A569" s="3">
        <v>44742</v>
      </c>
      <c r="B569">
        <v>109</v>
      </c>
      <c r="C569" s="3">
        <f>_xlfn.XLOOKUP(B569,Stores!A:A,Stores!E:E)</f>
        <v>44600</v>
      </c>
      <c r="D569">
        <v>214</v>
      </c>
      <c r="E569" s="3">
        <f>_xlfn.XLOOKUP(D569,SalesReps!A:A,SalesReps!D:D)</f>
        <v>44707</v>
      </c>
      <c r="F569" s="3" t="str">
        <f>_xlfn.XLOOKUP(Table1[[#This Row],[RepID]],SalesReps!A:A,SalesReps!E:E)</f>
        <v>Active</v>
      </c>
      <c r="G569">
        <v>316</v>
      </c>
      <c r="H569" t="str">
        <f>_xlfn.XLOOKUP(Table1[[#This Row],[ProductID]],Products!A:A,Products!B:B)</f>
        <v>Home &amp; Kitchen</v>
      </c>
      <c r="I569" t="str">
        <f>_xlfn.XLOOKUP(Table1[[#This Row],[ProductID]],Products!A:A,Products!C:C)</f>
        <v>Furniture</v>
      </c>
      <c r="J569">
        <v>3</v>
      </c>
      <c r="K569" s="5">
        <f>_xlfn.XLOOKUP(Table1[[#This Row],[ProductID]],Products!A:A,Products!E:E)</f>
        <v>334.95</v>
      </c>
      <c r="L569" s="5">
        <v>417.01</v>
      </c>
      <c r="M569" s="6">
        <v>0.21</v>
      </c>
      <c r="N569" t="s">
        <v>11</v>
      </c>
      <c r="O569" s="5">
        <f t="shared" si="40"/>
        <v>329.43790000000001</v>
      </c>
      <c r="P569" s="5">
        <f t="shared" si="41"/>
        <v>988.31370000000004</v>
      </c>
      <c r="Q569" s="5">
        <f>Table1[[#This Row],[Quantity]]*(Table1[[#This Row],[Saleprice]]-Table1[[#This Row],[Costprice]])</f>
        <v>-16.536299999999926</v>
      </c>
      <c r="R569">
        <f t="shared" si="42"/>
        <v>2022</v>
      </c>
      <c r="S569">
        <f t="shared" si="43"/>
        <v>6</v>
      </c>
      <c r="T569" t="str">
        <f t="shared" si="44"/>
        <v>June</v>
      </c>
    </row>
    <row r="570" spans="1:20" x14ac:dyDescent="0.3">
      <c r="A570" s="3">
        <v>44742</v>
      </c>
      <c r="B570">
        <v>101</v>
      </c>
      <c r="C570" s="3">
        <f>_xlfn.XLOOKUP(B570,Stores!A:A,Stores!E:E)</f>
        <v>44691</v>
      </c>
      <c r="D570">
        <v>213</v>
      </c>
      <c r="E570" s="3">
        <f>_xlfn.XLOOKUP(D570,SalesReps!A:A,SalesReps!D:D)</f>
        <v>44255</v>
      </c>
      <c r="F570" s="3" t="str">
        <f>_xlfn.XLOOKUP(Table1[[#This Row],[RepID]],SalesReps!A:A,SalesReps!E:E)</f>
        <v>Active</v>
      </c>
      <c r="G570">
        <v>312</v>
      </c>
      <c r="H570" t="str">
        <f>_xlfn.XLOOKUP(Table1[[#This Row],[ProductID]],Products!A:A,Products!B:B)</f>
        <v>Toys</v>
      </c>
      <c r="I570" t="str">
        <f>_xlfn.XLOOKUP(Table1[[#This Row],[ProductID]],Products!A:A,Products!C:C)</f>
        <v>Board Games</v>
      </c>
      <c r="J570">
        <v>2</v>
      </c>
      <c r="K570" s="5">
        <f>_xlfn.XLOOKUP(Table1[[#This Row],[ProductID]],Products!A:A,Products!E:E)</f>
        <v>100.05</v>
      </c>
      <c r="L570" s="5">
        <v>118.03</v>
      </c>
      <c r="M570" s="6">
        <v>0.19</v>
      </c>
      <c r="N570" t="s">
        <v>8</v>
      </c>
      <c r="O570" s="5">
        <f t="shared" si="40"/>
        <v>95.604300000000009</v>
      </c>
      <c r="P570" s="5">
        <f t="shared" si="41"/>
        <v>191.20860000000002</v>
      </c>
      <c r="Q570" s="5">
        <f>Table1[[#This Row],[Quantity]]*(Table1[[#This Row],[Saleprice]]-Table1[[#This Row],[Costprice]])</f>
        <v>-8.891399999999976</v>
      </c>
      <c r="R570">
        <f t="shared" si="42"/>
        <v>2022</v>
      </c>
      <c r="S570">
        <f t="shared" si="43"/>
        <v>6</v>
      </c>
      <c r="T570" t="str">
        <f t="shared" si="44"/>
        <v>June</v>
      </c>
    </row>
    <row r="571" spans="1:20" x14ac:dyDescent="0.3">
      <c r="A571" s="3">
        <v>44742</v>
      </c>
      <c r="B571">
        <v>109</v>
      </c>
      <c r="C571" s="3">
        <f>_xlfn.XLOOKUP(B571,Stores!A:A,Stores!E:E)</f>
        <v>44600</v>
      </c>
      <c r="D571">
        <v>214</v>
      </c>
      <c r="E571" s="3">
        <f>_xlfn.XLOOKUP(D571,SalesReps!A:A,SalesReps!D:D)</f>
        <v>44707</v>
      </c>
      <c r="F571" s="3" t="str">
        <f>_xlfn.XLOOKUP(Table1[[#This Row],[RepID]],SalesReps!A:A,SalesReps!E:E)</f>
        <v>Active</v>
      </c>
      <c r="G571">
        <v>314</v>
      </c>
      <c r="H571" t="str">
        <f>_xlfn.XLOOKUP(Table1[[#This Row],[ProductID]],Products!A:A,Products!B:B)</f>
        <v>Clothing</v>
      </c>
      <c r="I571" t="str">
        <f>_xlfn.XLOOKUP(Table1[[#This Row],[ProductID]],Products!A:A,Products!C:C)</f>
        <v>Kids</v>
      </c>
      <c r="J571">
        <v>4</v>
      </c>
      <c r="K571" s="5">
        <f>_xlfn.XLOOKUP(Table1[[#This Row],[ProductID]],Products!A:A,Products!E:E)</f>
        <v>276.47000000000003</v>
      </c>
      <c r="L571" s="5">
        <v>370.26</v>
      </c>
      <c r="M571" s="6">
        <v>0.18</v>
      </c>
      <c r="N571" t="s">
        <v>11</v>
      </c>
      <c r="O571" s="5">
        <f t="shared" si="40"/>
        <v>303.61320000000001</v>
      </c>
      <c r="P571" s="5">
        <f t="shared" si="41"/>
        <v>1214.4528</v>
      </c>
      <c r="Q571" s="5">
        <f>Table1[[#This Row],[Quantity]]*(Table1[[#This Row],[Saleprice]]-Table1[[#This Row],[Costprice]])</f>
        <v>108.57279999999992</v>
      </c>
      <c r="R571">
        <f t="shared" si="42"/>
        <v>2022</v>
      </c>
      <c r="S571">
        <f t="shared" si="43"/>
        <v>6</v>
      </c>
      <c r="T571" t="str">
        <f t="shared" si="44"/>
        <v>June</v>
      </c>
    </row>
    <row r="572" spans="1:20" x14ac:dyDescent="0.3">
      <c r="A572" s="3">
        <v>44743</v>
      </c>
      <c r="B572">
        <v>109</v>
      </c>
      <c r="C572" s="3">
        <f>_xlfn.XLOOKUP(B572,Stores!A:A,Stores!E:E)</f>
        <v>44600</v>
      </c>
      <c r="D572">
        <v>214</v>
      </c>
      <c r="E572" s="3">
        <f>_xlfn.XLOOKUP(D572,SalesReps!A:A,SalesReps!D:D)</f>
        <v>44707</v>
      </c>
      <c r="F572" s="3" t="str">
        <f>_xlfn.XLOOKUP(Table1[[#This Row],[RepID]],SalesReps!A:A,SalesReps!E:E)</f>
        <v>Active</v>
      </c>
      <c r="G572">
        <v>303</v>
      </c>
      <c r="H572" t="str">
        <f>_xlfn.XLOOKUP(Table1[[#This Row],[ProductID]],Products!A:A,Products!B:B)</f>
        <v>Home &amp; Kitchen</v>
      </c>
      <c r="I572" t="str">
        <f>_xlfn.XLOOKUP(Table1[[#This Row],[ProductID]],Products!A:A,Products!C:C)</f>
        <v>Furniture</v>
      </c>
      <c r="J572">
        <v>3</v>
      </c>
      <c r="K572" s="5">
        <f>_xlfn.XLOOKUP(Table1[[#This Row],[ProductID]],Products!A:A,Products!E:E)</f>
        <v>192.04</v>
      </c>
      <c r="L572" s="5">
        <v>250.55</v>
      </c>
      <c r="M572" s="6">
        <v>0.19</v>
      </c>
      <c r="N572" t="s">
        <v>11</v>
      </c>
      <c r="O572" s="5">
        <f t="shared" si="40"/>
        <v>202.94550000000001</v>
      </c>
      <c r="P572" s="5">
        <f t="shared" si="41"/>
        <v>608.8365</v>
      </c>
      <c r="Q572" s="5">
        <f>Table1[[#This Row],[Quantity]]*(Table1[[#This Row],[Saleprice]]-Table1[[#This Row],[Costprice]])</f>
        <v>32.716500000000053</v>
      </c>
      <c r="R572">
        <f t="shared" si="42"/>
        <v>2022</v>
      </c>
      <c r="S572">
        <f t="shared" si="43"/>
        <v>7</v>
      </c>
      <c r="T572" t="str">
        <f t="shared" si="44"/>
        <v>July</v>
      </c>
    </row>
    <row r="573" spans="1:20" x14ac:dyDescent="0.3">
      <c r="A573" s="3">
        <v>44743</v>
      </c>
      <c r="B573">
        <v>109</v>
      </c>
      <c r="C573" s="3">
        <f>_xlfn.XLOOKUP(B573,Stores!A:A,Stores!E:E)</f>
        <v>44600</v>
      </c>
      <c r="D573">
        <v>214</v>
      </c>
      <c r="E573" s="3">
        <f>_xlfn.XLOOKUP(D573,SalesReps!A:A,SalesReps!D:D)</f>
        <v>44707</v>
      </c>
      <c r="F573" s="3" t="str">
        <f>_xlfn.XLOOKUP(Table1[[#This Row],[RepID]],SalesReps!A:A,SalesReps!E:E)</f>
        <v>Active</v>
      </c>
      <c r="G573">
        <v>304</v>
      </c>
      <c r="H573" t="str">
        <f>_xlfn.XLOOKUP(Table1[[#This Row],[ProductID]],Products!A:A,Products!B:B)</f>
        <v>Home &amp; Kitchen</v>
      </c>
      <c r="I573" t="str">
        <f>_xlfn.XLOOKUP(Table1[[#This Row],[ProductID]],Products!A:A,Products!C:C)</f>
        <v>Furniture</v>
      </c>
      <c r="J573">
        <v>3</v>
      </c>
      <c r="K573" s="5">
        <f>_xlfn.XLOOKUP(Table1[[#This Row],[ProductID]],Products!A:A,Products!E:E)</f>
        <v>345.38</v>
      </c>
      <c r="L573" s="5">
        <v>436.53</v>
      </c>
      <c r="M573" s="6">
        <v>0.1</v>
      </c>
      <c r="N573" t="s">
        <v>11</v>
      </c>
      <c r="O573" s="5">
        <f t="shared" si="40"/>
        <v>392.87700000000001</v>
      </c>
      <c r="P573" s="5">
        <f t="shared" si="41"/>
        <v>1178.6310000000001</v>
      </c>
      <c r="Q573" s="5">
        <f>Table1[[#This Row],[Quantity]]*(Table1[[#This Row],[Saleprice]]-Table1[[#This Row],[Costprice]])</f>
        <v>142.49100000000004</v>
      </c>
      <c r="R573">
        <f t="shared" si="42"/>
        <v>2022</v>
      </c>
      <c r="S573">
        <f t="shared" si="43"/>
        <v>7</v>
      </c>
      <c r="T573" t="str">
        <f t="shared" si="44"/>
        <v>July</v>
      </c>
    </row>
    <row r="574" spans="1:20" x14ac:dyDescent="0.3">
      <c r="A574" s="3">
        <v>44743</v>
      </c>
      <c r="B574">
        <v>103</v>
      </c>
      <c r="C574" s="3">
        <f>_xlfn.XLOOKUP(B574,Stores!A:A,Stores!E:E)</f>
        <v>43952</v>
      </c>
      <c r="D574">
        <v>207</v>
      </c>
      <c r="E574" s="3">
        <f>_xlfn.XLOOKUP(D574,SalesReps!A:A,SalesReps!D:D)</f>
        <v>44656</v>
      </c>
      <c r="F574" s="3" t="str">
        <f>_xlfn.XLOOKUP(Table1[[#This Row],[RepID]],SalesReps!A:A,SalesReps!E:E)</f>
        <v>Active</v>
      </c>
      <c r="G574">
        <v>316</v>
      </c>
      <c r="H574" t="str">
        <f>_xlfn.XLOOKUP(Table1[[#This Row],[ProductID]],Products!A:A,Products!B:B)</f>
        <v>Home &amp; Kitchen</v>
      </c>
      <c r="I574" t="str">
        <f>_xlfn.XLOOKUP(Table1[[#This Row],[ProductID]],Products!A:A,Products!C:C)</f>
        <v>Furniture</v>
      </c>
      <c r="J574">
        <v>5</v>
      </c>
      <c r="K574" s="5">
        <f>_xlfn.XLOOKUP(Table1[[#This Row],[ProductID]],Products!A:A,Products!E:E)</f>
        <v>334.95</v>
      </c>
      <c r="L574" s="5">
        <v>387.55</v>
      </c>
      <c r="M574" s="6">
        <v>0.16</v>
      </c>
      <c r="N574" t="s">
        <v>9</v>
      </c>
      <c r="O574" s="5">
        <f t="shared" si="40"/>
        <v>325.54199999999997</v>
      </c>
      <c r="P574" s="5">
        <f t="shared" si="41"/>
        <v>1627.7099999999998</v>
      </c>
      <c r="Q574" s="5">
        <f>Table1[[#This Row],[Quantity]]*(Table1[[#This Row],[Saleprice]]-Table1[[#This Row],[Costprice]])</f>
        <v>-47.040000000000077</v>
      </c>
      <c r="R574">
        <f t="shared" si="42"/>
        <v>2022</v>
      </c>
      <c r="S574">
        <f t="shared" si="43"/>
        <v>7</v>
      </c>
      <c r="T574" t="str">
        <f t="shared" si="44"/>
        <v>July</v>
      </c>
    </row>
    <row r="575" spans="1:20" x14ac:dyDescent="0.3">
      <c r="A575" s="3">
        <v>44743</v>
      </c>
      <c r="B575">
        <v>106</v>
      </c>
      <c r="C575" s="3">
        <f>_xlfn.XLOOKUP(B575,Stores!A:A,Stores!E:E)</f>
        <v>43918</v>
      </c>
      <c r="D575">
        <v>212</v>
      </c>
      <c r="E575" s="3">
        <f>_xlfn.XLOOKUP(D575,SalesReps!A:A,SalesReps!D:D)</f>
        <v>44671</v>
      </c>
      <c r="F575" s="3" t="str">
        <f>_xlfn.XLOOKUP(Table1[[#This Row],[RepID]],SalesReps!A:A,SalesReps!E:E)</f>
        <v>Active</v>
      </c>
      <c r="G575">
        <v>312</v>
      </c>
      <c r="H575" t="str">
        <f>_xlfn.XLOOKUP(Table1[[#This Row],[ProductID]],Products!A:A,Products!B:B)</f>
        <v>Toys</v>
      </c>
      <c r="I575" t="str">
        <f>_xlfn.XLOOKUP(Table1[[#This Row],[ProductID]],Products!A:A,Products!C:C)</f>
        <v>Board Games</v>
      </c>
      <c r="J575">
        <v>5</v>
      </c>
      <c r="K575" s="5">
        <f>_xlfn.XLOOKUP(Table1[[#This Row],[ProductID]],Products!A:A,Products!E:E)</f>
        <v>100.05</v>
      </c>
      <c r="L575" s="5">
        <v>123.51</v>
      </c>
      <c r="M575" s="6">
        <v>0.06</v>
      </c>
      <c r="N575" t="s">
        <v>10</v>
      </c>
      <c r="O575" s="5">
        <f t="shared" si="40"/>
        <v>116.0994</v>
      </c>
      <c r="P575" s="5">
        <f t="shared" si="41"/>
        <v>580.49700000000007</v>
      </c>
      <c r="Q575" s="5">
        <f>Table1[[#This Row],[Quantity]]*(Table1[[#This Row],[Saleprice]]-Table1[[#This Row],[Costprice]])</f>
        <v>80.247000000000028</v>
      </c>
      <c r="R575">
        <f t="shared" si="42"/>
        <v>2022</v>
      </c>
      <c r="S575">
        <f t="shared" si="43"/>
        <v>7</v>
      </c>
      <c r="T575" t="str">
        <f t="shared" si="44"/>
        <v>July</v>
      </c>
    </row>
    <row r="576" spans="1:20" x14ac:dyDescent="0.3">
      <c r="A576" s="3">
        <v>44743</v>
      </c>
      <c r="B576">
        <v>105</v>
      </c>
      <c r="C576" s="3">
        <f>_xlfn.XLOOKUP(B576,Stores!A:A,Stores!E:E)</f>
        <v>44161</v>
      </c>
      <c r="D576">
        <v>216</v>
      </c>
      <c r="E576" s="3">
        <f>_xlfn.XLOOKUP(D576,SalesReps!A:A,SalesReps!D:D)</f>
        <v>44672</v>
      </c>
      <c r="F576" s="3" t="str">
        <f>_xlfn.XLOOKUP(Table1[[#This Row],[RepID]],SalesReps!A:A,SalesReps!E:E)</f>
        <v>Left</v>
      </c>
      <c r="G576">
        <v>313</v>
      </c>
      <c r="H576" t="str">
        <f>_xlfn.XLOOKUP(Table1[[#This Row],[ProductID]],Products!A:A,Products!B:B)</f>
        <v>Clothing</v>
      </c>
      <c r="I576" t="str">
        <f>_xlfn.XLOOKUP(Table1[[#This Row],[ProductID]],Products!A:A,Products!C:C)</f>
        <v>Women</v>
      </c>
      <c r="J576">
        <v>3</v>
      </c>
      <c r="K576" s="5">
        <f>_xlfn.XLOOKUP(Table1[[#This Row],[ProductID]],Products!A:A,Products!E:E)</f>
        <v>104</v>
      </c>
      <c r="L576" s="5">
        <v>140.03</v>
      </c>
      <c r="M576" s="6">
        <v>0.22</v>
      </c>
      <c r="N576" t="s">
        <v>10</v>
      </c>
      <c r="O576" s="5">
        <f t="shared" si="40"/>
        <v>109.2234</v>
      </c>
      <c r="P576" s="5">
        <f t="shared" si="41"/>
        <v>327.67020000000002</v>
      </c>
      <c r="Q576" s="5">
        <f>Table1[[#This Row],[Quantity]]*(Table1[[#This Row],[Saleprice]]-Table1[[#This Row],[Costprice]])</f>
        <v>15.670199999999994</v>
      </c>
      <c r="R576">
        <f t="shared" si="42"/>
        <v>2022</v>
      </c>
      <c r="S576">
        <f t="shared" si="43"/>
        <v>7</v>
      </c>
      <c r="T576" t="str">
        <f t="shared" si="44"/>
        <v>July</v>
      </c>
    </row>
    <row r="577" spans="1:20" x14ac:dyDescent="0.3">
      <c r="A577" s="3">
        <v>44744</v>
      </c>
      <c r="B577">
        <v>103</v>
      </c>
      <c r="C577" s="3">
        <f>_xlfn.XLOOKUP(B577,Stores!A:A,Stores!E:E)</f>
        <v>43952</v>
      </c>
      <c r="D577">
        <v>207</v>
      </c>
      <c r="E577" s="3">
        <f>_xlfn.XLOOKUP(D577,SalesReps!A:A,SalesReps!D:D)</f>
        <v>44656</v>
      </c>
      <c r="F577" s="3" t="str">
        <f>_xlfn.XLOOKUP(Table1[[#This Row],[RepID]],SalesReps!A:A,SalesReps!E:E)</f>
        <v>Active</v>
      </c>
      <c r="G577">
        <v>307</v>
      </c>
      <c r="H577" t="str">
        <f>_xlfn.XLOOKUP(Table1[[#This Row],[ProductID]],Products!A:A,Products!B:B)</f>
        <v>Toys</v>
      </c>
      <c r="I577" t="str">
        <f>_xlfn.XLOOKUP(Table1[[#This Row],[ProductID]],Products!A:A,Products!C:C)</f>
        <v>Outdoor</v>
      </c>
      <c r="J577">
        <v>1</v>
      </c>
      <c r="K577" s="5">
        <f>_xlfn.XLOOKUP(Table1[[#This Row],[ProductID]],Products!A:A,Products!E:E)</f>
        <v>15.17</v>
      </c>
      <c r="L577" s="5">
        <v>41.09</v>
      </c>
      <c r="M577" s="6">
        <v>0.19</v>
      </c>
      <c r="N577" t="s">
        <v>9</v>
      </c>
      <c r="O577" s="5">
        <f t="shared" si="40"/>
        <v>33.282900000000005</v>
      </c>
      <c r="P577" s="5">
        <f t="shared" si="41"/>
        <v>33.282900000000005</v>
      </c>
      <c r="Q577" s="5">
        <f>Table1[[#This Row],[Quantity]]*(Table1[[#This Row],[Saleprice]]-Table1[[#This Row],[Costprice]])</f>
        <v>18.112900000000003</v>
      </c>
      <c r="R577">
        <f t="shared" si="42"/>
        <v>2022</v>
      </c>
      <c r="S577">
        <f t="shared" si="43"/>
        <v>7</v>
      </c>
      <c r="T577" t="str">
        <f t="shared" si="44"/>
        <v>July</v>
      </c>
    </row>
    <row r="578" spans="1:20" x14ac:dyDescent="0.3">
      <c r="A578" s="3">
        <v>44744</v>
      </c>
      <c r="B578">
        <v>101</v>
      </c>
      <c r="C578" s="3">
        <f>_xlfn.XLOOKUP(B578,Stores!A:A,Stores!E:E)</f>
        <v>44691</v>
      </c>
      <c r="D578">
        <v>201</v>
      </c>
      <c r="E578" s="3">
        <f>_xlfn.XLOOKUP(D578,SalesReps!A:A,SalesReps!D:D)</f>
        <v>44688</v>
      </c>
      <c r="F578" s="3" t="str">
        <f>_xlfn.XLOOKUP(Table1[[#This Row],[RepID]],SalesReps!A:A,SalesReps!E:E)</f>
        <v>Active</v>
      </c>
      <c r="G578">
        <v>311</v>
      </c>
      <c r="H578" t="str">
        <f>_xlfn.XLOOKUP(Table1[[#This Row],[ProductID]],Products!A:A,Products!B:B)</f>
        <v>Home &amp; Kitchen</v>
      </c>
      <c r="I578" t="str">
        <f>_xlfn.XLOOKUP(Table1[[#This Row],[ProductID]],Products!A:A,Products!C:C)</f>
        <v>Furniture</v>
      </c>
      <c r="J578">
        <v>9</v>
      </c>
      <c r="K578" s="5">
        <f>_xlfn.XLOOKUP(Table1[[#This Row],[ProductID]],Products!A:A,Products!E:E)</f>
        <v>16.23</v>
      </c>
      <c r="L578" s="5">
        <v>73.739999999999995</v>
      </c>
      <c r="M578" s="6">
        <v>0.16</v>
      </c>
      <c r="N578" t="s">
        <v>8</v>
      </c>
      <c r="O578" s="5">
        <f t="shared" ref="O578:O641" si="45">L578*(1-M578)</f>
        <v>61.941599999999994</v>
      </c>
      <c r="P578" s="5">
        <f t="shared" ref="P578:P641" si="46">O578*J578</f>
        <v>557.47439999999995</v>
      </c>
      <c r="Q578" s="5">
        <f>Table1[[#This Row],[Quantity]]*(Table1[[#This Row],[Saleprice]]-Table1[[#This Row],[Costprice]])</f>
        <v>411.4043999999999</v>
      </c>
      <c r="R578">
        <f t="shared" ref="R578:R641" si="47">YEAR(A578)</f>
        <v>2022</v>
      </c>
      <c r="S578">
        <f t="shared" ref="S578:S641" si="48">MONTH(A578)</f>
        <v>7</v>
      </c>
      <c r="T578" t="str">
        <f t="shared" ref="T578:T641" si="49">TEXT(A578,"MMMM")</f>
        <v>July</v>
      </c>
    </row>
    <row r="579" spans="1:20" x14ac:dyDescent="0.3">
      <c r="A579" s="3">
        <v>44744</v>
      </c>
      <c r="B579">
        <v>109</v>
      </c>
      <c r="C579" s="3">
        <f>_xlfn.XLOOKUP(B579,Stores!A:A,Stores!E:E)</f>
        <v>44600</v>
      </c>
      <c r="D579">
        <v>214</v>
      </c>
      <c r="E579" s="3">
        <f>_xlfn.XLOOKUP(D579,SalesReps!A:A,SalesReps!D:D)</f>
        <v>44707</v>
      </c>
      <c r="F579" s="3" t="str">
        <f>_xlfn.XLOOKUP(Table1[[#This Row],[RepID]],SalesReps!A:A,SalesReps!E:E)</f>
        <v>Active</v>
      </c>
      <c r="G579">
        <v>320</v>
      </c>
      <c r="H579" t="str">
        <f>_xlfn.XLOOKUP(Table1[[#This Row],[ProductID]],Products!A:A,Products!B:B)</f>
        <v>Toys</v>
      </c>
      <c r="I579" t="str">
        <f>_xlfn.XLOOKUP(Table1[[#This Row],[ProductID]],Products!A:A,Products!C:C)</f>
        <v>Outdoor</v>
      </c>
      <c r="J579">
        <v>1</v>
      </c>
      <c r="K579" s="5">
        <f>_xlfn.XLOOKUP(Table1[[#This Row],[ProductID]],Products!A:A,Products!E:E)</f>
        <v>304.58999999999997</v>
      </c>
      <c r="L579" s="5">
        <v>391.59</v>
      </c>
      <c r="M579" s="6">
        <v>0.23</v>
      </c>
      <c r="N579" t="s">
        <v>11</v>
      </c>
      <c r="O579" s="5">
        <f t="shared" si="45"/>
        <v>301.52429999999998</v>
      </c>
      <c r="P579" s="5">
        <f t="shared" si="46"/>
        <v>301.52429999999998</v>
      </c>
      <c r="Q579" s="5">
        <f>Table1[[#This Row],[Quantity]]*(Table1[[#This Row],[Saleprice]]-Table1[[#This Row],[Costprice]])</f>
        <v>-3.0656999999999925</v>
      </c>
      <c r="R579">
        <f t="shared" si="47"/>
        <v>2022</v>
      </c>
      <c r="S579">
        <f t="shared" si="48"/>
        <v>7</v>
      </c>
      <c r="T579" t="str">
        <f t="shared" si="49"/>
        <v>July</v>
      </c>
    </row>
    <row r="580" spans="1:20" x14ac:dyDescent="0.3">
      <c r="A580" s="3">
        <v>44745</v>
      </c>
      <c r="B580">
        <v>105</v>
      </c>
      <c r="C580" s="3">
        <f>_xlfn.XLOOKUP(B580,Stores!A:A,Stores!E:E)</f>
        <v>44161</v>
      </c>
      <c r="D580">
        <v>216</v>
      </c>
      <c r="E580" s="3">
        <f>_xlfn.XLOOKUP(D580,SalesReps!A:A,SalesReps!D:D)</f>
        <v>44672</v>
      </c>
      <c r="F580" s="3" t="str">
        <f>_xlfn.XLOOKUP(Table1[[#This Row],[RepID]],SalesReps!A:A,SalesReps!E:E)</f>
        <v>Left</v>
      </c>
      <c r="G580">
        <v>312</v>
      </c>
      <c r="H580" t="str">
        <f>_xlfn.XLOOKUP(Table1[[#This Row],[ProductID]],Products!A:A,Products!B:B)</f>
        <v>Toys</v>
      </c>
      <c r="I580" t="str">
        <f>_xlfn.XLOOKUP(Table1[[#This Row],[ProductID]],Products!A:A,Products!C:C)</f>
        <v>Board Games</v>
      </c>
      <c r="J580">
        <v>1</v>
      </c>
      <c r="K580" s="5">
        <f>_xlfn.XLOOKUP(Table1[[#This Row],[ProductID]],Products!A:A,Products!E:E)</f>
        <v>100.05</v>
      </c>
      <c r="L580" s="5">
        <v>105.54</v>
      </c>
      <c r="M580" s="6">
        <v>0.18</v>
      </c>
      <c r="N580" t="s">
        <v>10</v>
      </c>
      <c r="O580" s="5">
        <f t="shared" si="45"/>
        <v>86.542800000000014</v>
      </c>
      <c r="P580" s="5">
        <f t="shared" si="46"/>
        <v>86.542800000000014</v>
      </c>
      <c r="Q580" s="5">
        <f>Table1[[#This Row],[Quantity]]*(Table1[[#This Row],[Saleprice]]-Table1[[#This Row],[Costprice]])</f>
        <v>-13.507199999999983</v>
      </c>
      <c r="R580">
        <f t="shared" si="47"/>
        <v>2022</v>
      </c>
      <c r="S580">
        <f t="shared" si="48"/>
        <v>7</v>
      </c>
      <c r="T580" t="str">
        <f t="shared" si="49"/>
        <v>July</v>
      </c>
    </row>
    <row r="581" spans="1:20" x14ac:dyDescent="0.3">
      <c r="A581" s="3">
        <v>44745</v>
      </c>
      <c r="B581">
        <v>105</v>
      </c>
      <c r="C581" s="3">
        <f>_xlfn.XLOOKUP(B581,Stores!A:A,Stores!E:E)</f>
        <v>44161</v>
      </c>
      <c r="D581">
        <v>216</v>
      </c>
      <c r="E581" s="3">
        <f>_xlfn.XLOOKUP(D581,SalesReps!A:A,SalesReps!D:D)</f>
        <v>44672</v>
      </c>
      <c r="F581" s="3" t="str">
        <f>_xlfn.XLOOKUP(Table1[[#This Row],[RepID]],SalesReps!A:A,SalesReps!E:E)</f>
        <v>Left</v>
      </c>
      <c r="G581">
        <v>302</v>
      </c>
      <c r="H581" t="str">
        <f>_xlfn.XLOOKUP(Table1[[#This Row],[ProductID]],Products!A:A,Products!B:B)</f>
        <v>Toys</v>
      </c>
      <c r="I581" t="str">
        <f>_xlfn.XLOOKUP(Table1[[#This Row],[ProductID]],Products!A:A,Products!C:C)</f>
        <v>Outdoor</v>
      </c>
      <c r="J581">
        <v>5</v>
      </c>
      <c r="K581" s="5">
        <f>_xlfn.XLOOKUP(Table1[[#This Row],[ProductID]],Products!A:A,Products!E:E)</f>
        <v>393.46</v>
      </c>
      <c r="L581" s="5">
        <v>466.04</v>
      </c>
      <c r="M581" s="6">
        <v>0.21</v>
      </c>
      <c r="N581" t="s">
        <v>10</v>
      </c>
      <c r="O581" s="5">
        <f t="shared" si="45"/>
        <v>368.17160000000001</v>
      </c>
      <c r="P581" s="5">
        <f t="shared" si="46"/>
        <v>1840.8580000000002</v>
      </c>
      <c r="Q581" s="5">
        <f>Table1[[#This Row],[Quantity]]*(Table1[[#This Row],[Saleprice]]-Table1[[#This Row],[Costprice]])</f>
        <v>-126.44199999999984</v>
      </c>
      <c r="R581">
        <f t="shared" si="47"/>
        <v>2022</v>
      </c>
      <c r="S581">
        <f t="shared" si="48"/>
        <v>7</v>
      </c>
      <c r="T581" t="str">
        <f t="shared" si="49"/>
        <v>July</v>
      </c>
    </row>
    <row r="582" spans="1:20" x14ac:dyDescent="0.3">
      <c r="A582" s="3">
        <v>44745</v>
      </c>
      <c r="B582">
        <v>101</v>
      </c>
      <c r="C582" s="3">
        <f>_xlfn.XLOOKUP(B582,Stores!A:A,Stores!E:E)</f>
        <v>44691</v>
      </c>
      <c r="D582">
        <v>201</v>
      </c>
      <c r="E582" s="3">
        <f>_xlfn.XLOOKUP(D582,SalesReps!A:A,SalesReps!D:D)</f>
        <v>44688</v>
      </c>
      <c r="F582" s="3" t="str">
        <f>_xlfn.XLOOKUP(Table1[[#This Row],[RepID]],SalesReps!A:A,SalesReps!E:E)</f>
        <v>Active</v>
      </c>
      <c r="G582">
        <v>306</v>
      </c>
      <c r="H582" t="str">
        <f>_xlfn.XLOOKUP(Table1[[#This Row],[ProductID]],Products!A:A,Products!B:B)</f>
        <v>Clothing</v>
      </c>
      <c r="I582" t="str">
        <f>_xlfn.XLOOKUP(Table1[[#This Row],[ProductID]],Products!A:A,Products!C:C)</f>
        <v>Men</v>
      </c>
      <c r="J582">
        <v>8</v>
      </c>
      <c r="K582" s="5">
        <f>_xlfn.XLOOKUP(Table1[[#This Row],[ProductID]],Products!A:A,Products!E:E)</f>
        <v>185.69</v>
      </c>
      <c r="L582" s="5">
        <v>283.47000000000003</v>
      </c>
      <c r="M582" s="6">
        <v>0.13</v>
      </c>
      <c r="N582" t="s">
        <v>8</v>
      </c>
      <c r="O582" s="5">
        <f t="shared" si="45"/>
        <v>246.61890000000002</v>
      </c>
      <c r="P582" s="5">
        <f t="shared" si="46"/>
        <v>1972.9512000000002</v>
      </c>
      <c r="Q582" s="5">
        <f>Table1[[#This Row],[Quantity]]*(Table1[[#This Row],[Saleprice]]-Table1[[#This Row],[Costprice]])</f>
        <v>487.43120000000022</v>
      </c>
      <c r="R582">
        <f t="shared" si="47"/>
        <v>2022</v>
      </c>
      <c r="S582">
        <f t="shared" si="48"/>
        <v>7</v>
      </c>
      <c r="T582" t="str">
        <f t="shared" si="49"/>
        <v>July</v>
      </c>
    </row>
    <row r="583" spans="1:20" x14ac:dyDescent="0.3">
      <c r="A583" s="3">
        <v>44745</v>
      </c>
      <c r="B583">
        <v>105</v>
      </c>
      <c r="C583" s="3">
        <f>_xlfn.XLOOKUP(B583,Stores!A:A,Stores!E:E)</f>
        <v>44161</v>
      </c>
      <c r="D583">
        <v>216</v>
      </c>
      <c r="E583" s="3">
        <f>_xlfn.XLOOKUP(D583,SalesReps!A:A,SalesReps!D:D)</f>
        <v>44672</v>
      </c>
      <c r="F583" s="3" t="str">
        <f>_xlfn.XLOOKUP(Table1[[#This Row],[RepID]],SalesReps!A:A,SalesReps!E:E)</f>
        <v>Left</v>
      </c>
      <c r="G583">
        <v>308</v>
      </c>
      <c r="H583" t="str">
        <f>_xlfn.XLOOKUP(Table1[[#This Row],[ProductID]],Products!A:A,Products!B:B)</f>
        <v>Home &amp; Kitchen</v>
      </c>
      <c r="I583" t="str">
        <f>_xlfn.XLOOKUP(Table1[[#This Row],[ProductID]],Products!A:A,Products!C:C)</f>
        <v>Furniture</v>
      </c>
      <c r="J583">
        <v>9</v>
      </c>
      <c r="K583" s="5">
        <f>_xlfn.XLOOKUP(Table1[[#This Row],[ProductID]],Products!A:A,Products!E:E)</f>
        <v>377.46</v>
      </c>
      <c r="L583" s="5">
        <v>408.95</v>
      </c>
      <c r="M583" s="6">
        <v>0.19</v>
      </c>
      <c r="N583" t="s">
        <v>10</v>
      </c>
      <c r="O583" s="5">
        <f t="shared" si="45"/>
        <v>331.24950000000001</v>
      </c>
      <c r="P583" s="5">
        <f t="shared" si="46"/>
        <v>2981.2455</v>
      </c>
      <c r="Q583" s="5">
        <f>Table1[[#This Row],[Quantity]]*(Table1[[#This Row],[Saleprice]]-Table1[[#This Row],[Costprice]])</f>
        <v>-415.89449999999971</v>
      </c>
      <c r="R583">
        <f t="shared" si="47"/>
        <v>2022</v>
      </c>
      <c r="S583">
        <f t="shared" si="48"/>
        <v>7</v>
      </c>
      <c r="T583" t="str">
        <f t="shared" si="49"/>
        <v>July</v>
      </c>
    </row>
    <row r="584" spans="1:20" x14ac:dyDescent="0.3">
      <c r="A584" s="3">
        <v>44745</v>
      </c>
      <c r="B584">
        <v>105</v>
      </c>
      <c r="C584" s="3">
        <f>_xlfn.XLOOKUP(B584,Stores!A:A,Stores!E:E)</f>
        <v>44161</v>
      </c>
      <c r="D584">
        <v>216</v>
      </c>
      <c r="E584" s="3">
        <f>_xlfn.XLOOKUP(D584,SalesReps!A:A,SalesReps!D:D)</f>
        <v>44672</v>
      </c>
      <c r="F584" s="3" t="str">
        <f>_xlfn.XLOOKUP(Table1[[#This Row],[RepID]],SalesReps!A:A,SalesReps!E:E)</f>
        <v>Left</v>
      </c>
      <c r="G584">
        <v>308</v>
      </c>
      <c r="H584" t="str">
        <f>_xlfn.XLOOKUP(Table1[[#This Row],[ProductID]],Products!A:A,Products!B:B)</f>
        <v>Home &amp; Kitchen</v>
      </c>
      <c r="I584" t="str">
        <f>_xlfn.XLOOKUP(Table1[[#This Row],[ProductID]],Products!A:A,Products!C:C)</f>
        <v>Furniture</v>
      </c>
      <c r="J584">
        <v>4</v>
      </c>
      <c r="K584" s="5">
        <f>_xlfn.XLOOKUP(Table1[[#This Row],[ProductID]],Products!A:A,Products!E:E)</f>
        <v>377.46</v>
      </c>
      <c r="L584" s="5">
        <v>408.95</v>
      </c>
      <c r="M584" s="6">
        <v>0.19</v>
      </c>
      <c r="N584" t="s">
        <v>10</v>
      </c>
      <c r="O584" s="5">
        <f t="shared" si="45"/>
        <v>331.24950000000001</v>
      </c>
      <c r="P584" s="5">
        <f t="shared" si="46"/>
        <v>1324.998</v>
      </c>
      <c r="Q584" s="5">
        <f>Table1[[#This Row],[Quantity]]*(Table1[[#This Row],[Saleprice]]-Table1[[#This Row],[Costprice]])</f>
        <v>-184.84199999999987</v>
      </c>
      <c r="R584">
        <f t="shared" si="47"/>
        <v>2022</v>
      </c>
      <c r="S584">
        <f t="shared" si="48"/>
        <v>7</v>
      </c>
      <c r="T584" t="str">
        <f t="shared" si="49"/>
        <v>July</v>
      </c>
    </row>
    <row r="585" spans="1:20" x14ac:dyDescent="0.3">
      <c r="A585" s="3">
        <v>44745</v>
      </c>
      <c r="B585">
        <v>103</v>
      </c>
      <c r="C585" s="3">
        <f>_xlfn.XLOOKUP(B585,Stores!A:A,Stores!E:E)</f>
        <v>43952</v>
      </c>
      <c r="D585">
        <v>207</v>
      </c>
      <c r="E585" s="3">
        <f>_xlfn.XLOOKUP(D585,SalesReps!A:A,SalesReps!D:D)</f>
        <v>44656</v>
      </c>
      <c r="F585" s="3" t="str">
        <f>_xlfn.XLOOKUP(Table1[[#This Row],[RepID]],SalesReps!A:A,SalesReps!E:E)</f>
        <v>Active</v>
      </c>
      <c r="G585">
        <v>307</v>
      </c>
      <c r="H585" t="str">
        <f>_xlfn.XLOOKUP(Table1[[#This Row],[ProductID]],Products!A:A,Products!B:B)</f>
        <v>Toys</v>
      </c>
      <c r="I585" t="str">
        <f>_xlfn.XLOOKUP(Table1[[#This Row],[ProductID]],Products!A:A,Products!C:C)</f>
        <v>Outdoor</v>
      </c>
      <c r="J585">
        <v>9</v>
      </c>
      <c r="K585" s="5">
        <f>_xlfn.XLOOKUP(Table1[[#This Row],[ProductID]],Products!A:A,Products!E:E)</f>
        <v>15.17</v>
      </c>
      <c r="L585" s="5">
        <v>41.09</v>
      </c>
      <c r="M585" s="6">
        <v>0.19</v>
      </c>
      <c r="N585" t="s">
        <v>9</v>
      </c>
      <c r="O585" s="5">
        <f t="shared" si="45"/>
        <v>33.282900000000005</v>
      </c>
      <c r="P585" s="5">
        <f t="shared" si="46"/>
        <v>299.54610000000002</v>
      </c>
      <c r="Q585" s="5">
        <f>Table1[[#This Row],[Quantity]]*(Table1[[#This Row],[Saleprice]]-Table1[[#This Row],[Costprice]])</f>
        <v>163.01610000000002</v>
      </c>
      <c r="R585">
        <f t="shared" si="47"/>
        <v>2022</v>
      </c>
      <c r="S585">
        <f t="shared" si="48"/>
        <v>7</v>
      </c>
      <c r="T585" t="str">
        <f t="shared" si="49"/>
        <v>July</v>
      </c>
    </row>
    <row r="586" spans="1:20" x14ac:dyDescent="0.3">
      <c r="A586" s="3">
        <v>44746</v>
      </c>
      <c r="B586">
        <v>105</v>
      </c>
      <c r="C586" s="3">
        <f>_xlfn.XLOOKUP(B586,Stores!A:A,Stores!E:E)</f>
        <v>44161</v>
      </c>
      <c r="D586">
        <v>216</v>
      </c>
      <c r="E586" s="3">
        <f>_xlfn.XLOOKUP(D586,SalesReps!A:A,SalesReps!D:D)</f>
        <v>44672</v>
      </c>
      <c r="F586" s="3" t="str">
        <f>_xlfn.XLOOKUP(Table1[[#This Row],[RepID]],SalesReps!A:A,SalesReps!E:E)</f>
        <v>Left</v>
      </c>
      <c r="G586">
        <v>320</v>
      </c>
      <c r="H586" t="str">
        <f>_xlfn.XLOOKUP(Table1[[#This Row],[ProductID]],Products!A:A,Products!B:B)</f>
        <v>Toys</v>
      </c>
      <c r="I586" t="str">
        <f>_xlfn.XLOOKUP(Table1[[#This Row],[ProductID]],Products!A:A,Products!C:C)</f>
        <v>Outdoor</v>
      </c>
      <c r="J586">
        <v>7</v>
      </c>
      <c r="K586" s="5">
        <f>_xlfn.XLOOKUP(Table1[[#This Row],[ProductID]],Products!A:A,Products!E:E)</f>
        <v>304.58999999999997</v>
      </c>
      <c r="L586" s="5">
        <v>350.07</v>
      </c>
      <c r="M586" s="6">
        <v>0.09</v>
      </c>
      <c r="N586" t="s">
        <v>10</v>
      </c>
      <c r="O586" s="5">
        <f t="shared" si="45"/>
        <v>318.56369999999998</v>
      </c>
      <c r="P586" s="5">
        <f t="shared" si="46"/>
        <v>2229.9458999999997</v>
      </c>
      <c r="Q586" s="5">
        <f>Table1[[#This Row],[Quantity]]*(Table1[[#This Row],[Saleprice]]-Table1[[#This Row],[Costprice]])</f>
        <v>97.815900000000056</v>
      </c>
      <c r="R586">
        <f t="shared" si="47"/>
        <v>2022</v>
      </c>
      <c r="S586">
        <f t="shared" si="48"/>
        <v>7</v>
      </c>
      <c r="T586" t="str">
        <f t="shared" si="49"/>
        <v>July</v>
      </c>
    </row>
    <row r="587" spans="1:20" x14ac:dyDescent="0.3">
      <c r="A587" s="3">
        <v>44746</v>
      </c>
      <c r="B587">
        <v>109</v>
      </c>
      <c r="C587" s="3">
        <f>_xlfn.XLOOKUP(B587,Stores!A:A,Stores!E:E)</f>
        <v>44600</v>
      </c>
      <c r="D587">
        <v>214</v>
      </c>
      <c r="E587" s="3">
        <f>_xlfn.XLOOKUP(D587,SalesReps!A:A,SalesReps!D:D)</f>
        <v>44707</v>
      </c>
      <c r="F587" s="3" t="str">
        <f>_xlfn.XLOOKUP(Table1[[#This Row],[RepID]],SalesReps!A:A,SalesReps!E:E)</f>
        <v>Active</v>
      </c>
      <c r="G587">
        <v>320</v>
      </c>
      <c r="H587" t="str">
        <f>_xlfn.XLOOKUP(Table1[[#This Row],[ProductID]],Products!A:A,Products!B:B)</f>
        <v>Toys</v>
      </c>
      <c r="I587" t="str">
        <f>_xlfn.XLOOKUP(Table1[[#This Row],[ProductID]],Products!A:A,Products!C:C)</f>
        <v>Outdoor</v>
      </c>
      <c r="J587">
        <v>1</v>
      </c>
      <c r="K587" s="5">
        <f>_xlfn.XLOOKUP(Table1[[#This Row],[ProductID]],Products!A:A,Products!E:E)</f>
        <v>304.58999999999997</v>
      </c>
      <c r="L587" s="5">
        <v>391.59</v>
      </c>
      <c r="M587" s="6">
        <v>0.23</v>
      </c>
      <c r="N587" t="s">
        <v>11</v>
      </c>
      <c r="O587" s="5">
        <f t="shared" si="45"/>
        <v>301.52429999999998</v>
      </c>
      <c r="P587" s="5">
        <f t="shared" si="46"/>
        <v>301.52429999999998</v>
      </c>
      <c r="Q587" s="5">
        <f>Table1[[#This Row],[Quantity]]*(Table1[[#This Row],[Saleprice]]-Table1[[#This Row],[Costprice]])</f>
        <v>-3.0656999999999925</v>
      </c>
      <c r="R587">
        <f t="shared" si="47"/>
        <v>2022</v>
      </c>
      <c r="S587">
        <f t="shared" si="48"/>
        <v>7</v>
      </c>
      <c r="T587" t="str">
        <f t="shared" si="49"/>
        <v>July</v>
      </c>
    </row>
    <row r="588" spans="1:20" x14ac:dyDescent="0.3">
      <c r="A588" s="3">
        <v>44747</v>
      </c>
      <c r="B588">
        <v>109</v>
      </c>
      <c r="C588" s="3">
        <f>_xlfn.XLOOKUP(B588,Stores!A:A,Stores!E:E)</f>
        <v>44600</v>
      </c>
      <c r="D588">
        <v>214</v>
      </c>
      <c r="E588" s="3">
        <f>_xlfn.XLOOKUP(D588,SalesReps!A:A,SalesReps!D:D)</f>
        <v>44707</v>
      </c>
      <c r="F588" s="3" t="str">
        <f>_xlfn.XLOOKUP(Table1[[#This Row],[RepID]],SalesReps!A:A,SalesReps!E:E)</f>
        <v>Active</v>
      </c>
      <c r="G588">
        <v>320</v>
      </c>
      <c r="H588" t="str">
        <f>_xlfn.XLOOKUP(Table1[[#This Row],[ProductID]],Products!A:A,Products!B:B)</f>
        <v>Toys</v>
      </c>
      <c r="I588" t="str">
        <f>_xlfn.XLOOKUP(Table1[[#This Row],[ProductID]],Products!A:A,Products!C:C)</f>
        <v>Outdoor</v>
      </c>
      <c r="J588">
        <v>2</v>
      </c>
      <c r="K588" s="5">
        <f>_xlfn.XLOOKUP(Table1[[#This Row],[ProductID]],Products!A:A,Products!E:E)</f>
        <v>304.58999999999997</v>
      </c>
      <c r="L588" s="5">
        <v>391.59</v>
      </c>
      <c r="M588" s="6">
        <v>0.23</v>
      </c>
      <c r="N588" t="s">
        <v>11</v>
      </c>
      <c r="O588" s="5">
        <f t="shared" si="45"/>
        <v>301.52429999999998</v>
      </c>
      <c r="P588" s="5">
        <f t="shared" si="46"/>
        <v>603.04859999999996</v>
      </c>
      <c r="Q588" s="5">
        <f>Table1[[#This Row],[Quantity]]*(Table1[[#This Row],[Saleprice]]-Table1[[#This Row],[Costprice]])</f>
        <v>-6.1313999999999851</v>
      </c>
      <c r="R588">
        <f t="shared" si="47"/>
        <v>2022</v>
      </c>
      <c r="S588">
        <f t="shared" si="48"/>
        <v>7</v>
      </c>
      <c r="T588" t="str">
        <f t="shared" si="49"/>
        <v>July</v>
      </c>
    </row>
    <row r="589" spans="1:20" x14ac:dyDescent="0.3">
      <c r="A589" s="3">
        <v>44747</v>
      </c>
      <c r="B589">
        <v>105</v>
      </c>
      <c r="C589" s="3">
        <f>_xlfn.XLOOKUP(B589,Stores!A:A,Stores!E:E)</f>
        <v>44161</v>
      </c>
      <c r="D589">
        <v>216</v>
      </c>
      <c r="E589" s="3">
        <f>_xlfn.XLOOKUP(D589,SalesReps!A:A,SalesReps!D:D)</f>
        <v>44672</v>
      </c>
      <c r="F589" s="3" t="str">
        <f>_xlfn.XLOOKUP(Table1[[#This Row],[RepID]],SalesReps!A:A,SalesReps!E:E)</f>
        <v>Left</v>
      </c>
      <c r="G589">
        <v>319</v>
      </c>
      <c r="H589" t="str">
        <f>_xlfn.XLOOKUP(Table1[[#This Row],[ProductID]],Products!A:A,Products!B:B)</f>
        <v>Toys</v>
      </c>
      <c r="I589" t="str">
        <f>_xlfn.XLOOKUP(Table1[[#This Row],[ProductID]],Products!A:A,Products!C:C)</f>
        <v>Board Games</v>
      </c>
      <c r="J589">
        <v>9</v>
      </c>
      <c r="K589" s="5">
        <f>_xlfn.XLOOKUP(Table1[[#This Row],[ProductID]],Products!A:A,Products!E:E)</f>
        <v>81.069999999999993</v>
      </c>
      <c r="L589" s="5">
        <v>93.98</v>
      </c>
      <c r="M589" s="6">
        <v>7.0000000000000007E-2</v>
      </c>
      <c r="N589" t="s">
        <v>10</v>
      </c>
      <c r="O589" s="5">
        <f t="shared" si="45"/>
        <v>87.401399999999995</v>
      </c>
      <c r="P589" s="5">
        <f t="shared" si="46"/>
        <v>786.61259999999993</v>
      </c>
      <c r="Q589" s="5">
        <f>Table1[[#This Row],[Quantity]]*(Table1[[#This Row],[Saleprice]]-Table1[[#This Row],[Costprice]])</f>
        <v>56.982600000000019</v>
      </c>
      <c r="R589">
        <f t="shared" si="47"/>
        <v>2022</v>
      </c>
      <c r="S589">
        <f t="shared" si="48"/>
        <v>7</v>
      </c>
      <c r="T589" t="str">
        <f t="shared" si="49"/>
        <v>July</v>
      </c>
    </row>
    <row r="590" spans="1:20" x14ac:dyDescent="0.3">
      <c r="A590" s="3">
        <v>44747</v>
      </c>
      <c r="B590">
        <v>101</v>
      </c>
      <c r="C590" s="3">
        <f>_xlfn.XLOOKUP(B590,Stores!A:A,Stores!E:E)</f>
        <v>44691</v>
      </c>
      <c r="D590">
        <v>203</v>
      </c>
      <c r="E590" s="3">
        <f>_xlfn.XLOOKUP(D590,SalesReps!A:A,SalesReps!D:D)</f>
        <v>44582</v>
      </c>
      <c r="F590" s="3" t="str">
        <f>_xlfn.XLOOKUP(Table1[[#This Row],[RepID]],SalesReps!A:A,SalesReps!E:E)</f>
        <v>Active</v>
      </c>
      <c r="G590">
        <v>308</v>
      </c>
      <c r="H590" t="str">
        <f>_xlfn.XLOOKUP(Table1[[#This Row],[ProductID]],Products!A:A,Products!B:B)</f>
        <v>Home &amp; Kitchen</v>
      </c>
      <c r="I590" t="str">
        <f>_xlfn.XLOOKUP(Table1[[#This Row],[ProductID]],Products!A:A,Products!C:C)</f>
        <v>Furniture</v>
      </c>
      <c r="J590">
        <v>1</v>
      </c>
      <c r="K590" s="5">
        <f>_xlfn.XLOOKUP(Table1[[#This Row],[ProductID]],Products!A:A,Products!E:E)</f>
        <v>377.46</v>
      </c>
      <c r="L590" s="5">
        <v>475.77</v>
      </c>
      <c r="M590" s="6">
        <v>0.15</v>
      </c>
      <c r="N590" t="s">
        <v>8</v>
      </c>
      <c r="O590" s="5">
        <f t="shared" si="45"/>
        <v>404.40449999999998</v>
      </c>
      <c r="P590" s="5">
        <f t="shared" si="46"/>
        <v>404.40449999999998</v>
      </c>
      <c r="Q590" s="5">
        <f>Table1[[#This Row],[Quantity]]*(Table1[[#This Row],[Saleprice]]-Table1[[#This Row],[Costprice]])</f>
        <v>26.944500000000005</v>
      </c>
      <c r="R590">
        <f t="shared" si="47"/>
        <v>2022</v>
      </c>
      <c r="S590">
        <f t="shared" si="48"/>
        <v>7</v>
      </c>
      <c r="T590" t="str">
        <f t="shared" si="49"/>
        <v>July</v>
      </c>
    </row>
    <row r="591" spans="1:20" x14ac:dyDescent="0.3">
      <c r="A591" s="3">
        <v>44747</v>
      </c>
      <c r="B591">
        <v>101</v>
      </c>
      <c r="C591" s="3">
        <f>_xlfn.XLOOKUP(B591,Stores!A:A,Stores!E:E)</f>
        <v>44691</v>
      </c>
      <c r="D591">
        <v>206</v>
      </c>
      <c r="E591" s="3">
        <f>_xlfn.XLOOKUP(D591,SalesReps!A:A,SalesReps!D:D)</f>
        <v>44357</v>
      </c>
      <c r="F591" s="3" t="str">
        <f>_xlfn.XLOOKUP(Table1[[#This Row],[RepID]],SalesReps!A:A,SalesReps!E:E)</f>
        <v>Active</v>
      </c>
      <c r="G591">
        <v>309</v>
      </c>
      <c r="H591" t="str">
        <f>_xlfn.XLOOKUP(Table1[[#This Row],[ProductID]],Products!A:A,Products!B:B)</f>
        <v>Electronics</v>
      </c>
      <c r="I591" t="str">
        <f>_xlfn.XLOOKUP(Table1[[#This Row],[ProductID]],Products!A:A,Products!C:C)</f>
        <v>Laptops</v>
      </c>
      <c r="J591">
        <v>5</v>
      </c>
      <c r="K591" s="5">
        <f>_xlfn.XLOOKUP(Table1[[#This Row],[ProductID]],Products!A:A,Products!E:E)</f>
        <v>229.68</v>
      </c>
      <c r="L591" s="5">
        <v>323.99</v>
      </c>
      <c r="M591" s="6">
        <v>0.24</v>
      </c>
      <c r="N591" t="s">
        <v>8</v>
      </c>
      <c r="O591" s="5">
        <f t="shared" si="45"/>
        <v>246.23240000000001</v>
      </c>
      <c r="P591" s="5">
        <f t="shared" si="46"/>
        <v>1231.162</v>
      </c>
      <c r="Q591" s="5">
        <f>Table1[[#This Row],[Quantity]]*(Table1[[#This Row],[Saleprice]]-Table1[[#This Row],[Costprice]])</f>
        <v>82.762000000000029</v>
      </c>
      <c r="R591">
        <f t="shared" si="47"/>
        <v>2022</v>
      </c>
      <c r="S591">
        <f t="shared" si="48"/>
        <v>7</v>
      </c>
      <c r="T591" t="str">
        <f t="shared" si="49"/>
        <v>July</v>
      </c>
    </row>
    <row r="592" spans="1:20" x14ac:dyDescent="0.3">
      <c r="A592" s="3">
        <v>44748</v>
      </c>
      <c r="B592">
        <v>101</v>
      </c>
      <c r="C592" s="3">
        <f>_xlfn.XLOOKUP(B592,Stores!A:A,Stores!E:E)</f>
        <v>44691</v>
      </c>
      <c r="D592">
        <v>201</v>
      </c>
      <c r="E592" s="3">
        <f>_xlfn.XLOOKUP(D592,SalesReps!A:A,SalesReps!D:D)</f>
        <v>44688</v>
      </c>
      <c r="F592" s="3" t="str">
        <f>_xlfn.XLOOKUP(Table1[[#This Row],[RepID]],SalesReps!A:A,SalesReps!E:E)</f>
        <v>Active</v>
      </c>
      <c r="G592">
        <v>307</v>
      </c>
      <c r="H592" t="str">
        <f>_xlfn.XLOOKUP(Table1[[#This Row],[ProductID]],Products!A:A,Products!B:B)</f>
        <v>Toys</v>
      </c>
      <c r="I592" t="str">
        <f>_xlfn.XLOOKUP(Table1[[#This Row],[ProductID]],Products!A:A,Products!C:C)</f>
        <v>Outdoor</v>
      </c>
      <c r="J592">
        <v>6</v>
      </c>
      <c r="K592" s="5">
        <f>_xlfn.XLOOKUP(Table1[[#This Row],[ProductID]],Products!A:A,Products!E:E)</f>
        <v>15.17</v>
      </c>
      <c r="L592" s="5">
        <v>68.45</v>
      </c>
      <c r="M592" s="6">
        <v>0.19</v>
      </c>
      <c r="N592" t="s">
        <v>8</v>
      </c>
      <c r="O592" s="5">
        <f t="shared" si="45"/>
        <v>55.444500000000005</v>
      </c>
      <c r="P592" s="5">
        <f t="shared" si="46"/>
        <v>332.66700000000003</v>
      </c>
      <c r="Q592" s="5">
        <f>Table1[[#This Row],[Quantity]]*(Table1[[#This Row],[Saleprice]]-Table1[[#This Row],[Costprice]])</f>
        <v>241.64700000000002</v>
      </c>
      <c r="R592">
        <f t="shared" si="47"/>
        <v>2022</v>
      </c>
      <c r="S592">
        <f t="shared" si="48"/>
        <v>7</v>
      </c>
      <c r="T592" t="str">
        <f t="shared" si="49"/>
        <v>July</v>
      </c>
    </row>
    <row r="593" spans="1:20" x14ac:dyDescent="0.3">
      <c r="A593" s="3">
        <v>44749</v>
      </c>
      <c r="B593">
        <v>101</v>
      </c>
      <c r="C593" s="3">
        <f>_xlfn.XLOOKUP(B593,Stores!A:A,Stores!E:E)</f>
        <v>44691</v>
      </c>
      <c r="D593">
        <v>201</v>
      </c>
      <c r="E593" s="3">
        <f>_xlfn.XLOOKUP(D593,SalesReps!A:A,SalesReps!D:D)</f>
        <v>44688</v>
      </c>
      <c r="F593" s="3" t="str">
        <f>_xlfn.XLOOKUP(Table1[[#This Row],[RepID]],SalesReps!A:A,SalesReps!E:E)</f>
        <v>Active</v>
      </c>
      <c r="G593">
        <v>306</v>
      </c>
      <c r="H593" t="str">
        <f>_xlfn.XLOOKUP(Table1[[#This Row],[ProductID]],Products!A:A,Products!B:B)</f>
        <v>Clothing</v>
      </c>
      <c r="I593" t="str">
        <f>_xlfn.XLOOKUP(Table1[[#This Row],[ProductID]],Products!A:A,Products!C:C)</f>
        <v>Men</v>
      </c>
      <c r="J593">
        <v>7</v>
      </c>
      <c r="K593" s="5">
        <f>_xlfn.XLOOKUP(Table1[[#This Row],[ProductID]],Products!A:A,Products!E:E)</f>
        <v>185.69</v>
      </c>
      <c r="L593" s="5">
        <v>283.47000000000003</v>
      </c>
      <c r="M593" s="6">
        <v>0.13</v>
      </c>
      <c r="N593" t="s">
        <v>8</v>
      </c>
      <c r="O593" s="5">
        <f t="shared" si="45"/>
        <v>246.61890000000002</v>
      </c>
      <c r="P593" s="5">
        <f t="shared" si="46"/>
        <v>1726.3323000000003</v>
      </c>
      <c r="Q593" s="5">
        <f>Table1[[#This Row],[Quantity]]*(Table1[[#This Row],[Saleprice]]-Table1[[#This Row],[Costprice]])</f>
        <v>426.50230000000022</v>
      </c>
      <c r="R593">
        <f t="shared" si="47"/>
        <v>2022</v>
      </c>
      <c r="S593">
        <f t="shared" si="48"/>
        <v>7</v>
      </c>
      <c r="T593" t="str">
        <f t="shared" si="49"/>
        <v>July</v>
      </c>
    </row>
    <row r="594" spans="1:20" x14ac:dyDescent="0.3">
      <c r="A594" s="3">
        <v>44749</v>
      </c>
      <c r="B594">
        <v>105</v>
      </c>
      <c r="C594" s="3">
        <f>_xlfn.XLOOKUP(B594,Stores!A:A,Stores!E:E)</f>
        <v>44161</v>
      </c>
      <c r="D594">
        <v>216</v>
      </c>
      <c r="E594" s="3">
        <f>_xlfn.XLOOKUP(D594,SalesReps!A:A,SalesReps!D:D)</f>
        <v>44672</v>
      </c>
      <c r="F594" s="3" t="str">
        <f>_xlfn.XLOOKUP(Table1[[#This Row],[RepID]],SalesReps!A:A,SalesReps!E:E)</f>
        <v>Left</v>
      </c>
      <c r="G594">
        <v>310</v>
      </c>
      <c r="H594" t="str">
        <f>_xlfn.XLOOKUP(Table1[[#This Row],[ProductID]],Products!A:A,Products!B:B)</f>
        <v>Home &amp; Kitchen</v>
      </c>
      <c r="I594" t="str">
        <f>_xlfn.XLOOKUP(Table1[[#This Row],[ProductID]],Products!A:A,Products!C:C)</f>
        <v>Furniture</v>
      </c>
      <c r="J594">
        <v>1</v>
      </c>
      <c r="K594" s="5">
        <f>_xlfn.XLOOKUP(Table1[[#This Row],[ProductID]],Products!A:A,Products!E:E)</f>
        <v>160.31</v>
      </c>
      <c r="L594" s="5">
        <v>187.18</v>
      </c>
      <c r="M594" s="6">
        <v>0.15</v>
      </c>
      <c r="N594" t="s">
        <v>10</v>
      </c>
      <c r="O594" s="5">
        <f t="shared" si="45"/>
        <v>159.10300000000001</v>
      </c>
      <c r="P594" s="5">
        <f t="shared" si="46"/>
        <v>159.10300000000001</v>
      </c>
      <c r="Q594" s="5">
        <f>Table1[[#This Row],[Quantity]]*(Table1[[#This Row],[Saleprice]]-Table1[[#This Row],[Costprice]])</f>
        <v>-1.2069999999999936</v>
      </c>
      <c r="R594">
        <f t="shared" si="47"/>
        <v>2022</v>
      </c>
      <c r="S594">
        <f t="shared" si="48"/>
        <v>7</v>
      </c>
      <c r="T594" t="str">
        <f t="shared" si="49"/>
        <v>July</v>
      </c>
    </row>
    <row r="595" spans="1:20" x14ac:dyDescent="0.3">
      <c r="A595" s="3">
        <v>44749</v>
      </c>
      <c r="B595">
        <v>101</v>
      </c>
      <c r="C595" s="3">
        <f>_xlfn.XLOOKUP(B595,Stores!A:A,Stores!E:E)</f>
        <v>44691</v>
      </c>
      <c r="D595">
        <v>203</v>
      </c>
      <c r="E595" s="3">
        <f>_xlfn.XLOOKUP(D595,SalesReps!A:A,SalesReps!D:D)</f>
        <v>44582</v>
      </c>
      <c r="F595" s="3" t="str">
        <f>_xlfn.XLOOKUP(Table1[[#This Row],[RepID]],SalesReps!A:A,SalesReps!E:E)</f>
        <v>Active</v>
      </c>
      <c r="G595">
        <v>319</v>
      </c>
      <c r="H595" t="str">
        <f>_xlfn.XLOOKUP(Table1[[#This Row],[ProductID]],Products!A:A,Products!B:B)</f>
        <v>Toys</v>
      </c>
      <c r="I595" t="str">
        <f>_xlfn.XLOOKUP(Table1[[#This Row],[ProductID]],Products!A:A,Products!C:C)</f>
        <v>Board Games</v>
      </c>
      <c r="J595">
        <v>7</v>
      </c>
      <c r="K595" s="5">
        <f>_xlfn.XLOOKUP(Table1[[#This Row],[ProductID]],Products!A:A,Products!E:E)</f>
        <v>81.069999999999993</v>
      </c>
      <c r="L595" s="5">
        <v>91.15</v>
      </c>
      <c r="M595" s="6">
        <v>0.24</v>
      </c>
      <c r="N595" t="s">
        <v>8</v>
      </c>
      <c r="O595" s="5">
        <f t="shared" si="45"/>
        <v>69.274000000000001</v>
      </c>
      <c r="P595" s="5">
        <f t="shared" si="46"/>
        <v>484.91800000000001</v>
      </c>
      <c r="Q595" s="5">
        <f>Table1[[#This Row],[Quantity]]*(Table1[[#This Row],[Saleprice]]-Table1[[#This Row],[Costprice]])</f>
        <v>-82.571999999999946</v>
      </c>
      <c r="R595">
        <f t="shared" si="47"/>
        <v>2022</v>
      </c>
      <c r="S595">
        <f t="shared" si="48"/>
        <v>7</v>
      </c>
      <c r="T595" t="str">
        <f t="shared" si="49"/>
        <v>July</v>
      </c>
    </row>
    <row r="596" spans="1:20" x14ac:dyDescent="0.3">
      <c r="A596" s="3">
        <v>44750</v>
      </c>
      <c r="B596">
        <v>105</v>
      </c>
      <c r="C596" s="3">
        <f>_xlfn.XLOOKUP(B596,Stores!A:A,Stores!E:E)</f>
        <v>44161</v>
      </c>
      <c r="D596">
        <v>216</v>
      </c>
      <c r="E596" s="3">
        <f>_xlfn.XLOOKUP(D596,SalesReps!A:A,SalesReps!D:D)</f>
        <v>44672</v>
      </c>
      <c r="F596" s="3" t="str">
        <f>_xlfn.XLOOKUP(Table1[[#This Row],[RepID]],SalesReps!A:A,SalesReps!E:E)</f>
        <v>Left</v>
      </c>
      <c r="G596">
        <v>302</v>
      </c>
      <c r="H596" t="str">
        <f>_xlfn.XLOOKUP(Table1[[#This Row],[ProductID]],Products!A:A,Products!B:B)</f>
        <v>Toys</v>
      </c>
      <c r="I596" t="str">
        <f>_xlfn.XLOOKUP(Table1[[#This Row],[ProductID]],Products!A:A,Products!C:C)</f>
        <v>Outdoor</v>
      </c>
      <c r="J596">
        <v>9</v>
      </c>
      <c r="K596" s="5">
        <f>_xlfn.XLOOKUP(Table1[[#This Row],[ProductID]],Products!A:A,Products!E:E)</f>
        <v>393.46</v>
      </c>
      <c r="L596" s="5">
        <v>466.04</v>
      </c>
      <c r="M596" s="6">
        <v>0.21</v>
      </c>
      <c r="N596" t="s">
        <v>10</v>
      </c>
      <c r="O596" s="5">
        <f t="shared" si="45"/>
        <v>368.17160000000001</v>
      </c>
      <c r="P596" s="5">
        <f t="shared" si="46"/>
        <v>3313.5444000000002</v>
      </c>
      <c r="Q596" s="5">
        <f>Table1[[#This Row],[Quantity]]*(Table1[[#This Row],[Saleprice]]-Table1[[#This Row],[Costprice]])</f>
        <v>-227.59559999999971</v>
      </c>
      <c r="R596">
        <f t="shared" si="47"/>
        <v>2022</v>
      </c>
      <c r="S596">
        <f t="shared" si="48"/>
        <v>7</v>
      </c>
      <c r="T596" t="str">
        <f t="shared" si="49"/>
        <v>July</v>
      </c>
    </row>
    <row r="597" spans="1:20" x14ac:dyDescent="0.3">
      <c r="A597" s="3">
        <v>44750</v>
      </c>
      <c r="B597">
        <v>105</v>
      </c>
      <c r="C597" s="3">
        <f>_xlfn.XLOOKUP(B597,Stores!A:A,Stores!E:E)</f>
        <v>44161</v>
      </c>
      <c r="D597">
        <v>216</v>
      </c>
      <c r="E597" s="3">
        <f>_xlfn.XLOOKUP(D597,SalesReps!A:A,SalesReps!D:D)</f>
        <v>44672</v>
      </c>
      <c r="F597" s="3" t="str">
        <f>_xlfn.XLOOKUP(Table1[[#This Row],[RepID]],SalesReps!A:A,SalesReps!E:E)</f>
        <v>Left</v>
      </c>
      <c r="G597">
        <v>304</v>
      </c>
      <c r="H597" t="str">
        <f>_xlfn.XLOOKUP(Table1[[#This Row],[ProductID]],Products!A:A,Products!B:B)</f>
        <v>Home &amp; Kitchen</v>
      </c>
      <c r="I597" t="str">
        <f>_xlfn.XLOOKUP(Table1[[#This Row],[ProductID]],Products!A:A,Products!C:C)</f>
        <v>Furniture</v>
      </c>
      <c r="J597">
        <v>8</v>
      </c>
      <c r="K597" s="5">
        <f>_xlfn.XLOOKUP(Table1[[#This Row],[ProductID]],Products!A:A,Products!E:E)</f>
        <v>345.38</v>
      </c>
      <c r="L597" s="5">
        <v>360.4</v>
      </c>
      <c r="M597" s="6">
        <v>0.14000000000000001</v>
      </c>
      <c r="N597" t="s">
        <v>10</v>
      </c>
      <c r="O597" s="5">
        <f t="shared" si="45"/>
        <v>309.94399999999996</v>
      </c>
      <c r="P597" s="5">
        <f t="shared" si="46"/>
        <v>2479.5519999999997</v>
      </c>
      <c r="Q597" s="5">
        <f>Table1[[#This Row],[Quantity]]*(Table1[[#This Row],[Saleprice]]-Table1[[#This Row],[Costprice]])</f>
        <v>-283.48800000000028</v>
      </c>
      <c r="R597">
        <f t="shared" si="47"/>
        <v>2022</v>
      </c>
      <c r="S597">
        <f t="shared" si="48"/>
        <v>7</v>
      </c>
      <c r="T597" t="str">
        <f t="shared" si="49"/>
        <v>July</v>
      </c>
    </row>
    <row r="598" spans="1:20" x14ac:dyDescent="0.3">
      <c r="A598" s="3">
        <v>44750</v>
      </c>
      <c r="B598">
        <v>101</v>
      </c>
      <c r="C598" s="3">
        <f>_xlfn.XLOOKUP(B598,Stores!A:A,Stores!E:E)</f>
        <v>44691</v>
      </c>
      <c r="D598">
        <v>201</v>
      </c>
      <c r="E598" s="3">
        <f>_xlfn.XLOOKUP(D598,SalesReps!A:A,SalesReps!D:D)</f>
        <v>44688</v>
      </c>
      <c r="F598" s="3" t="str">
        <f>_xlfn.XLOOKUP(Table1[[#This Row],[RepID]],SalesReps!A:A,SalesReps!E:E)</f>
        <v>Active</v>
      </c>
      <c r="G598">
        <v>310</v>
      </c>
      <c r="H598" t="str">
        <f>_xlfn.XLOOKUP(Table1[[#This Row],[ProductID]],Products!A:A,Products!B:B)</f>
        <v>Home &amp; Kitchen</v>
      </c>
      <c r="I598" t="str">
        <f>_xlfn.XLOOKUP(Table1[[#This Row],[ProductID]],Products!A:A,Products!C:C)</f>
        <v>Furniture</v>
      </c>
      <c r="J598">
        <v>3</v>
      </c>
      <c r="K598" s="5">
        <f>_xlfn.XLOOKUP(Table1[[#This Row],[ProductID]],Products!A:A,Products!E:E)</f>
        <v>160.31</v>
      </c>
      <c r="L598" s="5">
        <v>258.3</v>
      </c>
      <c r="M598" s="6">
        <v>0.15</v>
      </c>
      <c r="N598" t="s">
        <v>8</v>
      </c>
      <c r="O598" s="5">
        <f t="shared" si="45"/>
        <v>219.55500000000001</v>
      </c>
      <c r="P598" s="5">
        <f t="shared" si="46"/>
        <v>658.66499999999996</v>
      </c>
      <c r="Q598" s="5">
        <f>Table1[[#This Row],[Quantity]]*(Table1[[#This Row],[Saleprice]]-Table1[[#This Row],[Costprice]])</f>
        <v>177.73500000000001</v>
      </c>
      <c r="R598">
        <f t="shared" si="47"/>
        <v>2022</v>
      </c>
      <c r="S598">
        <f t="shared" si="48"/>
        <v>7</v>
      </c>
      <c r="T598" t="str">
        <f t="shared" si="49"/>
        <v>July</v>
      </c>
    </row>
    <row r="599" spans="1:20" x14ac:dyDescent="0.3">
      <c r="A599" s="3">
        <v>44751</v>
      </c>
      <c r="B599">
        <v>109</v>
      </c>
      <c r="C599" s="3">
        <f>_xlfn.XLOOKUP(B599,Stores!A:A,Stores!E:E)</f>
        <v>44600</v>
      </c>
      <c r="D599">
        <v>214</v>
      </c>
      <c r="E599" s="3">
        <f>_xlfn.XLOOKUP(D599,SalesReps!A:A,SalesReps!D:D)</f>
        <v>44707</v>
      </c>
      <c r="F599" s="3" t="str">
        <f>_xlfn.XLOOKUP(Table1[[#This Row],[RepID]],SalesReps!A:A,SalesReps!E:E)</f>
        <v>Active</v>
      </c>
      <c r="G599">
        <v>320</v>
      </c>
      <c r="H599" t="str">
        <f>_xlfn.XLOOKUP(Table1[[#This Row],[ProductID]],Products!A:A,Products!B:B)</f>
        <v>Toys</v>
      </c>
      <c r="I599" t="str">
        <f>_xlfn.XLOOKUP(Table1[[#This Row],[ProductID]],Products!A:A,Products!C:C)</f>
        <v>Outdoor</v>
      </c>
      <c r="J599">
        <v>1</v>
      </c>
      <c r="K599" s="5">
        <f>_xlfn.XLOOKUP(Table1[[#This Row],[ProductID]],Products!A:A,Products!E:E)</f>
        <v>304.58999999999997</v>
      </c>
      <c r="L599" s="5">
        <v>391.59</v>
      </c>
      <c r="M599" s="6">
        <v>0.23</v>
      </c>
      <c r="N599" t="s">
        <v>11</v>
      </c>
      <c r="O599" s="5">
        <f t="shared" si="45"/>
        <v>301.52429999999998</v>
      </c>
      <c r="P599" s="5">
        <f t="shared" si="46"/>
        <v>301.52429999999998</v>
      </c>
      <c r="Q599" s="5">
        <f>Table1[[#This Row],[Quantity]]*(Table1[[#This Row],[Saleprice]]-Table1[[#This Row],[Costprice]])</f>
        <v>-3.0656999999999925</v>
      </c>
      <c r="R599">
        <f t="shared" si="47"/>
        <v>2022</v>
      </c>
      <c r="S599">
        <f t="shared" si="48"/>
        <v>7</v>
      </c>
      <c r="T599" t="str">
        <f t="shared" si="49"/>
        <v>July</v>
      </c>
    </row>
    <row r="600" spans="1:20" x14ac:dyDescent="0.3">
      <c r="A600" s="3">
        <v>44751</v>
      </c>
      <c r="B600">
        <v>106</v>
      </c>
      <c r="C600" s="3">
        <f>_xlfn.XLOOKUP(B600,Stores!A:A,Stores!E:E)</f>
        <v>43918</v>
      </c>
      <c r="D600">
        <v>212</v>
      </c>
      <c r="E600" s="3">
        <f>_xlfn.XLOOKUP(D600,SalesReps!A:A,SalesReps!D:D)</f>
        <v>44671</v>
      </c>
      <c r="F600" s="3" t="str">
        <f>_xlfn.XLOOKUP(Table1[[#This Row],[RepID]],SalesReps!A:A,SalesReps!E:E)</f>
        <v>Active</v>
      </c>
      <c r="G600">
        <v>319</v>
      </c>
      <c r="H600" t="str">
        <f>_xlfn.XLOOKUP(Table1[[#This Row],[ProductID]],Products!A:A,Products!B:B)</f>
        <v>Toys</v>
      </c>
      <c r="I600" t="str">
        <f>_xlfn.XLOOKUP(Table1[[#This Row],[ProductID]],Products!A:A,Products!C:C)</f>
        <v>Board Games</v>
      </c>
      <c r="J600">
        <v>1</v>
      </c>
      <c r="K600" s="5">
        <f>_xlfn.XLOOKUP(Table1[[#This Row],[ProductID]],Products!A:A,Products!E:E)</f>
        <v>81.069999999999993</v>
      </c>
      <c r="L600" s="5">
        <v>143.30000000000001</v>
      </c>
      <c r="M600" s="6">
        <v>0.16</v>
      </c>
      <c r="N600" t="s">
        <v>10</v>
      </c>
      <c r="O600" s="5">
        <f t="shared" si="45"/>
        <v>120.372</v>
      </c>
      <c r="P600" s="5">
        <f t="shared" si="46"/>
        <v>120.372</v>
      </c>
      <c r="Q600" s="5">
        <f>Table1[[#This Row],[Quantity]]*(Table1[[#This Row],[Saleprice]]-Table1[[#This Row],[Costprice]])</f>
        <v>39.302000000000007</v>
      </c>
      <c r="R600">
        <f t="shared" si="47"/>
        <v>2022</v>
      </c>
      <c r="S600">
        <f t="shared" si="48"/>
        <v>7</v>
      </c>
      <c r="T600" t="str">
        <f t="shared" si="49"/>
        <v>July</v>
      </c>
    </row>
    <row r="601" spans="1:20" x14ac:dyDescent="0.3">
      <c r="A601" s="3">
        <v>44751</v>
      </c>
      <c r="B601">
        <v>109</v>
      </c>
      <c r="C601" s="3">
        <f>_xlfn.XLOOKUP(B601,Stores!A:A,Stores!E:E)</f>
        <v>44600</v>
      </c>
      <c r="D601">
        <v>214</v>
      </c>
      <c r="E601" s="3">
        <f>_xlfn.XLOOKUP(D601,SalesReps!A:A,SalesReps!D:D)</f>
        <v>44707</v>
      </c>
      <c r="F601" s="3" t="str">
        <f>_xlfn.XLOOKUP(Table1[[#This Row],[RepID]],SalesReps!A:A,SalesReps!E:E)</f>
        <v>Active</v>
      </c>
      <c r="G601">
        <v>308</v>
      </c>
      <c r="H601" t="str">
        <f>_xlfn.XLOOKUP(Table1[[#This Row],[ProductID]],Products!A:A,Products!B:B)</f>
        <v>Home &amp; Kitchen</v>
      </c>
      <c r="I601" t="str">
        <f>_xlfn.XLOOKUP(Table1[[#This Row],[ProductID]],Products!A:A,Products!C:C)</f>
        <v>Furniture</v>
      </c>
      <c r="J601">
        <v>3</v>
      </c>
      <c r="K601" s="5">
        <f>_xlfn.XLOOKUP(Table1[[#This Row],[ProductID]],Products!A:A,Products!E:E)</f>
        <v>377.46</v>
      </c>
      <c r="L601" s="5">
        <v>457.07</v>
      </c>
      <c r="M601" s="6">
        <v>0.18</v>
      </c>
      <c r="N601" t="s">
        <v>11</v>
      </c>
      <c r="O601" s="5">
        <f t="shared" si="45"/>
        <v>374.79740000000004</v>
      </c>
      <c r="P601" s="5">
        <f t="shared" si="46"/>
        <v>1124.3922000000002</v>
      </c>
      <c r="Q601" s="5">
        <f>Table1[[#This Row],[Quantity]]*(Table1[[#This Row],[Saleprice]]-Table1[[#This Row],[Costprice]])</f>
        <v>-7.9877999999998224</v>
      </c>
      <c r="R601">
        <f t="shared" si="47"/>
        <v>2022</v>
      </c>
      <c r="S601">
        <f t="shared" si="48"/>
        <v>7</v>
      </c>
      <c r="T601" t="str">
        <f t="shared" si="49"/>
        <v>July</v>
      </c>
    </row>
    <row r="602" spans="1:20" x14ac:dyDescent="0.3">
      <c r="A602" s="3">
        <v>44752</v>
      </c>
      <c r="B602">
        <v>109</v>
      </c>
      <c r="C602" s="3">
        <f>_xlfn.XLOOKUP(B602,Stores!A:A,Stores!E:E)</f>
        <v>44600</v>
      </c>
      <c r="D602">
        <v>214</v>
      </c>
      <c r="E602" s="3">
        <f>_xlfn.XLOOKUP(D602,SalesReps!A:A,SalesReps!D:D)</f>
        <v>44707</v>
      </c>
      <c r="F602" s="3" t="str">
        <f>_xlfn.XLOOKUP(Table1[[#This Row],[RepID]],SalesReps!A:A,SalesReps!E:E)</f>
        <v>Active</v>
      </c>
      <c r="G602">
        <v>304</v>
      </c>
      <c r="H602" t="str">
        <f>_xlfn.XLOOKUP(Table1[[#This Row],[ProductID]],Products!A:A,Products!B:B)</f>
        <v>Home &amp; Kitchen</v>
      </c>
      <c r="I602" t="str">
        <f>_xlfn.XLOOKUP(Table1[[#This Row],[ProductID]],Products!A:A,Products!C:C)</f>
        <v>Furniture</v>
      </c>
      <c r="J602">
        <v>1</v>
      </c>
      <c r="K602" s="5">
        <f>_xlfn.XLOOKUP(Table1[[#This Row],[ProductID]],Products!A:A,Products!E:E)</f>
        <v>345.38</v>
      </c>
      <c r="L602" s="5">
        <v>436.53</v>
      </c>
      <c r="M602" s="6">
        <v>0.1</v>
      </c>
      <c r="N602" t="s">
        <v>11</v>
      </c>
      <c r="O602" s="5">
        <f t="shared" si="45"/>
        <v>392.87700000000001</v>
      </c>
      <c r="P602" s="5">
        <f t="shared" si="46"/>
        <v>392.87700000000001</v>
      </c>
      <c r="Q602" s="5">
        <f>Table1[[#This Row],[Quantity]]*(Table1[[#This Row],[Saleprice]]-Table1[[#This Row],[Costprice]])</f>
        <v>47.497000000000014</v>
      </c>
      <c r="R602">
        <f t="shared" si="47"/>
        <v>2022</v>
      </c>
      <c r="S602">
        <f t="shared" si="48"/>
        <v>7</v>
      </c>
      <c r="T602" t="str">
        <f t="shared" si="49"/>
        <v>July</v>
      </c>
    </row>
    <row r="603" spans="1:20" x14ac:dyDescent="0.3">
      <c r="A603" s="3">
        <v>44752</v>
      </c>
      <c r="B603">
        <v>101</v>
      </c>
      <c r="C603" s="3">
        <f>_xlfn.XLOOKUP(B603,Stores!A:A,Stores!E:E)</f>
        <v>44691</v>
      </c>
      <c r="D603">
        <v>206</v>
      </c>
      <c r="E603" s="3">
        <f>_xlfn.XLOOKUP(D603,SalesReps!A:A,SalesReps!D:D)</f>
        <v>44357</v>
      </c>
      <c r="F603" s="3" t="str">
        <f>_xlfn.XLOOKUP(Table1[[#This Row],[RepID]],SalesReps!A:A,SalesReps!E:E)</f>
        <v>Active</v>
      </c>
      <c r="G603">
        <v>319</v>
      </c>
      <c r="H603" t="str">
        <f>_xlfn.XLOOKUP(Table1[[#This Row],[ProductID]],Products!A:A,Products!B:B)</f>
        <v>Toys</v>
      </c>
      <c r="I603" t="str">
        <f>_xlfn.XLOOKUP(Table1[[#This Row],[ProductID]],Products!A:A,Products!C:C)</f>
        <v>Board Games</v>
      </c>
      <c r="J603">
        <v>7</v>
      </c>
      <c r="K603" s="5">
        <f>_xlfn.XLOOKUP(Table1[[#This Row],[ProductID]],Products!A:A,Products!E:E)</f>
        <v>81.069999999999993</v>
      </c>
      <c r="L603" s="5">
        <v>91.15</v>
      </c>
      <c r="M603" s="6">
        <v>0.24</v>
      </c>
      <c r="N603" t="s">
        <v>8</v>
      </c>
      <c r="O603" s="5">
        <f t="shared" si="45"/>
        <v>69.274000000000001</v>
      </c>
      <c r="P603" s="5">
        <f t="shared" si="46"/>
        <v>484.91800000000001</v>
      </c>
      <c r="Q603" s="5">
        <f>Table1[[#This Row],[Quantity]]*(Table1[[#This Row],[Saleprice]]-Table1[[#This Row],[Costprice]])</f>
        <v>-82.571999999999946</v>
      </c>
      <c r="R603">
        <f t="shared" si="47"/>
        <v>2022</v>
      </c>
      <c r="S603">
        <f t="shared" si="48"/>
        <v>7</v>
      </c>
      <c r="T603" t="str">
        <f t="shared" si="49"/>
        <v>July</v>
      </c>
    </row>
    <row r="604" spans="1:20" x14ac:dyDescent="0.3">
      <c r="A604" s="3">
        <v>44752</v>
      </c>
      <c r="B604">
        <v>105</v>
      </c>
      <c r="C604" s="3">
        <f>_xlfn.XLOOKUP(B604,Stores!A:A,Stores!E:E)</f>
        <v>44161</v>
      </c>
      <c r="D604">
        <v>216</v>
      </c>
      <c r="E604" s="3">
        <f>_xlfn.XLOOKUP(D604,SalesReps!A:A,SalesReps!D:D)</f>
        <v>44672</v>
      </c>
      <c r="F604" s="3" t="str">
        <f>_xlfn.XLOOKUP(Table1[[#This Row],[RepID]],SalesReps!A:A,SalesReps!E:E)</f>
        <v>Left</v>
      </c>
      <c r="G604">
        <v>303</v>
      </c>
      <c r="H604" t="str">
        <f>_xlfn.XLOOKUP(Table1[[#This Row],[ProductID]],Products!A:A,Products!B:B)</f>
        <v>Home &amp; Kitchen</v>
      </c>
      <c r="I604" t="str">
        <f>_xlfn.XLOOKUP(Table1[[#This Row],[ProductID]],Products!A:A,Products!C:C)</f>
        <v>Furniture</v>
      </c>
      <c r="J604">
        <v>2</v>
      </c>
      <c r="K604" s="5">
        <f>_xlfn.XLOOKUP(Table1[[#This Row],[ProductID]],Products!A:A,Products!E:E)</f>
        <v>192.04</v>
      </c>
      <c r="L604" s="5">
        <v>221.37</v>
      </c>
      <c r="M604" s="6">
        <v>0.06</v>
      </c>
      <c r="N604" t="s">
        <v>10</v>
      </c>
      <c r="O604" s="5">
        <f t="shared" si="45"/>
        <v>208.08779999999999</v>
      </c>
      <c r="P604" s="5">
        <f t="shared" si="46"/>
        <v>416.17559999999997</v>
      </c>
      <c r="Q604" s="5">
        <f>Table1[[#This Row],[Quantity]]*(Table1[[#This Row],[Saleprice]]-Table1[[#This Row],[Costprice]])</f>
        <v>32.09559999999999</v>
      </c>
      <c r="R604">
        <f t="shared" si="47"/>
        <v>2022</v>
      </c>
      <c r="S604">
        <f t="shared" si="48"/>
        <v>7</v>
      </c>
      <c r="T604" t="str">
        <f t="shared" si="49"/>
        <v>July</v>
      </c>
    </row>
    <row r="605" spans="1:20" x14ac:dyDescent="0.3">
      <c r="A605" s="3">
        <v>44752</v>
      </c>
      <c r="B605">
        <v>105</v>
      </c>
      <c r="C605" s="3">
        <f>_xlfn.XLOOKUP(B605,Stores!A:A,Stores!E:E)</f>
        <v>44161</v>
      </c>
      <c r="D605">
        <v>216</v>
      </c>
      <c r="E605" s="3">
        <f>_xlfn.XLOOKUP(D605,SalesReps!A:A,SalesReps!D:D)</f>
        <v>44672</v>
      </c>
      <c r="F605" s="3" t="str">
        <f>_xlfn.XLOOKUP(Table1[[#This Row],[RepID]],SalesReps!A:A,SalesReps!E:E)</f>
        <v>Left</v>
      </c>
      <c r="G605">
        <v>301</v>
      </c>
      <c r="H605" t="str">
        <f>_xlfn.XLOOKUP(Table1[[#This Row],[ProductID]],Products!A:A,Products!B:B)</f>
        <v>Electronics</v>
      </c>
      <c r="I605" t="str">
        <f>_xlfn.XLOOKUP(Table1[[#This Row],[ProductID]],Products!A:A,Products!C:C)</f>
        <v>Mobiles</v>
      </c>
      <c r="J605">
        <v>4</v>
      </c>
      <c r="K605" s="5">
        <f>_xlfn.XLOOKUP(Table1[[#This Row],[ProductID]],Products!A:A,Products!E:E)</f>
        <v>159.16</v>
      </c>
      <c r="L605" s="5">
        <v>233.25</v>
      </c>
      <c r="M605" s="6">
        <v>0.12</v>
      </c>
      <c r="N605" t="s">
        <v>10</v>
      </c>
      <c r="O605" s="5">
        <f t="shared" si="45"/>
        <v>205.26</v>
      </c>
      <c r="P605" s="5">
        <f t="shared" si="46"/>
        <v>821.04</v>
      </c>
      <c r="Q605" s="5">
        <f>Table1[[#This Row],[Quantity]]*(Table1[[#This Row],[Saleprice]]-Table1[[#This Row],[Costprice]])</f>
        <v>184.39999999999998</v>
      </c>
      <c r="R605">
        <f t="shared" si="47"/>
        <v>2022</v>
      </c>
      <c r="S605">
        <f t="shared" si="48"/>
        <v>7</v>
      </c>
      <c r="T605" t="str">
        <f t="shared" si="49"/>
        <v>July</v>
      </c>
    </row>
    <row r="606" spans="1:20" x14ac:dyDescent="0.3">
      <c r="A606" s="3">
        <v>44752</v>
      </c>
      <c r="B606">
        <v>105</v>
      </c>
      <c r="C606" s="3">
        <f>_xlfn.XLOOKUP(B606,Stores!A:A,Stores!E:E)</f>
        <v>44161</v>
      </c>
      <c r="D606">
        <v>216</v>
      </c>
      <c r="E606" s="3">
        <f>_xlfn.XLOOKUP(D606,SalesReps!A:A,SalesReps!D:D)</f>
        <v>44672</v>
      </c>
      <c r="F606" s="3" t="str">
        <f>_xlfn.XLOOKUP(Table1[[#This Row],[RepID]],SalesReps!A:A,SalesReps!E:E)</f>
        <v>Left</v>
      </c>
      <c r="G606">
        <v>304</v>
      </c>
      <c r="H606" t="str">
        <f>_xlfn.XLOOKUP(Table1[[#This Row],[ProductID]],Products!A:A,Products!B:B)</f>
        <v>Home &amp; Kitchen</v>
      </c>
      <c r="I606" t="str">
        <f>_xlfn.XLOOKUP(Table1[[#This Row],[ProductID]],Products!A:A,Products!C:C)</f>
        <v>Furniture</v>
      </c>
      <c r="J606">
        <v>3</v>
      </c>
      <c r="K606" s="5">
        <f>_xlfn.XLOOKUP(Table1[[#This Row],[ProductID]],Products!A:A,Products!E:E)</f>
        <v>345.38</v>
      </c>
      <c r="L606" s="5">
        <v>360.4</v>
      </c>
      <c r="M606" s="6">
        <v>0.14000000000000001</v>
      </c>
      <c r="N606" t="s">
        <v>10</v>
      </c>
      <c r="O606" s="5">
        <f t="shared" si="45"/>
        <v>309.94399999999996</v>
      </c>
      <c r="P606" s="5">
        <f t="shared" si="46"/>
        <v>929.83199999999988</v>
      </c>
      <c r="Q606" s="5">
        <f>Table1[[#This Row],[Quantity]]*(Table1[[#This Row],[Saleprice]]-Table1[[#This Row],[Costprice]])</f>
        <v>-106.30800000000011</v>
      </c>
      <c r="R606">
        <f t="shared" si="47"/>
        <v>2022</v>
      </c>
      <c r="S606">
        <f t="shared" si="48"/>
        <v>7</v>
      </c>
      <c r="T606" t="str">
        <f t="shared" si="49"/>
        <v>July</v>
      </c>
    </row>
    <row r="607" spans="1:20" x14ac:dyDescent="0.3">
      <c r="A607" s="3">
        <v>44753</v>
      </c>
      <c r="B607">
        <v>101</v>
      </c>
      <c r="C607" s="3">
        <f>_xlfn.XLOOKUP(B607,Stores!A:A,Stores!E:E)</f>
        <v>44691</v>
      </c>
      <c r="D607">
        <v>206</v>
      </c>
      <c r="E607" s="3">
        <f>_xlfn.XLOOKUP(D607,SalesReps!A:A,SalesReps!D:D)</f>
        <v>44357</v>
      </c>
      <c r="F607" s="3" t="str">
        <f>_xlfn.XLOOKUP(Table1[[#This Row],[RepID]],SalesReps!A:A,SalesReps!E:E)</f>
        <v>Active</v>
      </c>
      <c r="G607">
        <v>301</v>
      </c>
      <c r="H607" t="str">
        <f>_xlfn.XLOOKUP(Table1[[#This Row],[ProductID]],Products!A:A,Products!B:B)</f>
        <v>Electronics</v>
      </c>
      <c r="I607" t="str">
        <f>_xlfn.XLOOKUP(Table1[[#This Row],[ProductID]],Products!A:A,Products!C:C)</f>
        <v>Mobiles</v>
      </c>
      <c r="J607">
        <v>9</v>
      </c>
      <c r="K607" s="5">
        <f>_xlfn.XLOOKUP(Table1[[#This Row],[ProductID]],Products!A:A,Products!E:E)</f>
        <v>159.16</v>
      </c>
      <c r="L607" s="5">
        <v>204.55</v>
      </c>
      <c r="M607" s="6">
        <v>0.09</v>
      </c>
      <c r="N607" t="s">
        <v>8</v>
      </c>
      <c r="O607" s="5">
        <f t="shared" si="45"/>
        <v>186.1405</v>
      </c>
      <c r="P607" s="5">
        <f t="shared" si="46"/>
        <v>1675.2645</v>
      </c>
      <c r="Q607" s="5">
        <f>Table1[[#This Row],[Quantity]]*(Table1[[#This Row],[Saleprice]]-Table1[[#This Row],[Costprice]])</f>
        <v>242.82450000000006</v>
      </c>
      <c r="R607">
        <f t="shared" si="47"/>
        <v>2022</v>
      </c>
      <c r="S607">
        <f t="shared" si="48"/>
        <v>7</v>
      </c>
      <c r="T607" t="str">
        <f t="shared" si="49"/>
        <v>July</v>
      </c>
    </row>
    <row r="608" spans="1:20" x14ac:dyDescent="0.3">
      <c r="A608" s="3">
        <v>44753</v>
      </c>
      <c r="B608">
        <v>109</v>
      </c>
      <c r="C608" s="3">
        <f>_xlfn.XLOOKUP(B608,Stores!A:A,Stores!E:E)</f>
        <v>44600</v>
      </c>
      <c r="D608">
        <v>214</v>
      </c>
      <c r="E608" s="3">
        <f>_xlfn.XLOOKUP(D608,SalesReps!A:A,SalesReps!D:D)</f>
        <v>44707</v>
      </c>
      <c r="F608" s="3" t="str">
        <f>_xlfn.XLOOKUP(Table1[[#This Row],[RepID]],SalesReps!A:A,SalesReps!E:E)</f>
        <v>Active</v>
      </c>
      <c r="G608">
        <v>320</v>
      </c>
      <c r="H608" t="str">
        <f>_xlfn.XLOOKUP(Table1[[#This Row],[ProductID]],Products!A:A,Products!B:B)</f>
        <v>Toys</v>
      </c>
      <c r="I608" t="str">
        <f>_xlfn.XLOOKUP(Table1[[#This Row],[ProductID]],Products!A:A,Products!C:C)</f>
        <v>Outdoor</v>
      </c>
      <c r="J608">
        <v>5</v>
      </c>
      <c r="K608" s="5">
        <f>_xlfn.XLOOKUP(Table1[[#This Row],[ProductID]],Products!A:A,Products!E:E)</f>
        <v>304.58999999999997</v>
      </c>
      <c r="L608" s="5">
        <v>391.59</v>
      </c>
      <c r="M608" s="6">
        <v>0.23</v>
      </c>
      <c r="N608" t="s">
        <v>11</v>
      </c>
      <c r="O608" s="5">
        <f t="shared" si="45"/>
        <v>301.52429999999998</v>
      </c>
      <c r="P608" s="5">
        <f t="shared" si="46"/>
        <v>1507.6215</v>
      </c>
      <c r="Q608" s="5">
        <f>Table1[[#This Row],[Quantity]]*(Table1[[#This Row],[Saleprice]]-Table1[[#This Row],[Costprice]])</f>
        <v>-15.328499999999963</v>
      </c>
      <c r="R608">
        <f t="shared" si="47"/>
        <v>2022</v>
      </c>
      <c r="S608">
        <f t="shared" si="48"/>
        <v>7</v>
      </c>
      <c r="T608" t="str">
        <f t="shared" si="49"/>
        <v>July</v>
      </c>
    </row>
    <row r="609" spans="1:20" x14ac:dyDescent="0.3">
      <c r="A609" s="3">
        <v>44753</v>
      </c>
      <c r="B609">
        <v>109</v>
      </c>
      <c r="C609" s="3">
        <f>_xlfn.XLOOKUP(B609,Stores!A:A,Stores!E:E)</f>
        <v>44600</v>
      </c>
      <c r="D609">
        <v>214</v>
      </c>
      <c r="E609" s="3">
        <f>_xlfn.XLOOKUP(D609,SalesReps!A:A,SalesReps!D:D)</f>
        <v>44707</v>
      </c>
      <c r="F609" s="3" t="str">
        <f>_xlfn.XLOOKUP(Table1[[#This Row],[RepID]],SalesReps!A:A,SalesReps!E:E)</f>
        <v>Active</v>
      </c>
      <c r="G609">
        <v>308</v>
      </c>
      <c r="H609" t="str">
        <f>_xlfn.XLOOKUP(Table1[[#This Row],[ProductID]],Products!A:A,Products!B:B)</f>
        <v>Home &amp; Kitchen</v>
      </c>
      <c r="I609" t="str">
        <f>_xlfn.XLOOKUP(Table1[[#This Row],[ProductID]],Products!A:A,Products!C:C)</f>
        <v>Furniture</v>
      </c>
      <c r="J609">
        <v>4</v>
      </c>
      <c r="K609" s="5">
        <f>_xlfn.XLOOKUP(Table1[[#This Row],[ProductID]],Products!A:A,Products!E:E)</f>
        <v>377.46</v>
      </c>
      <c r="L609" s="5">
        <v>457.07</v>
      </c>
      <c r="M609" s="6">
        <v>0.18</v>
      </c>
      <c r="N609" t="s">
        <v>11</v>
      </c>
      <c r="O609" s="5">
        <f t="shared" si="45"/>
        <v>374.79740000000004</v>
      </c>
      <c r="P609" s="5">
        <f t="shared" si="46"/>
        <v>1499.1896000000002</v>
      </c>
      <c r="Q609" s="5">
        <f>Table1[[#This Row],[Quantity]]*(Table1[[#This Row],[Saleprice]]-Table1[[#This Row],[Costprice]])</f>
        <v>-10.650399999999763</v>
      </c>
      <c r="R609">
        <f t="shared" si="47"/>
        <v>2022</v>
      </c>
      <c r="S609">
        <f t="shared" si="48"/>
        <v>7</v>
      </c>
      <c r="T609" t="str">
        <f t="shared" si="49"/>
        <v>July</v>
      </c>
    </row>
    <row r="610" spans="1:20" x14ac:dyDescent="0.3">
      <c r="A610" s="3">
        <v>44753</v>
      </c>
      <c r="B610">
        <v>106</v>
      </c>
      <c r="C610" s="3">
        <f>_xlfn.XLOOKUP(B610,Stores!A:A,Stores!E:E)</f>
        <v>43918</v>
      </c>
      <c r="D610">
        <v>212</v>
      </c>
      <c r="E610" s="3">
        <f>_xlfn.XLOOKUP(D610,SalesReps!A:A,SalesReps!D:D)</f>
        <v>44671</v>
      </c>
      <c r="F610" s="3" t="str">
        <f>_xlfn.XLOOKUP(Table1[[#This Row],[RepID]],SalesReps!A:A,SalesReps!E:E)</f>
        <v>Active</v>
      </c>
      <c r="G610">
        <v>316</v>
      </c>
      <c r="H610" t="str">
        <f>_xlfn.XLOOKUP(Table1[[#This Row],[ProductID]],Products!A:A,Products!B:B)</f>
        <v>Home &amp; Kitchen</v>
      </c>
      <c r="I610" t="str">
        <f>_xlfn.XLOOKUP(Table1[[#This Row],[ProductID]],Products!A:A,Products!C:C)</f>
        <v>Furniture</v>
      </c>
      <c r="J610">
        <v>6</v>
      </c>
      <c r="K610" s="5">
        <f>_xlfn.XLOOKUP(Table1[[#This Row],[ProductID]],Products!A:A,Products!E:E)</f>
        <v>334.95</v>
      </c>
      <c r="L610" s="5">
        <v>422.33</v>
      </c>
      <c r="M610" s="6">
        <v>0.18</v>
      </c>
      <c r="N610" t="s">
        <v>10</v>
      </c>
      <c r="O610" s="5">
        <f t="shared" si="45"/>
        <v>346.31060000000002</v>
      </c>
      <c r="P610" s="5">
        <f t="shared" si="46"/>
        <v>2077.8636000000001</v>
      </c>
      <c r="Q610" s="5">
        <f>Table1[[#This Row],[Quantity]]*(Table1[[#This Row],[Saleprice]]-Table1[[#This Row],[Costprice]])</f>
        <v>68.163600000000201</v>
      </c>
      <c r="R610">
        <f t="shared" si="47"/>
        <v>2022</v>
      </c>
      <c r="S610">
        <f t="shared" si="48"/>
        <v>7</v>
      </c>
      <c r="T610" t="str">
        <f t="shared" si="49"/>
        <v>July</v>
      </c>
    </row>
    <row r="611" spans="1:20" x14ac:dyDescent="0.3">
      <c r="A611" s="3">
        <v>44754</v>
      </c>
      <c r="B611">
        <v>101</v>
      </c>
      <c r="C611" s="3">
        <f>_xlfn.XLOOKUP(B611,Stores!A:A,Stores!E:E)</f>
        <v>44691</v>
      </c>
      <c r="D611">
        <v>203</v>
      </c>
      <c r="E611" s="3">
        <f>_xlfn.XLOOKUP(D611,SalesReps!A:A,SalesReps!D:D)</f>
        <v>44582</v>
      </c>
      <c r="F611" s="3" t="str">
        <f>_xlfn.XLOOKUP(Table1[[#This Row],[RepID]],SalesReps!A:A,SalesReps!E:E)</f>
        <v>Active</v>
      </c>
      <c r="G611">
        <v>304</v>
      </c>
      <c r="H611" t="str">
        <f>_xlfn.XLOOKUP(Table1[[#This Row],[ProductID]],Products!A:A,Products!B:B)</f>
        <v>Home &amp; Kitchen</v>
      </c>
      <c r="I611" t="str">
        <f>_xlfn.XLOOKUP(Table1[[#This Row],[ProductID]],Products!A:A,Products!C:C)</f>
        <v>Furniture</v>
      </c>
      <c r="J611">
        <v>7</v>
      </c>
      <c r="K611" s="5">
        <f>_xlfn.XLOOKUP(Table1[[#This Row],[ProductID]],Products!A:A,Products!E:E)</f>
        <v>345.38</v>
      </c>
      <c r="L611" s="5">
        <v>401.66</v>
      </c>
      <c r="M611" s="6">
        <v>0.09</v>
      </c>
      <c r="N611" t="s">
        <v>8</v>
      </c>
      <c r="O611" s="5">
        <f t="shared" si="45"/>
        <v>365.51060000000001</v>
      </c>
      <c r="P611" s="5">
        <f t="shared" si="46"/>
        <v>2558.5742</v>
      </c>
      <c r="Q611" s="5">
        <f>Table1[[#This Row],[Quantity]]*(Table1[[#This Row],[Saleprice]]-Table1[[#This Row],[Costprice]])</f>
        <v>140.91420000000011</v>
      </c>
      <c r="R611">
        <f t="shared" si="47"/>
        <v>2022</v>
      </c>
      <c r="S611">
        <f t="shared" si="48"/>
        <v>7</v>
      </c>
      <c r="T611" t="str">
        <f t="shared" si="49"/>
        <v>July</v>
      </c>
    </row>
    <row r="612" spans="1:20" x14ac:dyDescent="0.3">
      <c r="A612" s="3">
        <v>44754</v>
      </c>
      <c r="B612">
        <v>101</v>
      </c>
      <c r="C612" s="3">
        <f>_xlfn.XLOOKUP(B612,Stores!A:A,Stores!E:E)</f>
        <v>44691</v>
      </c>
      <c r="D612">
        <v>203</v>
      </c>
      <c r="E612" s="3">
        <f>_xlfn.XLOOKUP(D612,SalesReps!A:A,SalesReps!D:D)</f>
        <v>44582</v>
      </c>
      <c r="F612" s="3" t="str">
        <f>_xlfn.XLOOKUP(Table1[[#This Row],[RepID]],SalesReps!A:A,SalesReps!E:E)</f>
        <v>Active</v>
      </c>
      <c r="G612">
        <v>313</v>
      </c>
      <c r="H612" t="str">
        <f>_xlfn.XLOOKUP(Table1[[#This Row],[ProductID]],Products!A:A,Products!B:B)</f>
        <v>Clothing</v>
      </c>
      <c r="I612" t="str">
        <f>_xlfn.XLOOKUP(Table1[[#This Row],[ProductID]],Products!A:A,Products!C:C)</f>
        <v>Women</v>
      </c>
      <c r="J612">
        <v>5</v>
      </c>
      <c r="K612" s="5">
        <f>_xlfn.XLOOKUP(Table1[[#This Row],[ProductID]],Products!A:A,Products!E:E)</f>
        <v>104</v>
      </c>
      <c r="L612" s="5">
        <v>123.73</v>
      </c>
      <c r="M612" s="6">
        <v>0.25</v>
      </c>
      <c r="N612" t="s">
        <v>8</v>
      </c>
      <c r="O612" s="5">
        <f t="shared" si="45"/>
        <v>92.797499999999999</v>
      </c>
      <c r="P612" s="5">
        <f t="shared" si="46"/>
        <v>463.98750000000001</v>
      </c>
      <c r="Q612" s="5">
        <f>Table1[[#This Row],[Quantity]]*(Table1[[#This Row],[Saleprice]]-Table1[[#This Row],[Costprice]])</f>
        <v>-56.012500000000003</v>
      </c>
      <c r="R612">
        <f t="shared" si="47"/>
        <v>2022</v>
      </c>
      <c r="S612">
        <f t="shared" si="48"/>
        <v>7</v>
      </c>
      <c r="T612" t="str">
        <f t="shared" si="49"/>
        <v>July</v>
      </c>
    </row>
    <row r="613" spans="1:20" x14ac:dyDescent="0.3">
      <c r="A613" s="3">
        <v>44755</v>
      </c>
      <c r="B613">
        <v>109</v>
      </c>
      <c r="C613" s="3">
        <f>_xlfn.XLOOKUP(B613,Stores!A:A,Stores!E:E)</f>
        <v>44600</v>
      </c>
      <c r="D613">
        <v>214</v>
      </c>
      <c r="E613" s="3">
        <f>_xlfn.XLOOKUP(D613,SalesReps!A:A,SalesReps!D:D)</f>
        <v>44707</v>
      </c>
      <c r="F613" s="3" t="str">
        <f>_xlfn.XLOOKUP(Table1[[#This Row],[RepID]],SalesReps!A:A,SalesReps!E:E)</f>
        <v>Active</v>
      </c>
      <c r="G613">
        <v>317</v>
      </c>
      <c r="H613" t="str">
        <f>_xlfn.XLOOKUP(Table1[[#This Row],[ProductID]],Products!A:A,Products!B:B)</f>
        <v>Toys</v>
      </c>
      <c r="I613" t="str">
        <f>_xlfn.XLOOKUP(Table1[[#This Row],[ProductID]],Products!A:A,Products!C:C)</f>
        <v>Educational</v>
      </c>
      <c r="J613">
        <v>8</v>
      </c>
      <c r="K613" s="5">
        <f>_xlfn.XLOOKUP(Table1[[#This Row],[ProductID]],Products!A:A,Products!E:E)</f>
        <v>77.61</v>
      </c>
      <c r="L613" s="5">
        <v>171.59</v>
      </c>
      <c r="M613" s="6">
        <v>0.06</v>
      </c>
      <c r="N613" t="s">
        <v>11</v>
      </c>
      <c r="O613" s="5">
        <f t="shared" si="45"/>
        <v>161.2946</v>
      </c>
      <c r="P613" s="5">
        <f t="shared" si="46"/>
        <v>1290.3568</v>
      </c>
      <c r="Q613" s="5">
        <f>Table1[[#This Row],[Quantity]]*(Table1[[#This Row],[Saleprice]]-Table1[[#This Row],[Costprice]])</f>
        <v>669.47680000000003</v>
      </c>
      <c r="R613">
        <f t="shared" si="47"/>
        <v>2022</v>
      </c>
      <c r="S613">
        <f t="shared" si="48"/>
        <v>7</v>
      </c>
      <c r="T613" t="str">
        <f t="shared" si="49"/>
        <v>July</v>
      </c>
    </row>
    <row r="614" spans="1:20" x14ac:dyDescent="0.3">
      <c r="A614" s="3">
        <v>44755</v>
      </c>
      <c r="B614">
        <v>101</v>
      </c>
      <c r="C614" s="3">
        <f>_xlfn.XLOOKUP(B614,Stores!A:A,Stores!E:E)</f>
        <v>44691</v>
      </c>
      <c r="D614">
        <v>206</v>
      </c>
      <c r="E614" s="3">
        <f>_xlfn.XLOOKUP(D614,SalesReps!A:A,SalesReps!D:D)</f>
        <v>44357</v>
      </c>
      <c r="F614" s="3" t="str">
        <f>_xlfn.XLOOKUP(Table1[[#This Row],[RepID]],SalesReps!A:A,SalesReps!E:E)</f>
        <v>Active</v>
      </c>
      <c r="G614">
        <v>318</v>
      </c>
      <c r="H614" t="str">
        <f>_xlfn.XLOOKUP(Table1[[#This Row],[ProductID]],Products!A:A,Products!B:B)</f>
        <v>Electronics</v>
      </c>
      <c r="I614" t="str">
        <f>_xlfn.XLOOKUP(Table1[[#This Row],[ProductID]],Products!A:A,Products!C:C)</f>
        <v>Mobiles</v>
      </c>
      <c r="J614">
        <v>9</v>
      </c>
      <c r="K614" s="5">
        <f>_xlfn.XLOOKUP(Table1[[#This Row],[ProductID]],Products!A:A,Products!E:E)</f>
        <v>162.51</v>
      </c>
      <c r="L614" s="5">
        <v>219.57</v>
      </c>
      <c r="M614" s="6">
        <v>0.13</v>
      </c>
      <c r="N614" t="s">
        <v>8</v>
      </c>
      <c r="O614" s="5">
        <f t="shared" si="45"/>
        <v>191.02590000000001</v>
      </c>
      <c r="P614" s="5">
        <f t="shared" si="46"/>
        <v>1719.2331000000001</v>
      </c>
      <c r="Q614" s="5">
        <f>Table1[[#This Row],[Quantity]]*(Table1[[#This Row],[Saleprice]]-Table1[[#This Row],[Costprice]])</f>
        <v>256.64310000000012</v>
      </c>
      <c r="R614">
        <f t="shared" si="47"/>
        <v>2022</v>
      </c>
      <c r="S614">
        <f t="shared" si="48"/>
        <v>7</v>
      </c>
      <c r="T614" t="str">
        <f t="shared" si="49"/>
        <v>July</v>
      </c>
    </row>
    <row r="615" spans="1:20" x14ac:dyDescent="0.3">
      <c r="A615" s="3">
        <v>44755</v>
      </c>
      <c r="B615">
        <v>105</v>
      </c>
      <c r="C615" s="3">
        <f>_xlfn.XLOOKUP(B615,Stores!A:A,Stores!E:E)</f>
        <v>44161</v>
      </c>
      <c r="D615">
        <v>216</v>
      </c>
      <c r="E615" s="3">
        <f>_xlfn.XLOOKUP(D615,SalesReps!A:A,SalesReps!D:D)</f>
        <v>44672</v>
      </c>
      <c r="F615" s="3" t="str">
        <f>_xlfn.XLOOKUP(Table1[[#This Row],[RepID]],SalesReps!A:A,SalesReps!E:E)</f>
        <v>Left</v>
      </c>
      <c r="G615">
        <v>303</v>
      </c>
      <c r="H615" t="str">
        <f>_xlfn.XLOOKUP(Table1[[#This Row],[ProductID]],Products!A:A,Products!B:B)</f>
        <v>Home &amp; Kitchen</v>
      </c>
      <c r="I615" t="str">
        <f>_xlfn.XLOOKUP(Table1[[#This Row],[ProductID]],Products!A:A,Products!C:C)</f>
        <v>Furniture</v>
      </c>
      <c r="J615">
        <v>6</v>
      </c>
      <c r="K615" s="5">
        <f>_xlfn.XLOOKUP(Table1[[#This Row],[ProductID]],Products!A:A,Products!E:E)</f>
        <v>192.04</v>
      </c>
      <c r="L615" s="5">
        <v>221.37</v>
      </c>
      <c r="M615" s="6">
        <v>0.06</v>
      </c>
      <c r="N615" t="s">
        <v>10</v>
      </c>
      <c r="O615" s="5">
        <f t="shared" si="45"/>
        <v>208.08779999999999</v>
      </c>
      <c r="P615" s="5">
        <f t="shared" si="46"/>
        <v>1248.5267999999999</v>
      </c>
      <c r="Q615" s="5">
        <f>Table1[[#This Row],[Quantity]]*(Table1[[#This Row],[Saleprice]]-Table1[[#This Row],[Costprice]])</f>
        <v>96.286799999999971</v>
      </c>
      <c r="R615">
        <f t="shared" si="47"/>
        <v>2022</v>
      </c>
      <c r="S615">
        <f t="shared" si="48"/>
        <v>7</v>
      </c>
      <c r="T615" t="str">
        <f t="shared" si="49"/>
        <v>July</v>
      </c>
    </row>
    <row r="616" spans="1:20" x14ac:dyDescent="0.3">
      <c r="A616" s="3">
        <v>44756</v>
      </c>
      <c r="B616">
        <v>105</v>
      </c>
      <c r="C616" s="3">
        <f>_xlfn.XLOOKUP(B616,Stores!A:A,Stores!E:E)</f>
        <v>44161</v>
      </c>
      <c r="D616">
        <v>216</v>
      </c>
      <c r="E616" s="3">
        <f>_xlfn.XLOOKUP(D616,SalesReps!A:A,SalesReps!D:D)</f>
        <v>44672</v>
      </c>
      <c r="F616" s="3" t="str">
        <f>_xlfn.XLOOKUP(Table1[[#This Row],[RepID]],SalesReps!A:A,SalesReps!E:E)</f>
        <v>Left</v>
      </c>
      <c r="G616">
        <v>301</v>
      </c>
      <c r="H616" t="str">
        <f>_xlfn.XLOOKUP(Table1[[#This Row],[ProductID]],Products!A:A,Products!B:B)</f>
        <v>Electronics</v>
      </c>
      <c r="I616" t="str">
        <f>_xlfn.XLOOKUP(Table1[[#This Row],[ProductID]],Products!A:A,Products!C:C)</f>
        <v>Mobiles</v>
      </c>
      <c r="J616">
        <v>3</v>
      </c>
      <c r="K616" s="5">
        <f>_xlfn.XLOOKUP(Table1[[#This Row],[ProductID]],Products!A:A,Products!E:E)</f>
        <v>159.16</v>
      </c>
      <c r="L616" s="5">
        <v>233.25</v>
      </c>
      <c r="M616" s="6">
        <v>0.12</v>
      </c>
      <c r="N616" t="s">
        <v>10</v>
      </c>
      <c r="O616" s="5">
        <f t="shared" si="45"/>
        <v>205.26</v>
      </c>
      <c r="P616" s="5">
        <f t="shared" si="46"/>
        <v>615.78</v>
      </c>
      <c r="Q616" s="5">
        <f>Table1[[#This Row],[Quantity]]*(Table1[[#This Row],[Saleprice]]-Table1[[#This Row],[Costprice]])</f>
        <v>138.29999999999998</v>
      </c>
      <c r="R616">
        <f t="shared" si="47"/>
        <v>2022</v>
      </c>
      <c r="S616">
        <f t="shared" si="48"/>
        <v>7</v>
      </c>
      <c r="T616" t="str">
        <f t="shared" si="49"/>
        <v>July</v>
      </c>
    </row>
    <row r="617" spans="1:20" x14ac:dyDescent="0.3">
      <c r="A617" s="3">
        <v>44757</v>
      </c>
      <c r="B617">
        <v>101</v>
      </c>
      <c r="C617" s="3">
        <f>_xlfn.XLOOKUP(B617,Stores!A:A,Stores!E:E)</f>
        <v>44691</v>
      </c>
      <c r="D617">
        <v>203</v>
      </c>
      <c r="E617" s="3">
        <f>_xlfn.XLOOKUP(D617,SalesReps!A:A,SalesReps!D:D)</f>
        <v>44582</v>
      </c>
      <c r="F617" s="3" t="str">
        <f>_xlfn.XLOOKUP(Table1[[#This Row],[RepID]],SalesReps!A:A,SalesReps!E:E)</f>
        <v>Active</v>
      </c>
      <c r="G617">
        <v>302</v>
      </c>
      <c r="H617" t="str">
        <f>_xlfn.XLOOKUP(Table1[[#This Row],[ProductID]],Products!A:A,Products!B:B)</f>
        <v>Toys</v>
      </c>
      <c r="I617" t="str">
        <f>_xlfn.XLOOKUP(Table1[[#This Row],[ProductID]],Products!A:A,Products!C:C)</f>
        <v>Outdoor</v>
      </c>
      <c r="J617">
        <v>7</v>
      </c>
      <c r="K617" s="5">
        <f>_xlfn.XLOOKUP(Table1[[#This Row],[ProductID]],Products!A:A,Products!E:E)</f>
        <v>393.46</v>
      </c>
      <c r="L617" s="5">
        <v>426.61</v>
      </c>
      <c r="M617" s="6">
        <v>0.08</v>
      </c>
      <c r="N617" t="s">
        <v>8</v>
      </c>
      <c r="O617" s="5">
        <f t="shared" si="45"/>
        <v>392.48120000000006</v>
      </c>
      <c r="P617" s="5">
        <f t="shared" si="46"/>
        <v>2747.3684000000003</v>
      </c>
      <c r="Q617" s="5">
        <f>Table1[[#This Row],[Quantity]]*(Table1[[#This Row],[Saleprice]]-Table1[[#This Row],[Costprice]])</f>
        <v>-6.8515999999994506</v>
      </c>
      <c r="R617">
        <f t="shared" si="47"/>
        <v>2022</v>
      </c>
      <c r="S617">
        <f t="shared" si="48"/>
        <v>7</v>
      </c>
      <c r="T617" t="str">
        <f t="shared" si="49"/>
        <v>July</v>
      </c>
    </row>
    <row r="618" spans="1:20" x14ac:dyDescent="0.3">
      <c r="A618" s="3">
        <v>44757</v>
      </c>
      <c r="B618">
        <v>105</v>
      </c>
      <c r="C618" s="3">
        <f>_xlfn.XLOOKUP(B618,Stores!A:A,Stores!E:E)</f>
        <v>44161</v>
      </c>
      <c r="D618">
        <v>216</v>
      </c>
      <c r="E618" s="3">
        <f>_xlfn.XLOOKUP(D618,SalesReps!A:A,SalesReps!D:D)</f>
        <v>44672</v>
      </c>
      <c r="F618" s="3" t="str">
        <f>_xlfn.XLOOKUP(Table1[[#This Row],[RepID]],SalesReps!A:A,SalesReps!E:E)</f>
        <v>Left</v>
      </c>
      <c r="G618">
        <v>303</v>
      </c>
      <c r="H618" t="str">
        <f>_xlfn.XLOOKUP(Table1[[#This Row],[ProductID]],Products!A:A,Products!B:B)</f>
        <v>Home &amp; Kitchen</v>
      </c>
      <c r="I618" t="str">
        <f>_xlfn.XLOOKUP(Table1[[#This Row],[ProductID]],Products!A:A,Products!C:C)</f>
        <v>Furniture</v>
      </c>
      <c r="J618">
        <v>9</v>
      </c>
      <c r="K618" s="5">
        <f>_xlfn.XLOOKUP(Table1[[#This Row],[ProductID]],Products!A:A,Products!E:E)</f>
        <v>192.04</v>
      </c>
      <c r="L618" s="5">
        <v>221.37</v>
      </c>
      <c r="M618" s="6">
        <v>0.06</v>
      </c>
      <c r="N618" t="s">
        <v>10</v>
      </c>
      <c r="O618" s="5">
        <f t="shared" si="45"/>
        <v>208.08779999999999</v>
      </c>
      <c r="P618" s="5">
        <f t="shared" si="46"/>
        <v>1872.7901999999999</v>
      </c>
      <c r="Q618" s="5">
        <f>Table1[[#This Row],[Quantity]]*(Table1[[#This Row],[Saleprice]]-Table1[[#This Row],[Costprice]])</f>
        <v>144.43019999999996</v>
      </c>
      <c r="R618">
        <f t="shared" si="47"/>
        <v>2022</v>
      </c>
      <c r="S618">
        <f t="shared" si="48"/>
        <v>7</v>
      </c>
      <c r="T618" t="str">
        <f t="shared" si="49"/>
        <v>July</v>
      </c>
    </row>
    <row r="619" spans="1:20" x14ac:dyDescent="0.3">
      <c r="A619" s="3">
        <v>44757</v>
      </c>
      <c r="B619">
        <v>105</v>
      </c>
      <c r="C619" s="3">
        <f>_xlfn.XLOOKUP(B619,Stores!A:A,Stores!E:E)</f>
        <v>44161</v>
      </c>
      <c r="D619">
        <v>216</v>
      </c>
      <c r="E619" s="3">
        <f>_xlfn.XLOOKUP(D619,SalesReps!A:A,SalesReps!D:D)</f>
        <v>44672</v>
      </c>
      <c r="F619" s="3" t="str">
        <f>_xlfn.XLOOKUP(Table1[[#This Row],[RepID]],SalesReps!A:A,SalesReps!E:E)</f>
        <v>Left</v>
      </c>
      <c r="G619">
        <v>312</v>
      </c>
      <c r="H619" t="str">
        <f>_xlfn.XLOOKUP(Table1[[#This Row],[ProductID]],Products!A:A,Products!B:B)</f>
        <v>Toys</v>
      </c>
      <c r="I619" t="str">
        <f>_xlfn.XLOOKUP(Table1[[#This Row],[ProductID]],Products!A:A,Products!C:C)</f>
        <v>Board Games</v>
      </c>
      <c r="J619">
        <v>7</v>
      </c>
      <c r="K619" s="5">
        <f>_xlfn.XLOOKUP(Table1[[#This Row],[ProductID]],Products!A:A,Products!E:E)</f>
        <v>100.05</v>
      </c>
      <c r="L619" s="5">
        <v>105.54</v>
      </c>
      <c r="M619" s="6">
        <v>0.18</v>
      </c>
      <c r="N619" t="s">
        <v>10</v>
      </c>
      <c r="O619" s="5">
        <f t="shared" si="45"/>
        <v>86.542800000000014</v>
      </c>
      <c r="P619" s="5">
        <f t="shared" si="46"/>
        <v>605.79960000000005</v>
      </c>
      <c r="Q619" s="5">
        <f>Table1[[#This Row],[Quantity]]*(Table1[[#This Row],[Saleprice]]-Table1[[#This Row],[Costprice]])</f>
        <v>-94.550399999999883</v>
      </c>
      <c r="R619">
        <f t="shared" si="47"/>
        <v>2022</v>
      </c>
      <c r="S619">
        <f t="shared" si="48"/>
        <v>7</v>
      </c>
      <c r="T619" t="str">
        <f t="shared" si="49"/>
        <v>July</v>
      </c>
    </row>
    <row r="620" spans="1:20" x14ac:dyDescent="0.3">
      <c r="A620" s="3">
        <v>44757</v>
      </c>
      <c r="B620">
        <v>109</v>
      </c>
      <c r="C620" s="3">
        <f>_xlfn.XLOOKUP(B620,Stores!A:A,Stores!E:E)</f>
        <v>44600</v>
      </c>
      <c r="D620">
        <v>214</v>
      </c>
      <c r="E620" s="3">
        <f>_xlfn.XLOOKUP(D620,SalesReps!A:A,SalesReps!D:D)</f>
        <v>44707</v>
      </c>
      <c r="F620" s="3" t="str">
        <f>_xlfn.XLOOKUP(Table1[[#This Row],[RepID]],SalesReps!A:A,SalesReps!E:E)</f>
        <v>Active</v>
      </c>
      <c r="G620">
        <v>316</v>
      </c>
      <c r="H620" t="str">
        <f>_xlfn.XLOOKUP(Table1[[#This Row],[ProductID]],Products!A:A,Products!B:B)</f>
        <v>Home &amp; Kitchen</v>
      </c>
      <c r="I620" t="str">
        <f>_xlfn.XLOOKUP(Table1[[#This Row],[ProductID]],Products!A:A,Products!C:C)</f>
        <v>Furniture</v>
      </c>
      <c r="J620">
        <v>4</v>
      </c>
      <c r="K620" s="5">
        <f>_xlfn.XLOOKUP(Table1[[#This Row],[ProductID]],Products!A:A,Products!E:E)</f>
        <v>334.95</v>
      </c>
      <c r="L620" s="5">
        <v>417.01</v>
      </c>
      <c r="M620" s="6">
        <v>0.21</v>
      </c>
      <c r="N620" t="s">
        <v>11</v>
      </c>
      <c r="O620" s="5">
        <f t="shared" si="45"/>
        <v>329.43790000000001</v>
      </c>
      <c r="P620" s="5">
        <f t="shared" si="46"/>
        <v>1317.7516000000001</v>
      </c>
      <c r="Q620" s="5">
        <f>Table1[[#This Row],[Quantity]]*(Table1[[#This Row],[Saleprice]]-Table1[[#This Row],[Costprice]])</f>
        <v>-22.048399999999901</v>
      </c>
      <c r="R620">
        <f t="shared" si="47"/>
        <v>2022</v>
      </c>
      <c r="S620">
        <f t="shared" si="48"/>
        <v>7</v>
      </c>
      <c r="T620" t="str">
        <f t="shared" si="49"/>
        <v>July</v>
      </c>
    </row>
    <row r="621" spans="1:20" x14ac:dyDescent="0.3">
      <c r="A621" s="3">
        <v>44758</v>
      </c>
      <c r="B621">
        <v>109</v>
      </c>
      <c r="C621" s="3">
        <f>_xlfn.XLOOKUP(B621,Stores!A:A,Stores!E:E)</f>
        <v>44600</v>
      </c>
      <c r="D621">
        <v>214</v>
      </c>
      <c r="E621" s="3">
        <f>_xlfn.XLOOKUP(D621,SalesReps!A:A,SalesReps!D:D)</f>
        <v>44707</v>
      </c>
      <c r="F621" s="3" t="str">
        <f>_xlfn.XLOOKUP(Table1[[#This Row],[RepID]],SalesReps!A:A,SalesReps!E:E)</f>
        <v>Active</v>
      </c>
      <c r="G621">
        <v>304</v>
      </c>
      <c r="H621" t="str">
        <f>_xlfn.XLOOKUP(Table1[[#This Row],[ProductID]],Products!A:A,Products!B:B)</f>
        <v>Home &amp; Kitchen</v>
      </c>
      <c r="I621" t="str">
        <f>_xlfn.XLOOKUP(Table1[[#This Row],[ProductID]],Products!A:A,Products!C:C)</f>
        <v>Furniture</v>
      </c>
      <c r="J621">
        <v>1</v>
      </c>
      <c r="K621" s="5">
        <f>_xlfn.XLOOKUP(Table1[[#This Row],[ProductID]],Products!A:A,Products!E:E)</f>
        <v>345.38</v>
      </c>
      <c r="L621" s="5">
        <v>436.53</v>
      </c>
      <c r="M621" s="6">
        <v>0.1</v>
      </c>
      <c r="N621" t="s">
        <v>11</v>
      </c>
      <c r="O621" s="5">
        <f t="shared" si="45"/>
        <v>392.87700000000001</v>
      </c>
      <c r="P621" s="5">
        <f t="shared" si="46"/>
        <v>392.87700000000001</v>
      </c>
      <c r="Q621" s="5">
        <f>Table1[[#This Row],[Quantity]]*(Table1[[#This Row],[Saleprice]]-Table1[[#This Row],[Costprice]])</f>
        <v>47.497000000000014</v>
      </c>
      <c r="R621">
        <f t="shared" si="47"/>
        <v>2022</v>
      </c>
      <c r="S621">
        <f t="shared" si="48"/>
        <v>7</v>
      </c>
      <c r="T621" t="str">
        <f t="shared" si="49"/>
        <v>July</v>
      </c>
    </row>
    <row r="622" spans="1:20" x14ac:dyDescent="0.3">
      <c r="A622" s="3">
        <v>44758</v>
      </c>
      <c r="B622">
        <v>105</v>
      </c>
      <c r="C622" s="3">
        <f>_xlfn.XLOOKUP(B622,Stores!A:A,Stores!E:E)</f>
        <v>44161</v>
      </c>
      <c r="D622">
        <v>216</v>
      </c>
      <c r="E622" s="3">
        <f>_xlfn.XLOOKUP(D622,SalesReps!A:A,SalesReps!D:D)</f>
        <v>44672</v>
      </c>
      <c r="F622" s="3" t="str">
        <f>_xlfn.XLOOKUP(Table1[[#This Row],[RepID]],SalesReps!A:A,SalesReps!E:E)</f>
        <v>Left</v>
      </c>
      <c r="G622">
        <v>302</v>
      </c>
      <c r="H622" t="str">
        <f>_xlfn.XLOOKUP(Table1[[#This Row],[ProductID]],Products!A:A,Products!B:B)</f>
        <v>Toys</v>
      </c>
      <c r="I622" t="str">
        <f>_xlfn.XLOOKUP(Table1[[#This Row],[ProductID]],Products!A:A,Products!C:C)</f>
        <v>Outdoor</v>
      </c>
      <c r="J622">
        <v>6</v>
      </c>
      <c r="K622" s="5">
        <f>_xlfn.XLOOKUP(Table1[[#This Row],[ProductID]],Products!A:A,Products!E:E)</f>
        <v>393.46</v>
      </c>
      <c r="L622" s="5">
        <v>466.04</v>
      </c>
      <c r="M622" s="6">
        <v>0.21</v>
      </c>
      <c r="N622" t="s">
        <v>10</v>
      </c>
      <c r="O622" s="5">
        <f t="shared" si="45"/>
        <v>368.17160000000001</v>
      </c>
      <c r="P622" s="5">
        <f t="shared" si="46"/>
        <v>2209.0295999999998</v>
      </c>
      <c r="Q622" s="5">
        <f>Table1[[#This Row],[Quantity]]*(Table1[[#This Row],[Saleprice]]-Table1[[#This Row],[Costprice]])</f>
        <v>-151.7303999999998</v>
      </c>
      <c r="R622">
        <f t="shared" si="47"/>
        <v>2022</v>
      </c>
      <c r="S622">
        <f t="shared" si="48"/>
        <v>7</v>
      </c>
      <c r="T622" t="str">
        <f t="shared" si="49"/>
        <v>July</v>
      </c>
    </row>
    <row r="623" spans="1:20" x14ac:dyDescent="0.3">
      <c r="A623" s="3">
        <v>44758</v>
      </c>
      <c r="B623">
        <v>109</v>
      </c>
      <c r="C623" s="3">
        <f>_xlfn.XLOOKUP(B623,Stores!A:A,Stores!E:E)</f>
        <v>44600</v>
      </c>
      <c r="D623">
        <v>214</v>
      </c>
      <c r="E623" s="3">
        <f>_xlfn.XLOOKUP(D623,SalesReps!A:A,SalesReps!D:D)</f>
        <v>44707</v>
      </c>
      <c r="F623" s="3" t="str">
        <f>_xlfn.XLOOKUP(Table1[[#This Row],[RepID]],SalesReps!A:A,SalesReps!E:E)</f>
        <v>Active</v>
      </c>
      <c r="G623">
        <v>307</v>
      </c>
      <c r="H623" t="str">
        <f>_xlfn.XLOOKUP(Table1[[#This Row],[ProductID]],Products!A:A,Products!B:B)</f>
        <v>Toys</v>
      </c>
      <c r="I623" t="str">
        <f>_xlfn.XLOOKUP(Table1[[#This Row],[ProductID]],Products!A:A,Products!C:C)</f>
        <v>Outdoor</v>
      </c>
      <c r="J623">
        <v>9</v>
      </c>
      <c r="K623" s="5">
        <f>_xlfn.XLOOKUP(Table1[[#This Row],[ProductID]],Products!A:A,Products!E:E)</f>
        <v>15.17</v>
      </c>
      <c r="L623" s="5">
        <v>71.61</v>
      </c>
      <c r="M623" s="6">
        <v>0.19</v>
      </c>
      <c r="N623" t="s">
        <v>11</v>
      </c>
      <c r="O623" s="5">
        <f t="shared" si="45"/>
        <v>58.004100000000001</v>
      </c>
      <c r="P623" s="5">
        <f t="shared" si="46"/>
        <v>522.03690000000006</v>
      </c>
      <c r="Q623" s="5">
        <f>Table1[[#This Row],[Quantity]]*(Table1[[#This Row],[Saleprice]]-Table1[[#This Row],[Costprice]])</f>
        <v>385.50689999999997</v>
      </c>
      <c r="R623">
        <f t="shared" si="47"/>
        <v>2022</v>
      </c>
      <c r="S623">
        <f t="shared" si="48"/>
        <v>7</v>
      </c>
      <c r="T623" t="str">
        <f t="shared" si="49"/>
        <v>July</v>
      </c>
    </row>
    <row r="624" spans="1:20" x14ac:dyDescent="0.3">
      <c r="A624" s="3">
        <v>44758</v>
      </c>
      <c r="B624">
        <v>105</v>
      </c>
      <c r="C624" s="3">
        <f>_xlfn.XLOOKUP(B624,Stores!A:A,Stores!E:E)</f>
        <v>44161</v>
      </c>
      <c r="D624">
        <v>216</v>
      </c>
      <c r="E624" s="3">
        <f>_xlfn.XLOOKUP(D624,SalesReps!A:A,SalesReps!D:D)</f>
        <v>44672</v>
      </c>
      <c r="F624" s="3" t="str">
        <f>_xlfn.XLOOKUP(Table1[[#This Row],[RepID]],SalesReps!A:A,SalesReps!E:E)</f>
        <v>Left</v>
      </c>
      <c r="G624">
        <v>307</v>
      </c>
      <c r="H624" t="str">
        <f>_xlfn.XLOOKUP(Table1[[#This Row],[ProductID]],Products!A:A,Products!B:B)</f>
        <v>Toys</v>
      </c>
      <c r="I624" t="str">
        <f>_xlfn.XLOOKUP(Table1[[#This Row],[ProductID]],Products!A:A,Products!C:C)</f>
        <v>Outdoor</v>
      </c>
      <c r="J624">
        <v>9</v>
      </c>
      <c r="K624" s="5">
        <f>_xlfn.XLOOKUP(Table1[[#This Row],[ProductID]],Products!A:A,Products!E:E)</f>
        <v>15.17</v>
      </c>
      <c r="L624" s="5">
        <v>29.31</v>
      </c>
      <c r="M624" s="6">
        <v>0.24</v>
      </c>
      <c r="N624" t="s">
        <v>10</v>
      </c>
      <c r="O624" s="5">
        <f t="shared" si="45"/>
        <v>22.275600000000001</v>
      </c>
      <c r="P624" s="5">
        <f t="shared" si="46"/>
        <v>200.4804</v>
      </c>
      <c r="Q624" s="5">
        <f>Table1[[#This Row],[Quantity]]*(Table1[[#This Row],[Saleprice]]-Table1[[#This Row],[Costprice]])</f>
        <v>63.950400000000009</v>
      </c>
      <c r="R624">
        <f t="shared" si="47"/>
        <v>2022</v>
      </c>
      <c r="S624">
        <f t="shared" si="48"/>
        <v>7</v>
      </c>
      <c r="T624" t="str">
        <f t="shared" si="49"/>
        <v>July</v>
      </c>
    </row>
    <row r="625" spans="1:20" x14ac:dyDescent="0.3">
      <c r="A625" s="3">
        <v>44758</v>
      </c>
      <c r="B625">
        <v>101</v>
      </c>
      <c r="C625" s="3">
        <f>_xlfn.XLOOKUP(B625,Stores!A:A,Stores!E:E)</f>
        <v>44691</v>
      </c>
      <c r="D625">
        <v>203</v>
      </c>
      <c r="E625" s="3">
        <f>_xlfn.XLOOKUP(D625,SalesReps!A:A,SalesReps!D:D)</f>
        <v>44582</v>
      </c>
      <c r="F625" s="3" t="str">
        <f>_xlfn.XLOOKUP(Table1[[#This Row],[RepID]],SalesReps!A:A,SalesReps!E:E)</f>
        <v>Active</v>
      </c>
      <c r="G625">
        <v>306</v>
      </c>
      <c r="H625" t="str">
        <f>_xlfn.XLOOKUP(Table1[[#This Row],[ProductID]],Products!A:A,Products!B:B)</f>
        <v>Clothing</v>
      </c>
      <c r="I625" t="str">
        <f>_xlfn.XLOOKUP(Table1[[#This Row],[ProductID]],Products!A:A,Products!C:C)</f>
        <v>Men</v>
      </c>
      <c r="J625">
        <v>1</v>
      </c>
      <c r="K625" s="5">
        <f>_xlfn.XLOOKUP(Table1[[#This Row],[ProductID]],Products!A:A,Products!E:E)</f>
        <v>185.69</v>
      </c>
      <c r="L625" s="5">
        <v>283.47000000000003</v>
      </c>
      <c r="M625" s="6">
        <v>0.13</v>
      </c>
      <c r="N625" t="s">
        <v>8</v>
      </c>
      <c r="O625" s="5">
        <f t="shared" si="45"/>
        <v>246.61890000000002</v>
      </c>
      <c r="P625" s="5">
        <f t="shared" si="46"/>
        <v>246.61890000000002</v>
      </c>
      <c r="Q625" s="5">
        <f>Table1[[#This Row],[Quantity]]*(Table1[[#This Row],[Saleprice]]-Table1[[#This Row],[Costprice]])</f>
        <v>60.928900000000027</v>
      </c>
      <c r="R625">
        <f t="shared" si="47"/>
        <v>2022</v>
      </c>
      <c r="S625">
        <f t="shared" si="48"/>
        <v>7</v>
      </c>
      <c r="T625" t="str">
        <f t="shared" si="49"/>
        <v>July</v>
      </c>
    </row>
    <row r="626" spans="1:20" x14ac:dyDescent="0.3">
      <c r="A626" s="3">
        <v>44758</v>
      </c>
      <c r="B626">
        <v>101</v>
      </c>
      <c r="C626" s="3">
        <f>_xlfn.XLOOKUP(B626,Stores!A:A,Stores!E:E)</f>
        <v>44691</v>
      </c>
      <c r="D626">
        <v>203</v>
      </c>
      <c r="E626" s="3">
        <f>_xlfn.XLOOKUP(D626,SalesReps!A:A,SalesReps!D:D)</f>
        <v>44582</v>
      </c>
      <c r="F626" s="3" t="str">
        <f>_xlfn.XLOOKUP(Table1[[#This Row],[RepID]],SalesReps!A:A,SalesReps!E:E)</f>
        <v>Active</v>
      </c>
      <c r="G626">
        <v>307</v>
      </c>
      <c r="H626" t="str">
        <f>_xlfn.XLOOKUP(Table1[[#This Row],[ProductID]],Products!A:A,Products!B:B)</f>
        <v>Toys</v>
      </c>
      <c r="I626" t="str">
        <f>_xlfn.XLOOKUP(Table1[[#This Row],[ProductID]],Products!A:A,Products!C:C)</f>
        <v>Outdoor</v>
      </c>
      <c r="J626">
        <v>6</v>
      </c>
      <c r="K626" s="5">
        <f>_xlfn.XLOOKUP(Table1[[#This Row],[ProductID]],Products!A:A,Products!E:E)</f>
        <v>15.17</v>
      </c>
      <c r="L626" s="5">
        <v>68.45</v>
      </c>
      <c r="M626" s="6">
        <v>0.19</v>
      </c>
      <c r="N626" t="s">
        <v>8</v>
      </c>
      <c r="O626" s="5">
        <f t="shared" si="45"/>
        <v>55.444500000000005</v>
      </c>
      <c r="P626" s="5">
        <f t="shared" si="46"/>
        <v>332.66700000000003</v>
      </c>
      <c r="Q626" s="5">
        <f>Table1[[#This Row],[Quantity]]*(Table1[[#This Row],[Saleprice]]-Table1[[#This Row],[Costprice]])</f>
        <v>241.64700000000002</v>
      </c>
      <c r="R626">
        <f t="shared" si="47"/>
        <v>2022</v>
      </c>
      <c r="S626">
        <f t="shared" si="48"/>
        <v>7</v>
      </c>
      <c r="T626" t="str">
        <f t="shared" si="49"/>
        <v>July</v>
      </c>
    </row>
    <row r="627" spans="1:20" x14ac:dyDescent="0.3">
      <c r="A627" s="3">
        <v>44758</v>
      </c>
      <c r="B627">
        <v>107</v>
      </c>
      <c r="C627" s="3">
        <f>_xlfn.XLOOKUP(B627,Stores!A:A,Stores!E:E)</f>
        <v>44702</v>
      </c>
      <c r="D627">
        <v>211</v>
      </c>
      <c r="E627" s="3">
        <f>_xlfn.XLOOKUP(D627,SalesReps!A:A,SalesReps!D:D)</f>
        <v>44757</v>
      </c>
      <c r="F627" s="3" t="str">
        <f>_xlfn.XLOOKUP(Table1[[#This Row],[RepID]],SalesReps!A:A,SalesReps!E:E)</f>
        <v>Active</v>
      </c>
      <c r="G627">
        <v>309</v>
      </c>
      <c r="H627" t="str">
        <f>_xlfn.XLOOKUP(Table1[[#This Row],[ProductID]],Products!A:A,Products!B:B)</f>
        <v>Electronics</v>
      </c>
      <c r="I627" t="str">
        <f>_xlfn.XLOOKUP(Table1[[#This Row],[ProductID]],Products!A:A,Products!C:C)</f>
        <v>Laptops</v>
      </c>
      <c r="J627">
        <v>3</v>
      </c>
      <c r="K627" s="5">
        <f>_xlfn.XLOOKUP(Table1[[#This Row],[ProductID]],Products!A:A,Products!E:E)</f>
        <v>229.68</v>
      </c>
      <c r="L627" s="5">
        <v>305.38</v>
      </c>
      <c r="M627" s="6">
        <v>0.19</v>
      </c>
      <c r="N627" t="s">
        <v>8</v>
      </c>
      <c r="O627" s="5">
        <f t="shared" si="45"/>
        <v>247.35780000000003</v>
      </c>
      <c r="P627" s="5">
        <f t="shared" si="46"/>
        <v>742.07340000000011</v>
      </c>
      <c r="Q627" s="5">
        <f>Table1[[#This Row],[Quantity]]*(Table1[[#This Row],[Saleprice]]-Table1[[#This Row],[Costprice]])</f>
        <v>53.033400000000057</v>
      </c>
      <c r="R627">
        <f t="shared" si="47"/>
        <v>2022</v>
      </c>
      <c r="S627">
        <f t="shared" si="48"/>
        <v>7</v>
      </c>
      <c r="T627" t="str">
        <f t="shared" si="49"/>
        <v>July</v>
      </c>
    </row>
    <row r="628" spans="1:20" x14ac:dyDescent="0.3">
      <c r="A628" s="3">
        <v>44759</v>
      </c>
      <c r="B628">
        <v>109</v>
      </c>
      <c r="C628" s="3">
        <f>_xlfn.XLOOKUP(B628,Stores!A:A,Stores!E:E)</f>
        <v>44600</v>
      </c>
      <c r="D628">
        <v>214</v>
      </c>
      <c r="E628" s="3">
        <f>_xlfn.XLOOKUP(D628,SalesReps!A:A,SalesReps!D:D)</f>
        <v>44707</v>
      </c>
      <c r="F628" s="3" t="str">
        <f>_xlfn.XLOOKUP(Table1[[#This Row],[RepID]],SalesReps!A:A,SalesReps!E:E)</f>
        <v>Active</v>
      </c>
      <c r="G628">
        <v>314</v>
      </c>
      <c r="H628" t="str">
        <f>_xlfn.XLOOKUP(Table1[[#This Row],[ProductID]],Products!A:A,Products!B:B)</f>
        <v>Clothing</v>
      </c>
      <c r="I628" t="str">
        <f>_xlfn.XLOOKUP(Table1[[#This Row],[ProductID]],Products!A:A,Products!C:C)</f>
        <v>Kids</v>
      </c>
      <c r="J628">
        <v>3</v>
      </c>
      <c r="K628" s="5">
        <f>_xlfn.XLOOKUP(Table1[[#This Row],[ProductID]],Products!A:A,Products!E:E)</f>
        <v>276.47000000000003</v>
      </c>
      <c r="L628" s="5">
        <v>370.26</v>
      </c>
      <c r="M628" s="6">
        <v>0.18</v>
      </c>
      <c r="N628" t="s">
        <v>11</v>
      </c>
      <c r="O628" s="5">
        <f t="shared" si="45"/>
        <v>303.61320000000001</v>
      </c>
      <c r="P628" s="5">
        <f t="shared" si="46"/>
        <v>910.83960000000002</v>
      </c>
      <c r="Q628" s="5">
        <f>Table1[[#This Row],[Quantity]]*(Table1[[#This Row],[Saleprice]]-Table1[[#This Row],[Costprice]])</f>
        <v>81.429599999999937</v>
      </c>
      <c r="R628">
        <f t="shared" si="47"/>
        <v>2022</v>
      </c>
      <c r="S628">
        <f t="shared" si="48"/>
        <v>7</v>
      </c>
      <c r="T628" t="str">
        <f t="shared" si="49"/>
        <v>July</v>
      </c>
    </row>
    <row r="629" spans="1:20" x14ac:dyDescent="0.3">
      <c r="A629" s="3">
        <v>44759</v>
      </c>
      <c r="B629">
        <v>105</v>
      </c>
      <c r="C629" s="3">
        <f>_xlfn.XLOOKUP(B629,Stores!A:A,Stores!E:E)</f>
        <v>44161</v>
      </c>
      <c r="D629">
        <v>216</v>
      </c>
      <c r="E629" s="3">
        <f>_xlfn.XLOOKUP(D629,SalesReps!A:A,SalesReps!D:D)</f>
        <v>44672</v>
      </c>
      <c r="F629" s="3" t="str">
        <f>_xlfn.XLOOKUP(Table1[[#This Row],[RepID]],SalesReps!A:A,SalesReps!E:E)</f>
        <v>Left</v>
      </c>
      <c r="G629">
        <v>317</v>
      </c>
      <c r="H629" t="str">
        <f>_xlfn.XLOOKUP(Table1[[#This Row],[ProductID]],Products!A:A,Products!B:B)</f>
        <v>Toys</v>
      </c>
      <c r="I629" t="str">
        <f>_xlfn.XLOOKUP(Table1[[#This Row],[ProductID]],Products!A:A,Products!C:C)</f>
        <v>Educational</v>
      </c>
      <c r="J629">
        <v>6</v>
      </c>
      <c r="K629" s="5">
        <f>_xlfn.XLOOKUP(Table1[[#This Row],[ProductID]],Products!A:A,Products!E:E)</f>
        <v>77.61</v>
      </c>
      <c r="L629" s="5">
        <v>144.9</v>
      </c>
      <c r="M629" s="6">
        <v>0.13</v>
      </c>
      <c r="N629" t="s">
        <v>10</v>
      </c>
      <c r="O629" s="5">
        <f t="shared" si="45"/>
        <v>126.063</v>
      </c>
      <c r="P629" s="5">
        <f t="shared" si="46"/>
        <v>756.37800000000004</v>
      </c>
      <c r="Q629" s="5">
        <f>Table1[[#This Row],[Quantity]]*(Table1[[#This Row],[Saleprice]]-Table1[[#This Row],[Costprice]])</f>
        <v>290.71800000000002</v>
      </c>
      <c r="R629">
        <f t="shared" si="47"/>
        <v>2022</v>
      </c>
      <c r="S629">
        <f t="shared" si="48"/>
        <v>7</v>
      </c>
      <c r="T629" t="str">
        <f t="shared" si="49"/>
        <v>July</v>
      </c>
    </row>
    <row r="630" spans="1:20" x14ac:dyDescent="0.3">
      <c r="A630" s="3">
        <v>44759</v>
      </c>
      <c r="B630">
        <v>105</v>
      </c>
      <c r="C630" s="3">
        <f>_xlfn.XLOOKUP(B630,Stores!A:A,Stores!E:E)</f>
        <v>44161</v>
      </c>
      <c r="D630">
        <v>216</v>
      </c>
      <c r="E630" s="3">
        <f>_xlfn.XLOOKUP(D630,SalesReps!A:A,SalesReps!D:D)</f>
        <v>44672</v>
      </c>
      <c r="F630" s="3" t="str">
        <f>_xlfn.XLOOKUP(Table1[[#This Row],[RepID]],SalesReps!A:A,SalesReps!E:E)</f>
        <v>Left</v>
      </c>
      <c r="G630">
        <v>308</v>
      </c>
      <c r="H630" t="str">
        <f>_xlfn.XLOOKUP(Table1[[#This Row],[ProductID]],Products!A:A,Products!B:B)</f>
        <v>Home &amp; Kitchen</v>
      </c>
      <c r="I630" t="str">
        <f>_xlfn.XLOOKUP(Table1[[#This Row],[ProductID]],Products!A:A,Products!C:C)</f>
        <v>Furniture</v>
      </c>
      <c r="J630">
        <v>8</v>
      </c>
      <c r="K630" s="5">
        <f>_xlfn.XLOOKUP(Table1[[#This Row],[ProductID]],Products!A:A,Products!E:E)</f>
        <v>377.46</v>
      </c>
      <c r="L630" s="5">
        <v>408.95</v>
      </c>
      <c r="M630" s="6">
        <v>0.19</v>
      </c>
      <c r="N630" t="s">
        <v>10</v>
      </c>
      <c r="O630" s="5">
        <f t="shared" si="45"/>
        <v>331.24950000000001</v>
      </c>
      <c r="P630" s="5">
        <f t="shared" si="46"/>
        <v>2649.9960000000001</v>
      </c>
      <c r="Q630" s="5">
        <f>Table1[[#This Row],[Quantity]]*(Table1[[#This Row],[Saleprice]]-Table1[[#This Row],[Costprice]])</f>
        <v>-369.68399999999974</v>
      </c>
      <c r="R630">
        <f t="shared" si="47"/>
        <v>2022</v>
      </c>
      <c r="S630">
        <f t="shared" si="48"/>
        <v>7</v>
      </c>
      <c r="T630" t="str">
        <f t="shared" si="49"/>
        <v>July</v>
      </c>
    </row>
    <row r="631" spans="1:20" x14ac:dyDescent="0.3">
      <c r="A631" s="3">
        <v>44759</v>
      </c>
      <c r="B631">
        <v>105</v>
      </c>
      <c r="C631" s="3">
        <f>_xlfn.XLOOKUP(B631,Stores!A:A,Stores!E:E)</f>
        <v>44161</v>
      </c>
      <c r="D631">
        <v>216</v>
      </c>
      <c r="E631" s="3">
        <f>_xlfn.XLOOKUP(D631,SalesReps!A:A,SalesReps!D:D)</f>
        <v>44672</v>
      </c>
      <c r="F631" s="3" t="str">
        <f>_xlfn.XLOOKUP(Table1[[#This Row],[RepID]],SalesReps!A:A,SalesReps!E:E)</f>
        <v>Left</v>
      </c>
      <c r="G631">
        <v>308</v>
      </c>
      <c r="H631" t="str">
        <f>_xlfn.XLOOKUP(Table1[[#This Row],[ProductID]],Products!A:A,Products!B:B)</f>
        <v>Home &amp; Kitchen</v>
      </c>
      <c r="I631" t="str">
        <f>_xlfn.XLOOKUP(Table1[[#This Row],[ProductID]],Products!A:A,Products!C:C)</f>
        <v>Furniture</v>
      </c>
      <c r="J631">
        <v>6</v>
      </c>
      <c r="K631" s="5">
        <f>_xlfn.XLOOKUP(Table1[[#This Row],[ProductID]],Products!A:A,Products!E:E)</f>
        <v>377.46</v>
      </c>
      <c r="L631" s="5">
        <v>408.95</v>
      </c>
      <c r="M631" s="6">
        <v>0.19</v>
      </c>
      <c r="N631" t="s">
        <v>10</v>
      </c>
      <c r="O631" s="5">
        <f t="shared" si="45"/>
        <v>331.24950000000001</v>
      </c>
      <c r="P631" s="5">
        <f t="shared" si="46"/>
        <v>1987.4970000000001</v>
      </c>
      <c r="Q631" s="5">
        <f>Table1[[#This Row],[Quantity]]*(Table1[[#This Row],[Saleprice]]-Table1[[#This Row],[Costprice]])</f>
        <v>-277.26299999999981</v>
      </c>
      <c r="R631">
        <f t="shared" si="47"/>
        <v>2022</v>
      </c>
      <c r="S631">
        <f t="shared" si="48"/>
        <v>7</v>
      </c>
      <c r="T631" t="str">
        <f t="shared" si="49"/>
        <v>July</v>
      </c>
    </row>
    <row r="632" spans="1:20" x14ac:dyDescent="0.3">
      <c r="A632" s="3">
        <v>44760</v>
      </c>
      <c r="B632">
        <v>107</v>
      </c>
      <c r="C632" s="3">
        <f>_xlfn.XLOOKUP(B632,Stores!A:A,Stores!E:E)</f>
        <v>44702</v>
      </c>
      <c r="D632">
        <v>211</v>
      </c>
      <c r="E632" s="3">
        <f>_xlfn.XLOOKUP(D632,SalesReps!A:A,SalesReps!D:D)</f>
        <v>44757</v>
      </c>
      <c r="F632" s="3" t="str">
        <f>_xlfn.XLOOKUP(Table1[[#This Row],[RepID]],SalesReps!A:A,SalesReps!E:E)</f>
        <v>Active</v>
      </c>
      <c r="G632">
        <v>307</v>
      </c>
      <c r="H632" t="str">
        <f>_xlfn.XLOOKUP(Table1[[#This Row],[ProductID]],Products!A:A,Products!B:B)</f>
        <v>Toys</v>
      </c>
      <c r="I632" t="str">
        <f>_xlfn.XLOOKUP(Table1[[#This Row],[ProductID]],Products!A:A,Products!C:C)</f>
        <v>Outdoor</v>
      </c>
      <c r="J632">
        <v>8</v>
      </c>
      <c r="K632" s="5">
        <f>_xlfn.XLOOKUP(Table1[[#This Row],[ProductID]],Products!A:A,Products!E:E)</f>
        <v>15.17</v>
      </c>
      <c r="L632" s="5">
        <v>99.75</v>
      </c>
      <c r="M632" s="6">
        <v>0.19</v>
      </c>
      <c r="N632" t="s">
        <v>8</v>
      </c>
      <c r="O632" s="5">
        <f t="shared" si="45"/>
        <v>80.797499999999999</v>
      </c>
      <c r="P632" s="5">
        <f t="shared" si="46"/>
        <v>646.38</v>
      </c>
      <c r="Q632" s="5">
        <f>Table1[[#This Row],[Quantity]]*(Table1[[#This Row],[Saleprice]]-Table1[[#This Row],[Costprice]])</f>
        <v>525.02</v>
      </c>
      <c r="R632">
        <f t="shared" si="47"/>
        <v>2022</v>
      </c>
      <c r="S632">
        <f t="shared" si="48"/>
        <v>7</v>
      </c>
      <c r="T632" t="str">
        <f t="shared" si="49"/>
        <v>July</v>
      </c>
    </row>
    <row r="633" spans="1:20" x14ac:dyDescent="0.3">
      <c r="A633" s="3">
        <v>44760</v>
      </c>
      <c r="B633">
        <v>109</v>
      </c>
      <c r="C633" s="3">
        <f>_xlfn.XLOOKUP(B633,Stores!A:A,Stores!E:E)</f>
        <v>44600</v>
      </c>
      <c r="D633">
        <v>214</v>
      </c>
      <c r="E633" s="3">
        <f>_xlfn.XLOOKUP(D633,SalesReps!A:A,SalesReps!D:D)</f>
        <v>44707</v>
      </c>
      <c r="F633" s="3" t="str">
        <f>_xlfn.XLOOKUP(Table1[[#This Row],[RepID]],SalesReps!A:A,SalesReps!E:E)</f>
        <v>Active</v>
      </c>
      <c r="G633">
        <v>318</v>
      </c>
      <c r="H633" t="str">
        <f>_xlfn.XLOOKUP(Table1[[#This Row],[ProductID]],Products!A:A,Products!B:B)</f>
        <v>Electronics</v>
      </c>
      <c r="I633" t="str">
        <f>_xlfn.XLOOKUP(Table1[[#This Row],[ProductID]],Products!A:A,Products!C:C)</f>
        <v>Mobiles</v>
      </c>
      <c r="J633">
        <v>5</v>
      </c>
      <c r="K633" s="5">
        <f>_xlfn.XLOOKUP(Table1[[#This Row],[ProductID]],Products!A:A,Products!E:E)</f>
        <v>162.51</v>
      </c>
      <c r="L633" s="5">
        <v>214.68</v>
      </c>
      <c r="M633" s="6">
        <v>0.13</v>
      </c>
      <c r="N633" t="s">
        <v>11</v>
      </c>
      <c r="O633" s="5">
        <f t="shared" si="45"/>
        <v>186.77160000000001</v>
      </c>
      <c r="P633" s="5">
        <f t="shared" si="46"/>
        <v>933.85800000000006</v>
      </c>
      <c r="Q633" s="5">
        <f>Table1[[#This Row],[Quantity]]*(Table1[[#This Row],[Saleprice]]-Table1[[#This Row],[Costprice]])</f>
        <v>121.30800000000008</v>
      </c>
      <c r="R633">
        <f t="shared" si="47"/>
        <v>2022</v>
      </c>
      <c r="S633">
        <f t="shared" si="48"/>
        <v>7</v>
      </c>
      <c r="T633" t="str">
        <f t="shared" si="49"/>
        <v>July</v>
      </c>
    </row>
    <row r="634" spans="1:20" x14ac:dyDescent="0.3">
      <c r="A634" s="3">
        <v>44760</v>
      </c>
      <c r="B634">
        <v>101</v>
      </c>
      <c r="C634" s="3">
        <f>_xlfn.XLOOKUP(B634,Stores!A:A,Stores!E:E)</f>
        <v>44691</v>
      </c>
      <c r="D634">
        <v>201</v>
      </c>
      <c r="E634" s="3">
        <f>_xlfn.XLOOKUP(D634,SalesReps!A:A,SalesReps!D:D)</f>
        <v>44688</v>
      </c>
      <c r="F634" s="3" t="str">
        <f>_xlfn.XLOOKUP(Table1[[#This Row],[RepID]],SalesReps!A:A,SalesReps!E:E)</f>
        <v>Active</v>
      </c>
      <c r="G634">
        <v>314</v>
      </c>
      <c r="H634" t="str">
        <f>_xlfn.XLOOKUP(Table1[[#This Row],[ProductID]],Products!A:A,Products!B:B)</f>
        <v>Clothing</v>
      </c>
      <c r="I634" t="str">
        <f>_xlfn.XLOOKUP(Table1[[#This Row],[ProductID]],Products!A:A,Products!C:C)</f>
        <v>Kids</v>
      </c>
      <c r="J634">
        <v>6</v>
      </c>
      <c r="K634" s="5">
        <f>_xlfn.XLOOKUP(Table1[[#This Row],[ProductID]],Products!A:A,Products!E:E)</f>
        <v>276.47000000000003</v>
      </c>
      <c r="L634" s="5">
        <v>349.36</v>
      </c>
      <c r="M634" s="6">
        <v>0.06</v>
      </c>
      <c r="N634" t="s">
        <v>8</v>
      </c>
      <c r="O634" s="5">
        <f t="shared" si="45"/>
        <v>328.39839999999998</v>
      </c>
      <c r="P634" s="5">
        <f t="shared" si="46"/>
        <v>1970.3903999999998</v>
      </c>
      <c r="Q634" s="5">
        <f>Table1[[#This Row],[Quantity]]*(Table1[[#This Row],[Saleprice]]-Table1[[#This Row],[Costprice]])</f>
        <v>311.57039999999972</v>
      </c>
      <c r="R634">
        <f t="shared" si="47"/>
        <v>2022</v>
      </c>
      <c r="S634">
        <f t="shared" si="48"/>
        <v>7</v>
      </c>
      <c r="T634" t="str">
        <f t="shared" si="49"/>
        <v>July</v>
      </c>
    </row>
    <row r="635" spans="1:20" x14ac:dyDescent="0.3">
      <c r="A635" s="3">
        <v>44760</v>
      </c>
      <c r="B635">
        <v>105</v>
      </c>
      <c r="C635" s="3">
        <f>_xlfn.XLOOKUP(B635,Stores!A:A,Stores!E:E)</f>
        <v>44161</v>
      </c>
      <c r="D635">
        <v>216</v>
      </c>
      <c r="E635" s="3">
        <f>_xlfn.XLOOKUP(D635,SalesReps!A:A,SalesReps!D:D)</f>
        <v>44672</v>
      </c>
      <c r="F635" s="3" t="str">
        <f>_xlfn.XLOOKUP(Table1[[#This Row],[RepID]],SalesReps!A:A,SalesReps!E:E)</f>
        <v>Left</v>
      </c>
      <c r="G635">
        <v>306</v>
      </c>
      <c r="H635" t="str">
        <f>_xlfn.XLOOKUP(Table1[[#This Row],[ProductID]],Products!A:A,Products!B:B)</f>
        <v>Clothing</v>
      </c>
      <c r="I635" t="str">
        <f>_xlfn.XLOOKUP(Table1[[#This Row],[ProductID]],Products!A:A,Products!C:C)</f>
        <v>Men</v>
      </c>
      <c r="J635">
        <v>4</v>
      </c>
      <c r="K635" s="5">
        <f>_xlfn.XLOOKUP(Table1[[#This Row],[ProductID]],Products!A:A,Products!E:E)</f>
        <v>185.69</v>
      </c>
      <c r="L635" s="5">
        <v>243.21</v>
      </c>
      <c r="M635" s="6">
        <v>0.17</v>
      </c>
      <c r="N635" t="s">
        <v>10</v>
      </c>
      <c r="O635" s="5">
        <f t="shared" si="45"/>
        <v>201.86429999999999</v>
      </c>
      <c r="P635" s="5">
        <f t="shared" si="46"/>
        <v>807.45719999999994</v>
      </c>
      <c r="Q635" s="5">
        <f>Table1[[#This Row],[Quantity]]*(Table1[[#This Row],[Saleprice]]-Table1[[#This Row],[Costprice]])</f>
        <v>64.697199999999953</v>
      </c>
      <c r="R635">
        <f t="shared" si="47"/>
        <v>2022</v>
      </c>
      <c r="S635">
        <f t="shared" si="48"/>
        <v>7</v>
      </c>
      <c r="T635" t="str">
        <f t="shared" si="49"/>
        <v>July</v>
      </c>
    </row>
    <row r="636" spans="1:20" x14ac:dyDescent="0.3">
      <c r="A636" s="3">
        <v>44760</v>
      </c>
      <c r="B636">
        <v>101</v>
      </c>
      <c r="C636" s="3">
        <f>_xlfn.XLOOKUP(B636,Stores!A:A,Stores!E:E)</f>
        <v>44691</v>
      </c>
      <c r="D636">
        <v>203</v>
      </c>
      <c r="E636" s="3">
        <f>_xlfn.XLOOKUP(D636,SalesReps!A:A,SalesReps!D:D)</f>
        <v>44582</v>
      </c>
      <c r="F636" s="3" t="str">
        <f>_xlfn.XLOOKUP(Table1[[#This Row],[RepID]],SalesReps!A:A,SalesReps!E:E)</f>
        <v>Active</v>
      </c>
      <c r="G636">
        <v>311</v>
      </c>
      <c r="H636" t="str">
        <f>_xlfn.XLOOKUP(Table1[[#This Row],[ProductID]],Products!A:A,Products!B:B)</f>
        <v>Home &amp; Kitchen</v>
      </c>
      <c r="I636" t="str">
        <f>_xlfn.XLOOKUP(Table1[[#This Row],[ProductID]],Products!A:A,Products!C:C)</f>
        <v>Furniture</v>
      </c>
      <c r="J636">
        <v>4</v>
      </c>
      <c r="K636" s="5">
        <f>_xlfn.XLOOKUP(Table1[[#This Row],[ProductID]],Products!A:A,Products!E:E)</f>
        <v>16.23</v>
      </c>
      <c r="L636" s="5">
        <v>73.739999999999995</v>
      </c>
      <c r="M636" s="6">
        <v>0.16</v>
      </c>
      <c r="N636" t="s">
        <v>8</v>
      </c>
      <c r="O636" s="5">
        <f t="shared" si="45"/>
        <v>61.941599999999994</v>
      </c>
      <c r="P636" s="5">
        <f t="shared" si="46"/>
        <v>247.76639999999998</v>
      </c>
      <c r="Q636" s="5">
        <f>Table1[[#This Row],[Quantity]]*(Table1[[#This Row],[Saleprice]]-Table1[[#This Row],[Costprice]])</f>
        <v>182.84639999999996</v>
      </c>
      <c r="R636">
        <f t="shared" si="47"/>
        <v>2022</v>
      </c>
      <c r="S636">
        <f t="shared" si="48"/>
        <v>7</v>
      </c>
      <c r="T636" t="str">
        <f t="shared" si="49"/>
        <v>July</v>
      </c>
    </row>
    <row r="637" spans="1:20" x14ac:dyDescent="0.3">
      <c r="A637" s="3">
        <v>44761</v>
      </c>
      <c r="B637">
        <v>105</v>
      </c>
      <c r="C637" s="3">
        <f>_xlfn.XLOOKUP(B637,Stores!A:A,Stores!E:E)</f>
        <v>44161</v>
      </c>
      <c r="D637">
        <v>216</v>
      </c>
      <c r="E637" s="3">
        <f>_xlfn.XLOOKUP(D637,SalesReps!A:A,SalesReps!D:D)</f>
        <v>44672</v>
      </c>
      <c r="F637" s="3" t="str">
        <f>_xlfn.XLOOKUP(Table1[[#This Row],[RepID]],SalesReps!A:A,SalesReps!E:E)</f>
        <v>Left</v>
      </c>
      <c r="G637">
        <v>306</v>
      </c>
      <c r="H637" t="str">
        <f>_xlfn.XLOOKUP(Table1[[#This Row],[ProductID]],Products!A:A,Products!B:B)</f>
        <v>Clothing</v>
      </c>
      <c r="I637" t="str">
        <f>_xlfn.XLOOKUP(Table1[[#This Row],[ProductID]],Products!A:A,Products!C:C)</f>
        <v>Men</v>
      </c>
      <c r="J637">
        <v>2</v>
      </c>
      <c r="K637" s="5">
        <f>_xlfn.XLOOKUP(Table1[[#This Row],[ProductID]],Products!A:A,Products!E:E)</f>
        <v>185.69</v>
      </c>
      <c r="L637" s="5">
        <v>243.21</v>
      </c>
      <c r="M637" s="6">
        <v>0.17</v>
      </c>
      <c r="N637" t="s">
        <v>10</v>
      </c>
      <c r="O637" s="5">
        <f t="shared" si="45"/>
        <v>201.86429999999999</v>
      </c>
      <c r="P637" s="5">
        <f t="shared" si="46"/>
        <v>403.72859999999997</v>
      </c>
      <c r="Q637" s="5">
        <f>Table1[[#This Row],[Quantity]]*(Table1[[#This Row],[Saleprice]]-Table1[[#This Row],[Costprice]])</f>
        <v>32.348599999999976</v>
      </c>
      <c r="R637">
        <f t="shared" si="47"/>
        <v>2022</v>
      </c>
      <c r="S637">
        <f t="shared" si="48"/>
        <v>7</v>
      </c>
      <c r="T637" t="str">
        <f t="shared" si="49"/>
        <v>July</v>
      </c>
    </row>
    <row r="638" spans="1:20" x14ac:dyDescent="0.3">
      <c r="A638" s="3">
        <v>44761</v>
      </c>
      <c r="B638">
        <v>105</v>
      </c>
      <c r="C638" s="3">
        <f>_xlfn.XLOOKUP(B638,Stores!A:A,Stores!E:E)</f>
        <v>44161</v>
      </c>
      <c r="D638">
        <v>216</v>
      </c>
      <c r="E638" s="3">
        <f>_xlfn.XLOOKUP(D638,SalesReps!A:A,SalesReps!D:D)</f>
        <v>44672</v>
      </c>
      <c r="F638" s="3" t="str">
        <f>_xlfn.XLOOKUP(Table1[[#This Row],[RepID]],SalesReps!A:A,SalesReps!E:E)</f>
        <v>Left</v>
      </c>
      <c r="G638">
        <v>319</v>
      </c>
      <c r="H638" t="str">
        <f>_xlfn.XLOOKUP(Table1[[#This Row],[ProductID]],Products!A:A,Products!B:B)</f>
        <v>Toys</v>
      </c>
      <c r="I638" t="str">
        <f>_xlfn.XLOOKUP(Table1[[#This Row],[ProductID]],Products!A:A,Products!C:C)</f>
        <v>Board Games</v>
      </c>
      <c r="J638">
        <v>1</v>
      </c>
      <c r="K638" s="5">
        <f>_xlfn.XLOOKUP(Table1[[#This Row],[ProductID]],Products!A:A,Products!E:E)</f>
        <v>81.069999999999993</v>
      </c>
      <c r="L638" s="5">
        <v>93.98</v>
      </c>
      <c r="M638" s="6">
        <v>7.0000000000000007E-2</v>
      </c>
      <c r="N638" t="s">
        <v>10</v>
      </c>
      <c r="O638" s="5">
        <f t="shared" si="45"/>
        <v>87.401399999999995</v>
      </c>
      <c r="P638" s="5">
        <f t="shared" si="46"/>
        <v>87.401399999999995</v>
      </c>
      <c r="Q638" s="5">
        <f>Table1[[#This Row],[Quantity]]*(Table1[[#This Row],[Saleprice]]-Table1[[#This Row],[Costprice]])</f>
        <v>6.3314000000000021</v>
      </c>
      <c r="R638">
        <f t="shared" si="47"/>
        <v>2022</v>
      </c>
      <c r="S638">
        <f t="shared" si="48"/>
        <v>7</v>
      </c>
      <c r="T638" t="str">
        <f t="shared" si="49"/>
        <v>July</v>
      </c>
    </row>
    <row r="639" spans="1:20" x14ac:dyDescent="0.3">
      <c r="A639" s="3">
        <v>44761</v>
      </c>
      <c r="B639">
        <v>107</v>
      </c>
      <c r="C639" s="3">
        <f>_xlfn.XLOOKUP(B639,Stores!A:A,Stores!E:E)</f>
        <v>44702</v>
      </c>
      <c r="D639">
        <v>211</v>
      </c>
      <c r="E639" s="3">
        <f>_xlfn.XLOOKUP(D639,SalesReps!A:A,SalesReps!D:D)</f>
        <v>44757</v>
      </c>
      <c r="F639" s="3" t="str">
        <f>_xlfn.XLOOKUP(Table1[[#This Row],[RepID]],SalesReps!A:A,SalesReps!E:E)</f>
        <v>Active</v>
      </c>
      <c r="G639">
        <v>303</v>
      </c>
      <c r="H639" t="str">
        <f>_xlfn.XLOOKUP(Table1[[#This Row],[ProductID]],Products!A:A,Products!B:B)</f>
        <v>Home &amp; Kitchen</v>
      </c>
      <c r="I639" t="str">
        <f>_xlfn.XLOOKUP(Table1[[#This Row],[ProductID]],Products!A:A,Products!C:C)</f>
        <v>Furniture</v>
      </c>
      <c r="J639">
        <v>1</v>
      </c>
      <c r="K639" s="5">
        <f>_xlfn.XLOOKUP(Table1[[#This Row],[ProductID]],Products!A:A,Products!E:E)</f>
        <v>192.04</v>
      </c>
      <c r="L639" s="5">
        <v>238.78</v>
      </c>
      <c r="M639" s="6">
        <v>0.09</v>
      </c>
      <c r="N639" t="s">
        <v>8</v>
      </c>
      <c r="O639" s="5">
        <f t="shared" si="45"/>
        <v>217.28980000000001</v>
      </c>
      <c r="P639" s="5">
        <f t="shared" si="46"/>
        <v>217.28980000000001</v>
      </c>
      <c r="Q639" s="5">
        <f>Table1[[#This Row],[Quantity]]*(Table1[[#This Row],[Saleprice]]-Table1[[#This Row],[Costprice]])</f>
        <v>25.249800000000022</v>
      </c>
      <c r="R639">
        <f t="shared" si="47"/>
        <v>2022</v>
      </c>
      <c r="S639">
        <f t="shared" si="48"/>
        <v>7</v>
      </c>
      <c r="T639" t="str">
        <f t="shared" si="49"/>
        <v>July</v>
      </c>
    </row>
    <row r="640" spans="1:20" x14ac:dyDescent="0.3">
      <c r="A640" s="3">
        <v>44762</v>
      </c>
      <c r="B640">
        <v>107</v>
      </c>
      <c r="C640" s="3">
        <f>_xlfn.XLOOKUP(B640,Stores!A:A,Stores!E:E)</f>
        <v>44702</v>
      </c>
      <c r="D640">
        <v>211</v>
      </c>
      <c r="E640" s="3">
        <f>_xlfn.XLOOKUP(D640,SalesReps!A:A,SalesReps!D:D)</f>
        <v>44757</v>
      </c>
      <c r="F640" s="3" t="str">
        <f>_xlfn.XLOOKUP(Table1[[#This Row],[RepID]],SalesReps!A:A,SalesReps!E:E)</f>
        <v>Active</v>
      </c>
      <c r="G640">
        <v>316</v>
      </c>
      <c r="H640" t="str">
        <f>_xlfn.XLOOKUP(Table1[[#This Row],[ProductID]],Products!A:A,Products!B:B)</f>
        <v>Home &amp; Kitchen</v>
      </c>
      <c r="I640" t="str">
        <f>_xlfn.XLOOKUP(Table1[[#This Row],[ProductID]],Products!A:A,Products!C:C)</f>
        <v>Furniture</v>
      </c>
      <c r="J640">
        <v>9</v>
      </c>
      <c r="K640" s="5">
        <f>_xlfn.XLOOKUP(Table1[[#This Row],[ProductID]],Products!A:A,Products!E:E)</f>
        <v>334.95</v>
      </c>
      <c r="L640" s="5">
        <v>416.04</v>
      </c>
      <c r="M640" s="6">
        <v>0.19</v>
      </c>
      <c r="N640" t="s">
        <v>8</v>
      </c>
      <c r="O640" s="5">
        <f t="shared" si="45"/>
        <v>336.99240000000003</v>
      </c>
      <c r="P640" s="5">
        <f t="shared" si="46"/>
        <v>3032.9316000000003</v>
      </c>
      <c r="Q640" s="5">
        <f>Table1[[#This Row],[Quantity]]*(Table1[[#This Row],[Saleprice]]-Table1[[#This Row],[Costprice]])</f>
        <v>18.38160000000039</v>
      </c>
      <c r="R640">
        <f t="shared" si="47"/>
        <v>2022</v>
      </c>
      <c r="S640">
        <f t="shared" si="48"/>
        <v>7</v>
      </c>
      <c r="T640" t="str">
        <f t="shared" si="49"/>
        <v>July</v>
      </c>
    </row>
    <row r="641" spans="1:20" x14ac:dyDescent="0.3">
      <c r="A641" s="3">
        <v>44762</v>
      </c>
      <c r="B641">
        <v>107</v>
      </c>
      <c r="C641" s="3">
        <f>_xlfn.XLOOKUP(B641,Stores!A:A,Stores!E:E)</f>
        <v>44702</v>
      </c>
      <c r="D641">
        <v>211</v>
      </c>
      <c r="E641" s="3">
        <f>_xlfn.XLOOKUP(D641,SalesReps!A:A,SalesReps!D:D)</f>
        <v>44757</v>
      </c>
      <c r="F641" s="3" t="str">
        <f>_xlfn.XLOOKUP(Table1[[#This Row],[RepID]],SalesReps!A:A,SalesReps!E:E)</f>
        <v>Active</v>
      </c>
      <c r="G641">
        <v>309</v>
      </c>
      <c r="H641" t="str">
        <f>_xlfn.XLOOKUP(Table1[[#This Row],[ProductID]],Products!A:A,Products!B:B)</f>
        <v>Electronics</v>
      </c>
      <c r="I641" t="str">
        <f>_xlfn.XLOOKUP(Table1[[#This Row],[ProductID]],Products!A:A,Products!C:C)</f>
        <v>Laptops</v>
      </c>
      <c r="J641">
        <v>2</v>
      </c>
      <c r="K641" s="5">
        <f>_xlfn.XLOOKUP(Table1[[#This Row],[ProductID]],Products!A:A,Products!E:E)</f>
        <v>229.68</v>
      </c>
      <c r="L641" s="5">
        <v>305.38</v>
      </c>
      <c r="M641" s="6">
        <v>0.19</v>
      </c>
      <c r="N641" t="s">
        <v>8</v>
      </c>
      <c r="O641" s="5">
        <f t="shared" si="45"/>
        <v>247.35780000000003</v>
      </c>
      <c r="P641" s="5">
        <f t="shared" si="46"/>
        <v>494.71560000000005</v>
      </c>
      <c r="Q641" s="5">
        <f>Table1[[#This Row],[Quantity]]*(Table1[[#This Row],[Saleprice]]-Table1[[#This Row],[Costprice]])</f>
        <v>35.355600000000038</v>
      </c>
      <c r="R641">
        <f t="shared" si="47"/>
        <v>2022</v>
      </c>
      <c r="S641">
        <f t="shared" si="48"/>
        <v>7</v>
      </c>
      <c r="T641" t="str">
        <f t="shared" si="49"/>
        <v>July</v>
      </c>
    </row>
    <row r="642" spans="1:20" x14ac:dyDescent="0.3">
      <c r="A642" s="3">
        <v>44762</v>
      </c>
      <c r="B642">
        <v>101</v>
      </c>
      <c r="C642" s="3">
        <f>_xlfn.XLOOKUP(B642,Stores!A:A,Stores!E:E)</f>
        <v>44691</v>
      </c>
      <c r="D642">
        <v>201</v>
      </c>
      <c r="E642" s="3">
        <f>_xlfn.XLOOKUP(D642,SalesReps!A:A,SalesReps!D:D)</f>
        <v>44688</v>
      </c>
      <c r="F642" s="3" t="str">
        <f>_xlfn.XLOOKUP(Table1[[#This Row],[RepID]],SalesReps!A:A,SalesReps!E:E)</f>
        <v>Active</v>
      </c>
      <c r="G642">
        <v>304</v>
      </c>
      <c r="H642" t="str">
        <f>_xlfn.XLOOKUP(Table1[[#This Row],[ProductID]],Products!A:A,Products!B:B)</f>
        <v>Home &amp; Kitchen</v>
      </c>
      <c r="I642" t="str">
        <f>_xlfn.XLOOKUP(Table1[[#This Row],[ProductID]],Products!A:A,Products!C:C)</f>
        <v>Furniture</v>
      </c>
      <c r="J642">
        <v>3</v>
      </c>
      <c r="K642" s="5">
        <f>_xlfn.XLOOKUP(Table1[[#This Row],[ProductID]],Products!A:A,Products!E:E)</f>
        <v>345.38</v>
      </c>
      <c r="L642" s="5">
        <v>401.66</v>
      </c>
      <c r="M642" s="6">
        <v>0.09</v>
      </c>
      <c r="N642" t="s">
        <v>8</v>
      </c>
      <c r="O642" s="5">
        <f t="shared" ref="O642:O705" si="50">L642*(1-M642)</f>
        <v>365.51060000000001</v>
      </c>
      <c r="P642" s="5">
        <f t="shared" ref="P642:P705" si="51">O642*J642</f>
        <v>1096.5318</v>
      </c>
      <c r="Q642" s="5">
        <f>Table1[[#This Row],[Quantity]]*(Table1[[#This Row],[Saleprice]]-Table1[[#This Row],[Costprice]])</f>
        <v>60.391800000000046</v>
      </c>
      <c r="R642">
        <f t="shared" ref="R642:R705" si="52">YEAR(A642)</f>
        <v>2022</v>
      </c>
      <c r="S642">
        <f t="shared" ref="S642:S705" si="53">MONTH(A642)</f>
        <v>7</v>
      </c>
      <c r="T642" t="str">
        <f t="shared" ref="T642:T705" si="54">TEXT(A642,"MMMM")</f>
        <v>July</v>
      </c>
    </row>
    <row r="643" spans="1:20" x14ac:dyDescent="0.3">
      <c r="A643" s="3">
        <v>44763</v>
      </c>
      <c r="B643">
        <v>109</v>
      </c>
      <c r="C643" s="3">
        <f>_xlfn.XLOOKUP(B643,Stores!A:A,Stores!E:E)</f>
        <v>44600</v>
      </c>
      <c r="D643">
        <v>214</v>
      </c>
      <c r="E643" s="3">
        <f>_xlfn.XLOOKUP(D643,SalesReps!A:A,SalesReps!D:D)</f>
        <v>44707</v>
      </c>
      <c r="F643" s="3" t="str">
        <f>_xlfn.XLOOKUP(Table1[[#This Row],[RepID]],SalesReps!A:A,SalesReps!E:E)</f>
        <v>Active</v>
      </c>
      <c r="G643">
        <v>319</v>
      </c>
      <c r="H643" t="str">
        <f>_xlfn.XLOOKUP(Table1[[#This Row],[ProductID]],Products!A:A,Products!B:B)</f>
        <v>Toys</v>
      </c>
      <c r="I643" t="str">
        <f>_xlfn.XLOOKUP(Table1[[#This Row],[ProductID]],Products!A:A,Products!C:C)</f>
        <v>Board Games</v>
      </c>
      <c r="J643">
        <v>4</v>
      </c>
      <c r="K643" s="5">
        <f>_xlfn.XLOOKUP(Table1[[#This Row],[ProductID]],Products!A:A,Products!E:E)</f>
        <v>81.069999999999993</v>
      </c>
      <c r="L643" s="5">
        <v>174.51</v>
      </c>
      <c r="M643" s="6">
        <v>0.24</v>
      </c>
      <c r="N643" t="s">
        <v>11</v>
      </c>
      <c r="O643" s="5">
        <f t="shared" si="50"/>
        <v>132.6276</v>
      </c>
      <c r="P643" s="5">
        <f t="shared" si="51"/>
        <v>530.5104</v>
      </c>
      <c r="Q643" s="5">
        <f>Table1[[#This Row],[Quantity]]*(Table1[[#This Row],[Saleprice]]-Table1[[#This Row],[Costprice]])</f>
        <v>206.23040000000003</v>
      </c>
      <c r="R643">
        <f t="shared" si="52"/>
        <v>2022</v>
      </c>
      <c r="S643">
        <f t="shared" si="53"/>
        <v>7</v>
      </c>
      <c r="T643" t="str">
        <f t="shared" si="54"/>
        <v>July</v>
      </c>
    </row>
    <row r="644" spans="1:20" x14ac:dyDescent="0.3">
      <c r="A644" s="3">
        <v>44764</v>
      </c>
      <c r="B644">
        <v>107</v>
      </c>
      <c r="C644" s="3">
        <f>_xlfn.XLOOKUP(B644,Stores!A:A,Stores!E:E)</f>
        <v>44702</v>
      </c>
      <c r="D644">
        <v>211</v>
      </c>
      <c r="E644" s="3">
        <f>_xlfn.XLOOKUP(D644,SalesReps!A:A,SalesReps!D:D)</f>
        <v>44757</v>
      </c>
      <c r="F644" s="3" t="str">
        <f>_xlfn.XLOOKUP(Table1[[#This Row],[RepID]],SalesReps!A:A,SalesReps!E:E)</f>
        <v>Active</v>
      </c>
      <c r="G644">
        <v>311</v>
      </c>
      <c r="H644" t="str">
        <f>_xlfn.XLOOKUP(Table1[[#This Row],[ProductID]],Products!A:A,Products!B:B)</f>
        <v>Home &amp; Kitchen</v>
      </c>
      <c r="I644" t="str">
        <f>_xlfn.XLOOKUP(Table1[[#This Row],[ProductID]],Products!A:A,Products!C:C)</f>
        <v>Furniture</v>
      </c>
      <c r="J644">
        <v>6</v>
      </c>
      <c r="K644" s="5">
        <f>_xlfn.XLOOKUP(Table1[[#This Row],[ProductID]],Products!A:A,Products!E:E)</f>
        <v>16.23</v>
      </c>
      <c r="L644" s="5">
        <v>27.92</v>
      </c>
      <c r="M644" s="6">
        <v>0.09</v>
      </c>
      <c r="N644" t="s">
        <v>8</v>
      </c>
      <c r="O644" s="5">
        <f t="shared" si="50"/>
        <v>25.407200000000003</v>
      </c>
      <c r="P644" s="5">
        <f t="shared" si="51"/>
        <v>152.44320000000002</v>
      </c>
      <c r="Q644" s="5">
        <f>Table1[[#This Row],[Quantity]]*(Table1[[#This Row],[Saleprice]]-Table1[[#This Row],[Costprice]])</f>
        <v>55.063200000000016</v>
      </c>
      <c r="R644">
        <f t="shared" si="52"/>
        <v>2022</v>
      </c>
      <c r="S644">
        <f t="shared" si="53"/>
        <v>7</v>
      </c>
      <c r="T644" t="str">
        <f t="shared" si="54"/>
        <v>July</v>
      </c>
    </row>
    <row r="645" spans="1:20" x14ac:dyDescent="0.3">
      <c r="A645" s="3">
        <v>44764</v>
      </c>
      <c r="B645">
        <v>101</v>
      </c>
      <c r="C645" s="3">
        <f>_xlfn.XLOOKUP(B645,Stores!A:A,Stores!E:E)</f>
        <v>44691</v>
      </c>
      <c r="D645">
        <v>213</v>
      </c>
      <c r="E645" s="3">
        <f>_xlfn.XLOOKUP(D645,SalesReps!A:A,SalesReps!D:D)</f>
        <v>44255</v>
      </c>
      <c r="F645" s="3" t="str">
        <f>_xlfn.XLOOKUP(Table1[[#This Row],[RepID]],SalesReps!A:A,SalesReps!E:E)</f>
        <v>Active</v>
      </c>
      <c r="G645">
        <v>307</v>
      </c>
      <c r="H645" t="str">
        <f>_xlfn.XLOOKUP(Table1[[#This Row],[ProductID]],Products!A:A,Products!B:B)</f>
        <v>Toys</v>
      </c>
      <c r="I645" t="str">
        <f>_xlfn.XLOOKUP(Table1[[#This Row],[ProductID]],Products!A:A,Products!C:C)</f>
        <v>Outdoor</v>
      </c>
      <c r="J645">
        <v>9</v>
      </c>
      <c r="K645" s="5">
        <f>_xlfn.XLOOKUP(Table1[[#This Row],[ProductID]],Products!A:A,Products!E:E)</f>
        <v>15.17</v>
      </c>
      <c r="L645" s="5">
        <v>68.45</v>
      </c>
      <c r="M645" s="6">
        <v>0.19</v>
      </c>
      <c r="N645" t="s">
        <v>8</v>
      </c>
      <c r="O645" s="5">
        <f t="shared" si="50"/>
        <v>55.444500000000005</v>
      </c>
      <c r="P645" s="5">
        <f t="shared" si="51"/>
        <v>499.00050000000005</v>
      </c>
      <c r="Q645" s="5">
        <f>Table1[[#This Row],[Quantity]]*(Table1[[#This Row],[Saleprice]]-Table1[[#This Row],[Costprice]])</f>
        <v>362.47050000000002</v>
      </c>
      <c r="R645">
        <f t="shared" si="52"/>
        <v>2022</v>
      </c>
      <c r="S645">
        <f t="shared" si="53"/>
        <v>7</v>
      </c>
      <c r="T645" t="str">
        <f t="shared" si="54"/>
        <v>July</v>
      </c>
    </row>
    <row r="646" spans="1:20" x14ac:dyDescent="0.3">
      <c r="A646" s="3">
        <v>44764</v>
      </c>
      <c r="B646">
        <v>101</v>
      </c>
      <c r="C646" s="3">
        <f>_xlfn.XLOOKUP(B646,Stores!A:A,Stores!E:E)</f>
        <v>44691</v>
      </c>
      <c r="D646">
        <v>213</v>
      </c>
      <c r="E646" s="3">
        <f>_xlfn.XLOOKUP(D646,SalesReps!A:A,SalesReps!D:D)</f>
        <v>44255</v>
      </c>
      <c r="F646" s="3" t="str">
        <f>_xlfn.XLOOKUP(Table1[[#This Row],[RepID]],SalesReps!A:A,SalesReps!E:E)</f>
        <v>Active</v>
      </c>
      <c r="G646">
        <v>316</v>
      </c>
      <c r="H646" t="str">
        <f>_xlfn.XLOOKUP(Table1[[#This Row],[ProductID]],Products!A:A,Products!B:B)</f>
        <v>Home &amp; Kitchen</v>
      </c>
      <c r="I646" t="str">
        <f>_xlfn.XLOOKUP(Table1[[#This Row],[ProductID]],Products!A:A,Products!C:C)</f>
        <v>Furniture</v>
      </c>
      <c r="J646">
        <v>9</v>
      </c>
      <c r="K646" s="5">
        <f>_xlfn.XLOOKUP(Table1[[#This Row],[ProductID]],Products!A:A,Products!E:E)</f>
        <v>334.95</v>
      </c>
      <c r="L646" s="5">
        <v>424.18</v>
      </c>
      <c r="M646" s="6">
        <v>0.1</v>
      </c>
      <c r="N646" t="s">
        <v>8</v>
      </c>
      <c r="O646" s="5">
        <f t="shared" si="50"/>
        <v>381.762</v>
      </c>
      <c r="P646" s="5">
        <f t="shared" si="51"/>
        <v>3435.8580000000002</v>
      </c>
      <c r="Q646" s="5">
        <f>Table1[[#This Row],[Quantity]]*(Table1[[#This Row],[Saleprice]]-Table1[[#This Row],[Costprice]])</f>
        <v>421.30800000000011</v>
      </c>
      <c r="R646">
        <f t="shared" si="52"/>
        <v>2022</v>
      </c>
      <c r="S646">
        <f t="shared" si="53"/>
        <v>7</v>
      </c>
      <c r="T646" t="str">
        <f t="shared" si="54"/>
        <v>July</v>
      </c>
    </row>
    <row r="647" spans="1:20" x14ac:dyDescent="0.3">
      <c r="A647" s="3">
        <v>44765</v>
      </c>
      <c r="B647">
        <v>101</v>
      </c>
      <c r="C647" s="3">
        <f>_xlfn.XLOOKUP(B647,Stores!A:A,Stores!E:E)</f>
        <v>44691</v>
      </c>
      <c r="D647">
        <v>206</v>
      </c>
      <c r="E647" s="3">
        <f>_xlfn.XLOOKUP(D647,SalesReps!A:A,SalesReps!D:D)</f>
        <v>44357</v>
      </c>
      <c r="F647" s="3" t="str">
        <f>_xlfn.XLOOKUP(Table1[[#This Row],[RepID]],SalesReps!A:A,SalesReps!E:E)</f>
        <v>Active</v>
      </c>
      <c r="G647">
        <v>310</v>
      </c>
      <c r="H647" t="str">
        <f>_xlfn.XLOOKUP(Table1[[#This Row],[ProductID]],Products!A:A,Products!B:B)</f>
        <v>Home &amp; Kitchen</v>
      </c>
      <c r="I647" t="str">
        <f>_xlfn.XLOOKUP(Table1[[#This Row],[ProductID]],Products!A:A,Products!C:C)</f>
        <v>Furniture</v>
      </c>
      <c r="J647">
        <v>8</v>
      </c>
      <c r="K647" s="5">
        <f>_xlfn.XLOOKUP(Table1[[#This Row],[ProductID]],Products!A:A,Products!E:E)</f>
        <v>160.31</v>
      </c>
      <c r="L647" s="5">
        <v>258.3</v>
      </c>
      <c r="M647" s="6">
        <v>0.15</v>
      </c>
      <c r="N647" t="s">
        <v>8</v>
      </c>
      <c r="O647" s="5">
        <f t="shared" si="50"/>
        <v>219.55500000000001</v>
      </c>
      <c r="P647" s="5">
        <f t="shared" si="51"/>
        <v>1756.44</v>
      </c>
      <c r="Q647" s="5">
        <f>Table1[[#This Row],[Quantity]]*(Table1[[#This Row],[Saleprice]]-Table1[[#This Row],[Costprice]])</f>
        <v>473.96000000000004</v>
      </c>
      <c r="R647">
        <f t="shared" si="52"/>
        <v>2022</v>
      </c>
      <c r="S647">
        <f t="shared" si="53"/>
        <v>7</v>
      </c>
      <c r="T647" t="str">
        <f t="shared" si="54"/>
        <v>July</v>
      </c>
    </row>
    <row r="648" spans="1:20" x14ac:dyDescent="0.3">
      <c r="A648" s="3">
        <v>44765</v>
      </c>
      <c r="B648">
        <v>107</v>
      </c>
      <c r="C648" s="3">
        <f>_xlfn.XLOOKUP(B648,Stores!A:A,Stores!E:E)</f>
        <v>44702</v>
      </c>
      <c r="D648">
        <v>211</v>
      </c>
      <c r="E648" s="3">
        <f>_xlfn.XLOOKUP(D648,SalesReps!A:A,SalesReps!D:D)</f>
        <v>44757</v>
      </c>
      <c r="F648" s="3" t="str">
        <f>_xlfn.XLOOKUP(Table1[[#This Row],[RepID]],SalesReps!A:A,SalesReps!E:E)</f>
        <v>Active</v>
      </c>
      <c r="G648">
        <v>302</v>
      </c>
      <c r="H648" t="str">
        <f>_xlfn.XLOOKUP(Table1[[#This Row],[ProductID]],Products!A:A,Products!B:B)</f>
        <v>Toys</v>
      </c>
      <c r="I648" t="str">
        <f>_xlfn.XLOOKUP(Table1[[#This Row],[ProductID]],Products!A:A,Products!C:C)</f>
        <v>Outdoor</v>
      </c>
      <c r="J648">
        <v>7</v>
      </c>
      <c r="K648" s="5">
        <f>_xlfn.XLOOKUP(Table1[[#This Row],[ProductID]],Products!A:A,Products!E:E)</f>
        <v>393.46</v>
      </c>
      <c r="L648" s="5">
        <v>460.31</v>
      </c>
      <c r="M648" s="6">
        <v>0.23</v>
      </c>
      <c r="N648" t="s">
        <v>8</v>
      </c>
      <c r="O648" s="5">
        <f t="shared" si="50"/>
        <v>354.43869999999998</v>
      </c>
      <c r="P648" s="5">
        <f t="shared" si="51"/>
        <v>2481.0708999999997</v>
      </c>
      <c r="Q648" s="5">
        <f>Table1[[#This Row],[Quantity]]*(Table1[[#This Row],[Saleprice]]-Table1[[#This Row],[Costprice]])</f>
        <v>-273.14909999999998</v>
      </c>
      <c r="R648">
        <f t="shared" si="52"/>
        <v>2022</v>
      </c>
      <c r="S648">
        <f t="shared" si="53"/>
        <v>7</v>
      </c>
      <c r="T648" t="str">
        <f t="shared" si="54"/>
        <v>July</v>
      </c>
    </row>
    <row r="649" spans="1:20" x14ac:dyDescent="0.3">
      <c r="A649" s="3">
        <v>44765</v>
      </c>
      <c r="B649">
        <v>101</v>
      </c>
      <c r="C649" s="3">
        <f>_xlfn.XLOOKUP(B649,Stores!A:A,Stores!E:E)</f>
        <v>44691</v>
      </c>
      <c r="D649">
        <v>203</v>
      </c>
      <c r="E649" s="3">
        <f>_xlfn.XLOOKUP(D649,SalesReps!A:A,SalesReps!D:D)</f>
        <v>44582</v>
      </c>
      <c r="F649" s="3" t="str">
        <f>_xlfn.XLOOKUP(Table1[[#This Row],[RepID]],SalesReps!A:A,SalesReps!E:E)</f>
        <v>Active</v>
      </c>
      <c r="G649">
        <v>303</v>
      </c>
      <c r="H649" t="str">
        <f>_xlfn.XLOOKUP(Table1[[#This Row],[ProductID]],Products!A:A,Products!B:B)</f>
        <v>Home &amp; Kitchen</v>
      </c>
      <c r="I649" t="str">
        <f>_xlfn.XLOOKUP(Table1[[#This Row],[ProductID]],Products!A:A,Products!C:C)</f>
        <v>Furniture</v>
      </c>
      <c r="J649">
        <v>1</v>
      </c>
      <c r="K649" s="5">
        <f>_xlfn.XLOOKUP(Table1[[#This Row],[ProductID]],Products!A:A,Products!E:E)</f>
        <v>192.04</v>
      </c>
      <c r="L649" s="5">
        <v>253.21</v>
      </c>
      <c r="M649" s="6">
        <v>0.1</v>
      </c>
      <c r="N649" t="s">
        <v>8</v>
      </c>
      <c r="O649" s="5">
        <f t="shared" si="50"/>
        <v>227.88900000000001</v>
      </c>
      <c r="P649" s="5">
        <f t="shared" si="51"/>
        <v>227.88900000000001</v>
      </c>
      <c r="Q649" s="5">
        <f>Table1[[#This Row],[Quantity]]*(Table1[[#This Row],[Saleprice]]-Table1[[#This Row],[Costprice]])</f>
        <v>35.849000000000018</v>
      </c>
      <c r="R649">
        <f t="shared" si="52"/>
        <v>2022</v>
      </c>
      <c r="S649">
        <f t="shared" si="53"/>
        <v>7</v>
      </c>
      <c r="T649" t="str">
        <f t="shared" si="54"/>
        <v>July</v>
      </c>
    </row>
    <row r="650" spans="1:20" x14ac:dyDescent="0.3">
      <c r="A650" s="3">
        <v>44766</v>
      </c>
      <c r="B650">
        <v>107</v>
      </c>
      <c r="C650" s="3">
        <f>_xlfn.XLOOKUP(B650,Stores!A:A,Stores!E:E)</f>
        <v>44702</v>
      </c>
      <c r="D650">
        <v>211</v>
      </c>
      <c r="E650" s="3">
        <f>_xlfn.XLOOKUP(D650,SalesReps!A:A,SalesReps!D:D)</f>
        <v>44757</v>
      </c>
      <c r="F650" s="3" t="str">
        <f>_xlfn.XLOOKUP(Table1[[#This Row],[RepID]],SalesReps!A:A,SalesReps!E:E)</f>
        <v>Active</v>
      </c>
      <c r="G650">
        <v>307</v>
      </c>
      <c r="H650" t="str">
        <f>_xlfn.XLOOKUP(Table1[[#This Row],[ProductID]],Products!A:A,Products!B:B)</f>
        <v>Toys</v>
      </c>
      <c r="I650" t="str">
        <f>_xlfn.XLOOKUP(Table1[[#This Row],[ProductID]],Products!A:A,Products!C:C)</f>
        <v>Outdoor</v>
      </c>
      <c r="J650">
        <v>1</v>
      </c>
      <c r="K650" s="5">
        <f>_xlfn.XLOOKUP(Table1[[#This Row],[ProductID]],Products!A:A,Products!E:E)</f>
        <v>15.17</v>
      </c>
      <c r="L650" s="5">
        <v>99.75</v>
      </c>
      <c r="M650" s="6">
        <v>0.19</v>
      </c>
      <c r="N650" t="s">
        <v>8</v>
      </c>
      <c r="O650" s="5">
        <f t="shared" si="50"/>
        <v>80.797499999999999</v>
      </c>
      <c r="P650" s="5">
        <f t="shared" si="51"/>
        <v>80.797499999999999</v>
      </c>
      <c r="Q650" s="5">
        <f>Table1[[#This Row],[Quantity]]*(Table1[[#This Row],[Saleprice]]-Table1[[#This Row],[Costprice]])</f>
        <v>65.627499999999998</v>
      </c>
      <c r="R650">
        <f t="shared" si="52"/>
        <v>2022</v>
      </c>
      <c r="S650">
        <f t="shared" si="53"/>
        <v>7</v>
      </c>
      <c r="T650" t="str">
        <f t="shared" si="54"/>
        <v>July</v>
      </c>
    </row>
    <row r="651" spans="1:20" x14ac:dyDescent="0.3">
      <c r="A651" s="3">
        <v>44768</v>
      </c>
      <c r="B651">
        <v>107</v>
      </c>
      <c r="C651" s="3">
        <f>_xlfn.XLOOKUP(B651,Stores!A:A,Stores!E:E)</f>
        <v>44702</v>
      </c>
      <c r="D651">
        <v>211</v>
      </c>
      <c r="E651" s="3">
        <f>_xlfn.XLOOKUP(D651,SalesReps!A:A,SalesReps!D:D)</f>
        <v>44757</v>
      </c>
      <c r="F651" s="3" t="str">
        <f>_xlfn.XLOOKUP(Table1[[#This Row],[RepID]],SalesReps!A:A,SalesReps!E:E)</f>
        <v>Active</v>
      </c>
      <c r="G651">
        <v>316</v>
      </c>
      <c r="H651" t="str">
        <f>_xlfn.XLOOKUP(Table1[[#This Row],[ProductID]],Products!A:A,Products!B:B)</f>
        <v>Home &amp; Kitchen</v>
      </c>
      <c r="I651" t="str">
        <f>_xlfn.XLOOKUP(Table1[[#This Row],[ProductID]],Products!A:A,Products!C:C)</f>
        <v>Furniture</v>
      </c>
      <c r="J651">
        <v>3</v>
      </c>
      <c r="K651" s="5">
        <f>_xlfn.XLOOKUP(Table1[[#This Row],[ProductID]],Products!A:A,Products!E:E)</f>
        <v>334.95</v>
      </c>
      <c r="L651" s="5">
        <v>416.04</v>
      </c>
      <c r="M651" s="6">
        <v>0.19</v>
      </c>
      <c r="N651" t="s">
        <v>8</v>
      </c>
      <c r="O651" s="5">
        <f t="shared" si="50"/>
        <v>336.99240000000003</v>
      </c>
      <c r="P651" s="5">
        <f t="shared" si="51"/>
        <v>1010.9772</v>
      </c>
      <c r="Q651" s="5">
        <f>Table1[[#This Row],[Quantity]]*(Table1[[#This Row],[Saleprice]]-Table1[[#This Row],[Costprice]])</f>
        <v>6.1272000000001299</v>
      </c>
      <c r="R651">
        <f t="shared" si="52"/>
        <v>2022</v>
      </c>
      <c r="S651">
        <f t="shared" si="53"/>
        <v>7</v>
      </c>
      <c r="T651" t="str">
        <f t="shared" si="54"/>
        <v>July</v>
      </c>
    </row>
    <row r="652" spans="1:20" x14ac:dyDescent="0.3">
      <c r="A652" s="3">
        <v>44768</v>
      </c>
      <c r="B652">
        <v>109</v>
      </c>
      <c r="C652" s="3">
        <f>_xlfn.XLOOKUP(B652,Stores!A:A,Stores!E:E)</f>
        <v>44600</v>
      </c>
      <c r="D652">
        <v>214</v>
      </c>
      <c r="E652" s="3">
        <f>_xlfn.XLOOKUP(D652,SalesReps!A:A,SalesReps!D:D)</f>
        <v>44707</v>
      </c>
      <c r="F652" s="3" t="str">
        <f>_xlfn.XLOOKUP(Table1[[#This Row],[RepID]],SalesReps!A:A,SalesReps!E:E)</f>
        <v>Active</v>
      </c>
      <c r="G652">
        <v>302</v>
      </c>
      <c r="H652" t="str">
        <f>_xlfn.XLOOKUP(Table1[[#This Row],[ProductID]],Products!A:A,Products!B:B)</f>
        <v>Toys</v>
      </c>
      <c r="I652" t="str">
        <f>_xlfn.XLOOKUP(Table1[[#This Row],[ProductID]],Products!A:A,Products!C:C)</f>
        <v>Outdoor</v>
      </c>
      <c r="J652">
        <v>5</v>
      </c>
      <c r="K652" s="5">
        <f>_xlfn.XLOOKUP(Table1[[#This Row],[ProductID]],Products!A:A,Products!E:E)</f>
        <v>393.46</v>
      </c>
      <c r="L652" s="5">
        <v>407.52</v>
      </c>
      <c r="M652" s="6">
        <v>0.12</v>
      </c>
      <c r="N652" t="s">
        <v>11</v>
      </c>
      <c r="O652" s="5">
        <f t="shared" si="50"/>
        <v>358.61759999999998</v>
      </c>
      <c r="P652" s="5">
        <f t="shared" si="51"/>
        <v>1793.088</v>
      </c>
      <c r="Q652" s="5">
        <f>Table1[[#This Row],[Quantity]]*(Table1[[#This Row],[Saleprice]]-Table1[[#This Row],[Costprice]])</f>
        <v>-174.21199999999999</v>
      </c>
      <c r="R652">
        <f t="shared" si="52"/>
        <v>2022</v>
      </c>
      <c r="S652">
        <f t="shared" si="53"/>
        <v>7</v>
      </c>
      <c r="T652" t="str">
        <f t="shared" si="54"/>
        <v>July</v>
      </c>
    </row>
    <row r="653" spans="1:20" x14ac:dyDescent="0.3">
      <c r="A653" s="3">
        <v>44769</v>
      </c>
      <c r="B653">
        <v>109</v>
      </c>
      <c r="C653" s="3">
        <f>_xlfn.XLOOKUP(B653,Stores!A:A,Stores!E:E)</f>
        <v>44600</v>
      </c>
      <c r="D653">
        <v>214</v>
      </c>
      <c r="E653" s="3">
        <f>_xlfn.XLOOKUP(D653,SalesReps!A:A,SalesReps!D:D)</f>
        <v>44707</v>
      </c>
      <c r="F653" s="3" t="str">
        <f>_xlfn.XLOOKUP(Table1[[#This Row],[RepID]],SalesReps!A:A,SalesReps!E:E)</f>
        <v>Active</v>
      </c>
      <c r="G653">
        <v>311</v>
      </c>
      <c r="H653" t="str">
        <f>_xlfn.XLOOKUP(Table1[[#This Row],[ProductID]],Products!A:A,Products!B:B)</f>
        <v>Home &amp; Kitchen</v>
      </c>
      <c r="I653" t="str">
        <f>_xlfn.XLOOKUP(Table1[[#This Row],[ProductID]],Products!A:A,Products!C:C)</f>
        <v>Furniture</v>
      </c>
      <c r="J653">
        <v>2</v>
      </c>
      <c r="K653" s="5">
        <f>_xlfn.XLOOKUP(Table1[[#This Row],[ProductID]],Products!A:A,Products!E:E)</f>
        <v>16.23</v>
      </c>
      <c r="L653" s="5">
        <v>45.38</v>
      </c>
      <c r="M653" s="6">
        <v>0.11</v>
      </c>
      <c r="N653" t="s">
        <v>11</v>
      </c>
      <c r="O653" s="5">
        <f t="shared" si="50"/>
        <v>40.388200000000005</v>
      </c>
      <c r="P653" s="5">
        <f t="shared" si="51"/>
        <v>80.77640000000001</v>
      </c>
      <c r="Q653" s="5">
        <f>Table1[[#This Row],[Quantity]]*(Table1[[#This Row],[Saleprice]]-Table1[[#This Row],[Costprice]])</f>
        <v>48.316400000000009</v>
      </c>
      <c r="R653">
        <f t="shared" si="52"/>
        <v>2022</v>
      </c>
      <c r="S653">
        <f t="shared" si="53"/>
        <v>7</v>
      </c>
      <c r="T653" t="str">
        <f t="shared" si="54"/>
        <v>July</v>
      </c>
    </row>
    <row r="654" spans="1:20" x14ac:dyDescent="0.3">
      <c r="A654" s="3">
        <v>44769</v>
      </c>
      <c r="B654">
        <v>107</v>
      </c>
      <c r="C654" s="3">
        <f>_xlfn.XLOOKUP(B654,Stores!A:A,Stores!E:E)</f>
        <v>44702</v>
      </c>
      <c r="D654">
        <v>211</v>
      </c>
      <c r="E654" s="3">
        <f>_xlfn.XLOOKUP(D654,SalesReps!A:A,SalesReps!D:D)</f>
        <v>44757</v>
      </c>
      <c r="F654" s="3" t="str">
        <f>_xlfn.XLOOKUP(Table1[[#This Row],[RepID]],SalesReps!A:A,SalesReps!E:E)</f>
        <v>Active</v>
      </c>
      <c r="G654">
        <v>308</v>
      </c>
      <c r="H654" t="str">
        <f>_xlfn.XLOOKUP(Table1[[#This Row],[ProductID]],Products!A:A,Products!B:B)</f>
        <v>Home &amp; Kitchen</v>
      </c>
      <c r="I654" t="str">
        <f>_xlfn.XLOOKUP(Table1[[#This Row],[ProductID]],Products!A:A,Products!C:C)</f>
        <v>Furniture</v>
      </c>
      <c r="J654">
        <v>1</v>
      </c>
      <c r="K654" s="5">
        <f>_xlfn.XLOOKUP(Table1[[#This Row],[ProductID]],Products!A:A,Products!E:E)</f>
        <v>377.46</v>
      </c>
      <c r="L654" s="5">
        <v>420.89</v>
      </c>
      <c r="M654" s="6">
        <v>0.23</v>
      </c>
      <c r="N654" t="s">
        <v>8</v>
      </c>
      <c r="O654" s="5">
        <f t="shared" si="50"/>
        <v>324.08530000000002</v>
      </c>
      <c r="P654" s="5">
        <f t="shared" si="51"/>
        <v>324.08530000000002</v>
      </c>
      <c r="Q654" s="5">
        <f>Table1[[#This Row],[Quantity]]*(Table1[[#This Row],[Saleprice]]-Table1[[#This Row],[Costprice]])</f>
        <v>-53.374699999999962</v>
      </c>
      <c r="R654">
        <f t="shared" si="52"/>
        <v>2022</v>
      </c>
      <c r="S654">
        <f t="shared" si="53"/>
        <v>7</v>
      </c>
      <c r="T654" t="str">
        <f t="shared" si="54"/>
        <v>July</v>
      </c>
    </row>
    <row r="655" spans="1:20" x14ac:dyDescent="0.3">
      <c r="A655" s="3">
        <v>44770</v>
      </c>
      <c r="B655">
        <v>104</v>
      </c>
      <c r="C655" s="3">
        <f>_xlfn.XLOOKUP(B655,Stores!A:A,Stores!E:E)</f>
        <v>44297</v>
      </c>
      <c r="D655">
        <v>220</v>
      </c>
      <c r="E655" s="3">
        <f>_xlfn.XLOOKUP(D655,SalesReps!A:A,SalesReps!D:D)</f>
        <v>44759</v>
      </c>
      <c r="F655" s="3" t="str">
        <f>_xlfn.XLOOKUP(Table1[[#This Row],[RepID]],SalesReps!A:A,SalesReps!E:E)</f>
        <v>Active</v>
      </c>
      <c r="G655">
        <v>304</v>
      </c>
      <c r="H655" t="str">
        <f>_xlfn.XLOOKUP(Table1[[#This Row],[ProductID]],Products!A:A,Products!B:B)</f>
        <v>Home &amp; Kitchen</v>
      </c>
      <c r="I655" t="str">
        <f>_xlfn.XLOOKUP(Table1[[#This Row],[ProductID]],Products!A:A,Products!C:C)</f>
        <v>Furniture</v>
      </c>
      <c r="J655">
        <v>2</v>
      </c>
      <c r="K655" s="5">
        <f>_xlfn.XLOOKUP(Table1[[#This Row],[ProductID]],Products!A:A,Products!E:E)</f>
        <v>345.38</v>
      </c>
      <c r="L655" s="5">
        <v>409.69</v>
      </c>
      <c r="M655" s="6">
        <v>0.11</v>
      </c>
      <c r="N655" t="s">
        <v>10</v>
      </c>
      <c r="O655" s="5">
        <f t="shared" si="50"/>
        <v>364.6241</v>
      </c>
      <c r="P655" s="5">
        <f t="shared" si="51"/>
        <v>729.2482</v>
      </c>
      <c r="Q655" s="5">
        <f>Table1[[#This Row],[Quantity]]*(Table1[[#This Row],[Saleprice]]-Table1[[#This Row],[Costprice]])</f>
        <v>38.488200000000006</v>
      </c>
      <c r="R655">
        <f t="shared" si="52"/>
        <v>2022</v>
      </c>
      <c r="S655">
        <f t="shared" si="53"/>
        <v>7</v>
      </c>
      <c r="T655" t="str">
        <f t="shared" si="54"/>
        <v>July</v>
      </c>
    </row>
    <row r="656" spans="1:20" x14ac:dyDescent="0.3">
      <c r="A656" s="3">
        <v>44770</v>
      </c>
      <c r="B656">
        <v>101</v>
      </c>
      <c r="C656" s="3">
        <f>_xlfn.XLOOKUP(B656,Stores!A:A,Stores!E:E)</f>
        <v>44691</v>
      </c>
      <c r="D656">
        <v>201</v>
      </c>
      <c r="E656" s="3">
        <f>_xlfn.XLOOKUP(D656,SalesReps!A:A,SalesReps!D:D)</f>
        <v>44688</v>
      </c>
      <c r="F656" s="3" t="str">
        <f>_xlfn.XLOOKUP(Table1[[#This Row],[RepID]],SalesReps!A:A,SalesReps!E:E)</f>
        <v>Active</v>
      </c>
      <c r="G656">
        <v>306</v>
      </c>
      <c r="H656" t="str">
        <f>_xlfn.XLOOKUP(Table1[[#This Row],[ProductID]],Products!A:A,Products!B:B)</f>
        <v>Clothing</v>
      </c>
      <c r="I656" t="str">
        <f>_xlfn.XLOOKUP(Table1[[#This Row],[ProductID]],Products!A:A,Products!C:C)</f>
        <v>Men</v>
      </c>
      <c r="J656">
        <v>7</v>
      </c>
      <c r="K656" s="5">
        <f>_xlfn.XLOOKUP(Table1[[#This Row],[ProductID]],Products!A:A,Products!E:E)</f>
        <v>185.69</v>
      </c>
      <c r="L656" s="5">
        <v>283.47000000000003</v>
      </c>
      <c r="M656" s="6">
        <v>0.13</v>
      </c>
      <c r="N656" t="s">
        <v>8</v>
      </c>
      <c r="O656" s="5">
        <f t="shared" si="50"/>
        <v>246.61890000000002</v>
      </c>
      <c r="P656" s="5">
        <f t="shared" si="51"/>
        <v>1726.3323000000003</v>
      </c>
      <c r="Q656" s="5">
        <f>Table1[[#This Row],[Quantity]]*(Table1[[#This Row],[Saleprice]]-Table1[[#This Row],[Costprice]])</f>
        <v>426.50230000000022</v>
      </c>
      <c r="R656">
        <f t="shared" si="52"/>
        <v>2022</v>
      </c>
      <c r="S656">
        <f t="shared" si="53"/>
        <v>7</v>
      </c>
      <c r="T656" t="str">
        <f t="shared" si="54"/>
        <v>July</v>
      </c>
    </row>
    <row r="657" spans="1:20" x14ac:dyDescent="0.3">
      <c r="A657" s="3">
        <v>44771</v>
      </c>
      <c r="B657">
        <v>104</v>
      </c>
      <c r="C657" s="3">
        <f>_xlfn.XLOOKUP(B657,Stores!A:A,Stores!E:E)</f>
        <v>44297</v>
      </c>
      <c r="D657">
        <v>220</v>
      </c>
      <c r="E657" s="3">
        <f>_xlfn.XLOOKUP(D657,SalesReps!A:A,SalesReps!D:D)</f>
        <v>44759</v>
      </c>
      <c r="F657" s="3" t="str">
        <f>_xlfn.XLOOKUP(Table1[[#This Row],[RepID]],SalesReps!A:A,SalesReps!E:E)</f>
        <v>Active</v>
      </c>
      <c r="G657">
        <v>313</v>
      </c>
      <c r="H657" t="str">
        <f>_xlfn.XLOOKUP(Table1[[#This Row],[ProductID]],Products!A:A,Products!B:B)</f>
        <v>Clothing</v>
      </c>
      <c r="I657" t="str">
        <f>_xlfn.XLOOKUP(Table1[[#This Row],[ProductID]],Products!A:A,Products!C:C)</f>
        <v>Women</v>
      </c>
      <c r="J657">
        <v>7</v>
      </c>
      <c r="K657" s="5">
        <f>_xlfn.XLOOKUP(Table1[[#This Row],[ProductID]],Products!A:A,Products!E:E)</f>
        <v>104</v>
      </c>
      <c r="L657" s="5">
        <v>137.81</v>
      </c>
      <c r="M657" s="6">
        <v>0.16</v>
      </c>
      <c r="N657" t="s">
        <v>10</v>
      </c>
      <c r="O657" s="5">
        <f t="shared" si="50"/>
        <v>115.7604</v>
      </c>
      <c r="P657" s="5">
        <f t="shared" si="51"/>
        <v>810.32280000000003</v>
      </c>
      <c r="Q657" s="5">
        <f>Table1[[#This Row],[Quantity]]*(Table1[[#This Row],[Saleprice]]-Table1[[#This Row],[Costprice]])</f>
        <v>82.322800000000029</v>
      </c>
      <c r="R657">
        <f t="shared" si="52"/>
        <v>2022</v>
      </c>
      <c r="S657">
        <f t="shared" si="53"/>
        <v>7</v>
      </c>
      <c r="T657" t="str">
        <f t="shared" si="54"/>
        <v>July</v>
      </c>
    </row>
    <row r="658" spans="1:20" x14ac:dyDescent="0.3">
      <c r="A658" s="3">
        <v>44772</v>
      </c>
      <c r="B658">
        <v>101</v>
      </c>
      <c r="C658" s="3">
        <f>_xlfn.XLOOKUP(B658,Stores!A:A,Stores!E:E)</f>
        <v>44691</v>
      </c>
      <c r="D658">
        <v>203</v>
      </c>
      <c r="E658" s="3">
        <f>_xlfn.XLOOKUP(D658,SalesReps!A:A,SalesReps!D:D)</f>
        <v>44582</v>
      </c>
      <c r="F658" s="3" t="str">
        <f>_xlfn.XLOOKUP(Table1[[#This Row],[RepID]],SalesReps!A:A,SalesReps!E:E)</f>
        <v>Active</v>
      </c>
      <c r="G658">
        <v>312</v>
      </c>
      <c r="H658" t="str">
        <f>_xlfn.XLOOKUP(Table1[[#This Row],[ProductID]],Products!A:A,Products!B:B)</f>
        <v>Toys</v>
      </c>
      <c r="I658" t="str">
        <f>_xlfn.XLOOKUP(Table1[[#This Row],[ProductID]],Products!A:A,Products!C:C)</f>
        <v>Board Games</v>
      </c>
      <c r="J658">
        <v>5</v>
      </c>
      <c r="K658" s="5">
        <f>_xlfn.XLOOKUP(Table1[[#This Row],[ProductID]],Products!A:A,Products!E:E)</f>
        <v>100.05</v>
      </c>
      <c r="L658" s="5">
        <v>118.03</v>
      </c>
      <c r="M658" s="6">
        <v>0.19</v>
      </c>
      <c r="N658" t="s">
        <v>8</v>
      </c>
      <c r="O658" s="5">
        <f t="shared" si="50"/>
        <v>95.604300000000009</v>
      </c>
      <c r="P658" s="5">
        <f t="shared" si="51"/>
        <v>478.02150000000006</v>
      </c>
      <c r="Q658" s="5">
        <f>Table1[[#This Row],[Quantity]]*(Table1[[#This Row],[Saleprice]]-Table1[[#This Row],[Costprice]])</f>
        <v>-22.22849999999994</v>
      </c>
      <c r="R658">
        <f t="shared" si="52"/>
        <v>2022</v>
      </c>
      <c r="S658">
        <f t="shared" si="53"/>
        <v>7</v>
      </c>
      <c r="T658" t="str">
        <f t="shared" si="54"/>
        <v>July</v>
      </c>
    </row>
    <row r="659" spans="1:20" x14ac:dyDescent="0.3">
      <c r="A659" s="3">
        <v>44772</v>
      </c>
      <c r="B659">
        <v>107</v>
      </c>
      <c r="C659" s="3">
        <f>_xlfn.XLOOKUP(B659,Stores!A:A,Stores!E:E)</f>
        <v>44702</v>
      </c>
      <c r="D659">
        <v>211</v>
      </c>
      <c r="E659" s="3">
        <f>_xlfn.XLOOKUP(D659,SalesReps!A:A,SalesReps!D:D)</f>
        <v>44757</v>
      </c>
      <c r="F659" s="3" t="str">
        <f>_xlfn.XLOOKUP(Table1[[#This Row],[RepID]],SalesReps!A:A,SalesReps!E:E)</f>
        <v>Active</v>
      </c>
      <c r="G659">
        <v>320</v>
      </c>
      <c r="H659" t="str">
        <f>_xlfn.XLOOKUP(Table1[[#This Row],[ProductID]],Products!A:A,Products!B:B)</f>
        <v>Toys</v>
      </c>
      <c r="I659" t="str">
        <f>_xlfn.XLOOKUP(Table1[[#This Row],[ProductID]],Products!A:A,Products!C:C)</f>
        <v>Outdoor</v>
      </c>
      <c r="J659">
        <v>7</v>
      </c>
      <c r="K659" s="5">
        <f>_xlfn.XLOOKUP(Table1[[#This Row],[ProductID]],Products!A:A,Products!E:E)</f>
        <v>304.58999999999997</v>
      </c>
      <c r="L659" s="5">
        <v>323.52</v>
      </c>
      <c r="M659" s="6">
        <v>0.15</v>
      </c>
      <c r="N659" t="s">
        <v>8</v>
      </c>
      <c r="O659" s="5">
        <f t="shared" si="50"/>
        <v>274.99199999999996</v>
      </c>
      <c r="P659" s="5">
        <f t="shared" si="51"/>
        <v>1924.9439999999997</v>
      </c>
      <c r="Q659" s="5">
        <f>Table1[[#This Row],[Quantity]]*(Table1[[#This Row],[Saleprice]]-Table1[[#This Row],[Costprice]])</f>
        <v>-207.18600000000009</v>
      </c>
      <c r="R659">
        <f t="shared" si="52"/>
        <v>2022</v>
      </c>
      <c r="S659">
        <f t="shared" si="53"/>
        <v>7</v>
      </c>
      <c r="T659" t="str">
        <f t="shared" si="54"/>
        <v>July</v>
      </c>
    </row>
    <row r="660" spans="1:20" x14ac:dyDescent="0.3">
      <c r="A660" s="3">
        <v>44772</v>
      </c>
      <c r="B660">
        <v>109</v>
      </c>
      <c r="C660" s="3">
        <f>_xlfn.XLOOKUP(B660,Stores!A:A,Stores!E:E)</f>
        <v>44600</v>
      </c>
      <c r="D660">
        <v>214</v>
      </c>
      <c r="E660" s="3">
        <f>_xlfn.XLOOKUP(D660,SalesReps!A:A,SalesReps!D:D)</f>
        <v>44707</v>
      </c>
      <c r="F660" s="3" t="str">
        <f>_xlfn.XLOOKUP(Table1[[#This Row],[RepID]],SalesReps!A:A,SalesReps!E:E)</f>
        <v>Active</v>
      </c>
      <c r="G660">
        <v>308</v>
      </c>
      <c r="H660" t="str">
        <f>_xlfn.XLOOKUP(Table1[[#This Row],[ProductID]],Products!A:A,Products!B:B)</f>
        <v>Home &amp; Kitchen</v>
      </c>
      <c r="I660" t="str">
        <f>_xlfn.XLOOKUP(Table1[[#This Row],[ProductID]],Products!A:A,Products!C:C)</f>
        <v>Furniture</v>
      </c>
      <c r="J660">
        <v>4</v>
      </c>
      <c r="K660" s="5">
        <f>_xlfn.XLOOKUP(Table1[[#This Row],[ProductID]],Products!A:A,Products!E:E)</f>
        <v>377.46</v>
      </c>
      <c r="L660" s="5">
        <v>457.07</v>
      </c>
      <c r="M660" s="6">
        <v>0.18</v>
      </c>
      <c r="N660" t="s">
        <v>11</v>
      </c>
      <c r="O660" s="5">
        <f t="shared" si="50"/>
        <v>374.79740000000004</v>
      </c>
      <c r="P660" s="5">
        <f t="shared" si="51"/>
        <v>1499.1896000000002</v>
      </c>
      <c r="Q660" s="5">
        <f>Table1[[#This Row],[Quantity]]*(Table1[[#This Row],[Saleprice]]-Table1[[#This Row],[Costprice]])</f>
        <v>-10.650399999999763</v>
      </c>
      <c r="R660">
        <f t="shared" si="52"/>
        <v>2022</v>
      </c>
      <c r="S660">
        <f t="shared" si="53"/>
        <v>7</v>
      </c>
      <c r="T660" t="str">
        <f t="shared" si="54"/>
        <v>July</v>
      </c>
    </row>
    <row r="661" spans="1:20" x14ac:dyDescent="0.3">
      <c r="A661" s="3">
        <v>44772</v>
      </c>
      <c r="B661">
        <v>107</v>
      </c>
      <c r="C661" s="3">
        <f>_xlfn.XLOOKUP(B661,Stores!A:A,Stores!E:E)</f>
        <v>44702</v>
      </c>
      <c r="D661">
        <v>211</v>
      </c>
      <c r="E661" s="3">
        <f>_xlfn.XLOOKUP(D661,SalesReps!A:A,SalesReps!D:D)</f>
        <v>44757</v>
      </c>
      <c r="F661" s="3" t="str">
        <f>_xlfn.XLOOKUP(Table1[[#This Row],[RepID]],SalesReps!A:A,SalesReps!E:E)</f>
        <v>Active</v>
      </c>
      <c r="G661">
        <v>304</v>
      </c>
      <c r="H661" t="str">
        <f>_xlfn.XLOOKUP(Table1[[#This Row],[ProductID]],Products!A:A,Products!B:B)</f>
        <v>Home &amp; Kitchen</v>
      </c>
      <c r="I661" t="str">
        <f>_xlfn.XLOOKUP(Table1[[#This Row],[ProductID]],Products!A:A,Products!C:C)</f>
        <v>Furniture</v>
      </c>
      <c r="J661">
        <v>6</v>
      </c>
      <c r="K661" s="5">
        <f>_xlfn.XLOOKUP(Table1[[#This Row],[ProductID]],Products!A:A,Products!E:E)</f>
        <v>345.38</v>
      </c>
      <c r="L661" s="5">
        <v>434.29</v>
      </c>
      <c r="M661" s="6">
        <v>0.11</v>
      </c>
      <c r="N661" t="s">
        <v>8</v>
      </c>
      <c r="O661" s="5">
        <f t="shared" si="50"/>
        <v>386.5181</v>
      </c>
      <c r="P661" s="5">
        <f t="shared" si="51"/>
        <v>2319.1086</v>
      </c>
      <c r="Q661" s="5">
        <f>Table1[[#This Row],[Quantity]]*(Table1[[#This Row],[Saleprice]]-Table1[[#This Row],[Costprice]])</f>
        <v>246.82860000000005</v>
      </c>
      <c r="R661">
        <f t="shared" si="52"/>
        <v>2022</v>
      </c>
      <c r="S661">
        <f t="shared" si="53"/>
        <v>7</v>
      </c>
      <c r="T661" t="str">
        <f t="shared" si="54"/>
        <v>July</v>
      </c>
    </row>
    <row r="662" spans="1:20" x14ac:dyDescent="0.3">
      <c r="A662" s="3">
        <v>44772</v>
      </c>
      <c r="B662">
        <v>101</v>
      </c>
      <c r="C662" s="3">
        <f>_xlfn.XLOOKUP(B662,Stores!A:A,Stores!E:E)</f>
        <v>44691</v>
      </c>
      <c r="D662">
        <v>213</v>
      </c>
      <c r="E662" s="3">
        <f>_xlfn.XLOOKUP(D662,SalesReps!A:A,SalesReps!D:D)</f>
        <v>44255</v>
      </c>
      <c r="F662" s="3" t="str">
        <f>_xlfn.XLOOKUP(Table1[[#This Row],[RepID]],SalesReps!A:A,SalesReps!E:E)</f>
        <v>Active</v>
      </c>
      <c r="G662">
        <v>304</v>
      </c>
      <c r="H662" t="str">
        <f>_xlfn.XLOOKUP(Table1[[#This Row],[ProductID]],Products!A:A,Products!B:B)</f>
        <v>Home &amp; Kitchen</v>
      </c>
      <c r="I662" t="str">
        <f>_xlfn.XLOOKUP(Table1[[#This Row],[ProductID]],Products!A:A,Products!C:C)</f>
        <v>Furniture</v>
      </c>
      <c r="J662">
        <v>1</v>
      </c>
      <c r="K662" s="5">
        <f>_xlfn.XLOOKUP(Table1[[#This Row],[ProductID]],Products!A:A,Products!E:E)</f>
        <v>345.38</v>
      </c>
      <c r="L662" s="5">
        <v>401.66</v>
      </c>
      <c r="M662" s="6">
        <v>0.09</v>
      </c>
      <c r="N662" t="s">
        <v>8</v>
      </c>
      <c r="O662" s="5">
        <f t="shared" si="50"/>
        <v>365.51060000000001</v>
      </c>
      <c r="P662" s="5">
        <f t="shared" si="51"/>
        <v>365.51060000000001</v>
      </c>
      <c r="Q662" s="5">
        <f>Table1[[#This Row],[Quantity]]*(Table1[[#This Row],[Saleprice]]-Table1[[#This Row],[Costprice]])</f>
        <v>20.130600000000015</v>
      </c>
      <c r="R662">
        <f t="shared" si="52"/>
        <v>2022</v>
      </c>
      <c r="S662">
        <f t="shared" si="53"/>
        <v>7</v>
      </c>
      <c r="T662" t="str">
        <f t="shared" si="54"/>
        <v>July</v>
      </c>
    </row>
    <row r="663" spans="1:20" x14ac:dyDescent="0.3">
      <c r="A663" s="3">
        <v>44774</v>
      </c>
      <c r="B663">
        <v>109</v>
      </c>
      <c r="C663" s="3">
        <f>_xlfn.XLOOKUP(B663,Stores!A:A,Stores!E:E)</f>
        <v>44600</v>
      </c>
      <c r="D663">
        <v>214</v>
      </c>
      <c r="E663" s="3">
        <f>_xlfn.XLOOKUP(D663,SalesReps!A:A,SalesReps!D:D)</f>
        <v>44707</v>
      </c>
      <c r="F663" s="3" t="str">
        <f>_xlfn.XLOOKUP(Table1[[#This Row],[RepID]],SalesReps!A:A,SalesReps!E:E)</f>
        <v>Active</v>
      </c>
      <c r="G663">
        <v>312</v>
      </c>
      <c r="H663" t="str">
        <f>_xlfn.XLOOKUP(Table1[[#This Row],[ProductID]],Products!A:A,Products!B:B)</f>
        <v>Toys</v>
      </c>
      <c r="I663" t="str">
        <f>_xlfn.XLOOKUP(Table1[[#This Row],[ProductID]],Products!A:A,Products!C:C)</f>
        <v>Board Games</v>
      </c>
      <c r="J663">
        <v>9</v>
      </c>
      <c r="K663" s="5">
        <f>_xlfn.XLOOKUP(Table1[[#This Row],[ProductID]],Products!A:A,Products!E:E)</f>
        <v>100.05</v>
      </c>
      <c r="L663" s="5">
        <v>160.04</v>
      </c>
      <c r="M663" s="6">
        <v>0.14000000000000001</v>
      </c>
      <c r="N663" t="s">
        <v>11</v>
      </c>
      <c r="O663" s="5">
        <f t="shared" si="50"/>
        <v>137.6344</v>
      </c>
      <c r="P663" s="5">
        <f t="shared" si="51"/>
        <v>1238.7095999999999</v>
      </c>
      <c r="Q663" s="5">
        <f>Table1[[#This Row],[Quantity]]*(Table1[[#This Row],[Saleprice]]-Table1[[#This Row],[Costprice]])</f>
        <v>338.25960000000003</v>
      </c>
      <c r="R663">
        <f t="shared" si="52"/>
        <v>2022</v>
      </c>
      <c r="S663">
        <f t="shared" si="53"/>
        <v>8</v>
      </c>
      <c r="T663" t="str">
        <f t="shared" si="54"/>
        <v>August</v>
      </c>
    </row>
    <row r="664" spans="1:20" x14ac:dyDescent="0.3">
      <c r="A664" s="3">
        <v>44775</v>
      </c>
      <c r="B664">
        <v>109</v>
      </c>
      <c r="C664" s="3">
        <f>_xlfn.XLOOKUP(B664,Stores!A:A,Stores!E:E)</f>
        <v>44600</v>
      </c>
      <c r="D664">
        <v>214</v>
      </c>
      <c r="E664" s="3">
        <f>_xlfn.XLOOKUP(D664,SalesReps!A:A,SalesReps!D:D)</f>
        <v>44707</v>
      </c>
      <c r="F664" s="3" t="str">
        <f>_xlfn.XLOOKUP(Table1[[#This Row],[RepID]],SalesReps!A:A,SalesReps!E:E)</f>
        <v>Active</v>
      </c>
      <c r="G664">
        <v>306</v>
      </c>
      <c r="H664" t="str">
        <f>_xlfn.XLOOKUP(Table1[[#This Row],[ProductID]],Products!A:A,Products!B:B)</f>
        <v>Clothing</v>
      </c>
      <c r="I664" t="str">
        <f>_xlfn.XLOOKUP(Table1[[#This Row],[ProductID]],Products!A:A,Products!C:C)</f>
        <v>Men</v>
      </c>
      <c r="J664">
        <v>6</v>
      </c>
      <c r="K664" s="5">
        <f>_xlfn.XLOOKUP(Table1[[#This Row],[ProductID]],Products!A:A,Products!E:E)</f>
        <v>185.69</v>
      </c>
      <c r="L664" s="5">
        <v>228.58</v>
      </c>
      <c r="M664" s="6">
        <v>0.21</v>
      </c>
      <c r="N664" t="s">
        <v>11</v>
      </c>
      <c r="O664" s="5">
        <f t="shared" si="50"/>
        <v>180.57820000000001</v>
      </c>
      <c r="P664" s="5">
        <f t="shared" si="51"/>
        <v>1083.4692</v>
      </c>
      <c r="Q664" s="5">
        <f>Table1[[#This Row],[Quantity]]*(Table1[[#This Row],[Saleprice]]-Table1[[#This Row],[Costprice]])</f>
        <v>-30.670799999999929</v>
      </c>
      <c r="R664">
        <f t="shared" si="52"/>
        <v>2022</v>
      </c>
      <c r="S664">
        <f t="shared" si="53"/>
        <v>8</v>
      </c>
      <c r="T664" t="str">
        <f t="shared" si="54"/>
        <v>August</v>
      </c>
    </row>
    <row r="665" spans="1:20" x14ac:dyDescent="0.3">
      <c r="A665" s="3">
        <v>44775</v>
      </c>
      <c r="B665">
        <v>109</v>
      </c>
      <c r="C665" s="3">
        <f>_xlfn.XLOOKUP(B665,Stores!A:A,Stores!E:E)</f>
        <v>44600</v>
      </c>
      <c r="D665">
        <v>214</v>
      </c>
      <c r="E665" s="3">
        <f>_xlfn.XLOOKUP(D665,SalesReps!A:A,SalesReps!D:D)</f>
        <v>44707</v>
      </c>
      <c r="F665" s="3" t="str">
        <f>_xlfn.XLOOKUP(Table1[[#This Row],[RepID]],SalesReps!A:A,SalesReps!E:E)</f>
        <v>Active</v>
      </c>
      <c r="G665">
        <v>306</v>
      </c>
      <c r="H665" t="str">
        <f>_xlfn.XLOOKUP(Table1[[#This Row],[ProductID]],Products!A:A,Products!B:B)</f>
        <v>Clothing</v>
      </c>
      <c r="I665" t="str">
        <f>_xlfn.XLOOKUP(Table1[[#This Row],[ProductID]],Products!A:A,Products!C:C)</f>
        <v>Men</v>
      </c>
      <c r="J665">
        <v>6</v>
      </c>
      <c r="K665" s="5">
        <f>_xlfn.XLOOKUP(Table1[[#This Row],[ProductID]],Products!A:A,Products!E:E)</f>
        <v>185.69</v>
      </c>
      <c r="L665" s="5">
        <v>228.58</v>
      </c>
      <c r="M665" s="6">
        <v>0.21</v>
      </c>
      <c r="N665" t="s">
        <v>11</v>
      </c>
      <c r="O665" s="5">
        <f t="shared" si="50"/>
        <v>180.57820000000001</v>
      </c>
      <c r="P665" s="5">
        <f t="shared" si="51"/>
        <v>1083.4692</v>
      </c>
      <c r="Q665" s="5">
        <f>Table1[[#This Row],[Quantity]]*(Table1[[#This Row],[Saleprice]]-Table1[[#This Row],[Costprice]])</f>
        <v>-30.670799999999929</v>
      </c>
      <c r="R665">
        <f t="shared" si="52"/>
        <v>2022</v>
      </c>
      <c r="S665">
        <f t="shared" si="53"/>
        <v>8</v>
      </c>
      <c r="T665" t="str">
        <f t="shared" si="54"/>
        <v>August</v>
      </c>
    </row>
    <row r="666" spans="1:20" x14ac:dyDescent="0.3">
      <c r="A666" s="3">
        <v>44775</v>
      </c>
      <c r="B666">
        <v>101</v>
      </c>
      <c r="C666" s="3">
        <f>_xlfn.XLOOKUP(B666,Stores!A:A,Stores!E:E)</f>
        <v>44691</v>
      </c>
      <c r="D666">
        <v>201</v>
      </c>
      <c r="E666" s="3">
        <f>_xlfn.XLOOKUP(D666,SalesReps!A:A,SalesReps!D:D)</f>
        <v>44688</v>
      </c>
      <c r="F666" s="3" t="str">
        <f>_xlfn.XLOOKUP(Table1[[#This Row],[RepID]],SalesReps!A:A,SalesReps!E:E)</f>
        <v>Active</v>
      </c>
      <c r="G666">
        <v>317</v>
      </c>
      <c r="H666" t="str">
        <f>_xlfn.XLOOKUP(Table1[[#This Row],[ProductID]],Products!A:A,Products!B:B)</f>
        <v>Toys</v>
      </c>
      <c r="I666" t="str">
        <f>_xlfn.XLOOKUP(Table1[[#This Row],[ProductID]],Products!A:A,Products!C:C)</f>
        <v>Educational</v>
      </c>
      <c r="J666">
        <v>9</v>
      </c>
      <c r="K666" s="5">
        <f>_xlfn.XLOOKUP(Table1[[#This Row],[ProductID]],Products!A:A,Products!E:E)</f>
        <v>77.61</v>
      </c>
      <c r="L666" s="5">
        <v>144.5</v>
      </c>
      <c r="M666" s="6">
        <v>0.09</v>
      </c>
      <c r="N666" t="s">
        <v>8</v>
      </c>
      <c r="O666" s="5">
        <f t="shared" si="50"/>
        <v>131.495</v>
      </c>
      <c r="P666" s="5">
        <f t="shared" si="51"/>
        <v>1183.4549999999999</v>
      </c>
      <c r="Q666" s="5">
        <f>Table1[[#This Row],[Quantity]]*(Table1[[#This Row],[Saleprice]]-Table1[[#This Row],[Costprice]])</f>
        <v>484.96500000000003</v>
      </c>
      <c r="R666">
        <f t="shared" si="52"/>
        <v>2022</v>
      </c>
      <c r="S666">
        <f t="shared" si="53"/>
        <v>8</v>
      </c>
      <c r="T666" t="str">
        <f t="shared" si="54"/>
        <v>August</v>
      </c>
    </row>
    <row r="667" spans="1:20" x14ac:dyDescent="0.3">
      <c r="A667" s="3">
        <v>44776</v>
      </c>
      <c r="B667">
        <v>101</v>
      </c>
      <c r="C667" s="3">
        <f>_xlfn.XLOOKUP(B667,Stores!A:A,Stores!E:E)</f>
        <v>44691</v>
      </c>
      <c r="D667">
        <v>206</v>
      </c>
      <c r="E667" s="3">
        <f>_xlfn.XLOOKUP(D667,SalesReps!A:A,SalesReps!D:D)</f>
        <v>44357</v>
      </c>
      <c r="F667" s="3" t="str">
        <f>_xlfn.XLOOKUP(Table1[[#This Row],[RepID]],SalesReps!A:A,SalesReps!E:E)</f>
        <v>Active</v>
      </c>
      <c r="G667">
        <v>311</v>
      </c>
      <c r="H667" t="str">
        <f>_xlfn.XLOOKUP(Table1[[#This Row],[ProductID]],Products!A:A,Products!B:B)</f>
        <v>Home &amp; Kitchen</v>
      </c>
      <c r="I667" t="str">
        <f>_xlfn.XLOOKUP(Table1[[#This Row],[ProductID]],Products!A:A,Products!C:C)</f>
        <v>Furniture</v>
      </c>
      <c r="J667">
        <v>2</v>
      </c>
      <c r="K667" s="5">
        <f>_xlfn.XLOOKUP(Table1[[#This Row],[ProductID]],Products!A:A,Products!E:E)</f>
        <v>16.23</v>
      </c>
      <c r="L667" s="5">
        <v>73.739999999999995</v>
      </c>
      <c r="M667" s="6">
        <v>0.16</v>
      </c>
      <c r="N667" t="s">
        <v>8</v>
      </c>
      <c r="O667" s="5">
        <f t="shared" si="50"/>
        <v>61.941599999999994</v>
      </c>
      <c r="P667" s="5">
        <f t="shared" si="51"/>
        <v>123.88319999999999</v>
      </c>
      <c r="Q667" s="5">
        <f>Table1[[#This Row],[Quantity]]*(Table1[[#This Row],[Saleprice]]-Table1[[#This Row],[Costprice]])</f>
        <v>91.42319999999998</v>
      </c>
      <c r="R667">
        <f t="shared" si="52"/>
        <v>2022</v>
      </c>
      <c r="S667">
        <f t="shared" si="53"/>
        <v>8</v>
      </c>
      <c r="T667" t="str">
        <f t="shared" si="54"/>
        <v>August</v>
      </c>
    </row>
    <row r="668" spans="1:20" x14ac:dyDescent="0.3">
      <c r="A668" s="3">
        <v>44776</v>
      </c>
      <c r="B668">
        <v>107</v>
      </c>
      <c r="C668" s="3">
        <f>_xlfn.XLOOKUP(B668,Stores!A:A,Stores!E:E)</f>
        <v>44702</v>
      </c>
      <c r="D668">
        <v>211</v>
      </c>
      <c r="E668" s="3">
        <f>_xlfn.XLOOKUP(D668,SalesReps!A:A,SalesReps!D:D)</f>
        <v>44757</v>
      </c>
      <c r="F668" s="3" t="str">
        <f>_xlfn.XLOOKUP(Table1[[#This Row],[RepID]],SalesReps!A:A,SalesReps!E:E)</f>
        <v>Active</v>
      </c>
      <c r="G668">
        <v>310</v>
      </c>
      <c r="H668" t="str">
        <f>_xlfn.XLOOKUP(Table1[[#This Row],[ProductID]],Products!A:A,Products!B:B)</f>
        <v>Home &amp; Kitchen</v>
      </c>
      <c r="I668" t="str">
        <f>_xlfn.XLOOKUP(Table1[[#This Row],[ProductID]],Products!A:A,Products!C:C)</f>
        <v>Furniture</v>
      </c>
      <c r="J668">
        <v>9</v>
      </c>
      <c r="K668" s="5">
        <f>_xlfn.XLOOKUP(Table1[[#This Row],[ProductID]],Products!A:A,Products!E:E)</f>
        <v>160.31</v>
      </c>
      <c r="L668" s="5">
        <v>169.45</v>
      </c>
      <c r="M668" s="6">
        <v>0.25</v>
      </c>
      <c r="N668" t="s">
        <v>8</v>
      </c>
      <c r="O668" s="5">
        <f t="shared" si="50"/>
        <v>127.08749999999999</v>
      </c>
      <c r="P668" s="5">
        <f t="shared" si="51"/>
        <v>1143.7874999999999</v>
      </c>
      <c r="Q668" s="5">
        <f>Table1[[#This Row],[Quantity]]*(Table1[[#This Row],[Saleprice]]-Table1[[#This Row],[Costprice]])</f>
        <v>-299.00250000000011</v>
      </c>
      <c r="R668">
        <f t="shared" si="52"/>
        <v>2022</v>
      </c>
      <c r="S668">
        <f t="shared" si="53"/>
        <v>8</v>
      </c>
      <c r="T668" t="str">
        <f t="shared" si="54"/>
        <v>August</v>
      </c>
    </row>
    <row r="669" spans="1:20" x14ac:dyDescent="0.3">
      <c r="A669" s="3">
        <v>44776</v>
      </c>
      <c r="B669">
        <v>101</v>
      </c>
      <c r="C669" s="3">
        <f>_xlfn.XLOOKUP(B669,Stores!A:A,Stores!E:E)</f>
        <v>44691</v>
      </c>
      <c r="D669">
        <v>206</v>
      </c>
      <c r="E669" s="3">
        <f>_xlfn.XLOOKUP(D669,SalesReps!A:A,SalesReps!D:D)</f>
        <v>44357</v>
      </c>
      <c r="F669" s="3" t="str">
        <f>_xlfn.XLOOKUP(Table1[[#This Row],[RepID]],SalesReps!A:A,SalesReps!E:E)</f>
        <v>Active</v>
      </c>
      <c r="G669">
        <v>307</v>
      </c>
      <c r="H669" t="str">
        <f>_xlfn.XLOOKUP(Table1[[#This Row],[ProductID]],Products!A:A,Products!B:B)</f>
        <v>Toys</v>
      </c>
      <c r="I669" t="str">
        <f>_xlfn.XLOOKUP(Table1[[#This Row],[ProductID]],Products!A:A,Products!C:C)</f>
        <v>Outdoor</v>
      </c>
      <c r="J669">
        <v>1</v>
      </c>
      <c r="K669" s="5">
        <f>_xlfn.XLOOKUP(Table1[[#This Row],[ProductID]],Products!A:A,Products!E:E)</f>
        <v>15.17</v>
      </c>
      <c r="L669" s="5">
        <v>68.45</v>
      </c>
      <c r="M669" s="6">
        <v>0.19</v>
      </c>
      <c r="N669" t="s">
        <v>8</v>
      </c>
      <c r="O669" s="5">
        <f t="shared" si="50"/>
        <v>55.444500000000005</v>
      </c>
      <c r="P669" s="5">
        <f t="shared" si="51"/>
        <v>55.444500000000005</v>
      </c>
      <c r="Q669" s="5">
        <f>Table1[[#This Row],[Quantity]]*(Table1[[#This Row],[Saleprice]]-Table1[[#This Row],[Costprice]])</f>
        <v>40.274500000000003</v>
      </c>
      <c r="R669">
        <f t="shared" si="52"/>
        <v>2022</v>
      </c>
      <c r="S669">
        <f t="shared" si="53"/>
        <v>8</v>
      </c>
      <c r="T669" t="str">
        <f t="shared" si="54"/>
        <v>August</v>
      </c>
    </row>
    <row r="670" spans="1:20" x14ac:dyDescent="0.3">
      <c r="A670" s="3">
        <v>44776</v>
      </c>
      <c r="B670">
        <v>109</v>
      </c>
      <c r="C670" s="3">
        <f>_xlfn.XLOOKUP(B670,Stores!A:A,Stores!E:E)</f>
        <v>44600</v>
      </c>
      <c r="D670">
        <v>214</v>
      </c>
      <c r="E670" s="3">
        <f>_xlfn.XLOOKUP(D670,SalesReps!A:A,SalesReps!D:D)</f>
        <v>44707</v>
      </c>
      <c r="F670" s="3" t="str">
        <f>_xlfn.XLOOKUP(Table1[[#This Row],[RepID]],SalesReps!A:A,SalesReps!E:E)</f>
        <v>Active</v>
      </c>
      <c r="G670">
        <v>305</v>
      </c>
      <c r="H670" t="str">
        <f>_xlfn.XLOOKUP(Table1[[#This Row],[ProductID]],Products!A:A,Products!B:B)</f>
        <v>Electronics</v>
      </c>
      <c r="I670" t="str">
        <f>_xlfn.XLOOKUP(Table1[[#This Row],[ProductID]],Products!A:A,Products!C:C)</f>
        <v>Accessories</v>
      </c>
      <c r="J670">
        <v>2</v>
      </c>
      <c r="K670" s="5">
        <f>_xlfn.XLOOKUP(Table1[[#This Row],[ProductID]],Products!A:A,Products!E:E)</f>
        <v>275.32</v>
      </c>
      <c r="L670" s="5">
        <v>347.99</v>
      </c>
      <c r="M670" s="6">
        <v>0.08</v>
      </c>
      <c r="N670" t="s">
        <v>11</v>
      </c>
      <c r="O670" s="5">
        <f t="shared" si="50"/>
        <v>320.1508</v>
      </c>
      <c r="P670" s="5">
        <f t="shared" si="51"/>
        <v>640.30160000000001</v>
      </c>
      <c r="Q670" s="5">
        <f>Table1[[#This Row],[Quantity]]*(Table1[[#This Row],[Saleprice]]-Table1[[#This Row],[Costprice]])</f>
        <v>89.661600000000021</v>
      </c>
      <c r="R670">
        <f t="shared" si="52"/>
        <v>2022</v>
      </c>
      <c r="S670">
        <f t="shared" si="53"/>
        <v>8</v>
      </c>
      <c r="T670" t="str">
        <f t="shared" si="54"/>
        <v>August</v>
      </c>
    </row>
    <row r="671" spans="1:20" x14ac:dyDescent="0.3">
      <c r="A671" s="3">
        <v>44776</v>
      </c>
      <c r="B671">
        <v>104</v>
      </c>
      <c r="C671" s="3">
        <f>_xlfn.XLOOKUP(B671,Stores!A:A,Stores!E:E)</f>
        <v>44297</v>
      </c>
      <c r="D671">
        <v>220</v>
      </c>
      <c r="E671" s="3">
        <f>_xlfn.XLOOKUP(D671,SalesReps!A:A,SalesReps!D:D)</f>
        <v>44759</v>
      </c>
      <c r="F671" s="3" t="str">
        <f>_xlfn.XLOOKUP(Table1[[#This Row],[RepID]],SalesReps!A:A,SalesReps!E:E)</f>
        <v>Active</v>
      </c>
      <c r="G671">
        <v>309</v>
      </c>
      <c r="H671" t="str">
        <f>_xlfn.XLOOKUP(Table1[[#This Row],[ProductID]],Products!A:A,Products!B:B)</f>
        <v>Electronics</v>
      </c>
      <c r="I671" t="str">
        <f>_xlfn.XLOOKUP(Table1[[#This Row],[ProductID]],Products!A:A,Products!C:C)</f>
        <v>Laptops</v>
      </c>
      <c r="J671">
        <v>9</v>
      </c>
      <c r="K671" s="5">
        <f>_xlfn.XLOOKUP(Table1[[#This Row],[ProductID]],Products!A:A,Products!E:E)</f>
        <v>229.68</v>
      </c>
      <c r="L671" s="5">
        <v>329.15</v>
      </c>
      <c r="M671" s="6">
        <v>0.09</v>
      </c>
      <c r="N671" t="s">
        <v>10</v>
      </c>
      <c r="O671" s="5">
        <f t="shared" si="50"/>
        <v>299.5265</v>
      </c>
      <c r="P671" s="5">
        <f t="shared" si="51"/>
        <v>2695.7384999999999</v>
      </c>
      <c r="Q671" s="5">
        <f>Table1[[#This Row],[Quantity]]*(Table1[[#This Row],[Saleprice]]-Table1[[#This Row],[Costprice]])</f>
        <v>628.61849999999993</v>
      </c>
      <c r="R671">
        <f t="shared" si="52"/>
        <v>2022</v>
      </c>
      <c r="S671">
        <f t="shared" si="53"/>
        <v>8</v>
      </c>
      <c r="T671" t="str">
        <f t="shared" si="54"/>
        <v>August</v>
      </c>
    </row>
    <row r="672" spans="1:20" x14ac:dyDescent="0.3">
      <c r="A672" s="3">
        <v>44776</v>
      </c>
      <c r="B672">
        <v>101</v>
      </c>
      <c r="C672" s="3">
        <f>_xlfn.XLOOKUP(B672,Stores!A:A,Stores!E:E)</f>
        <v>44691</v>
      </c>
      <c r="D672">
        <v>213</v>
      </c>
      <c r="E672" s="3">
        <f>_xlfn.XLOOKUP(D672,SalesReps!A:A,SalesReps!D:D)</f>
        <v>44255</v>
      </c>
      <c r="F672" s="3" t="str">
        <f>_xlfn.XLOOKUP(Table1[[#This Row],[RepID]],SalesReps!A:A,SalesReps!E:E)</f>
        <v>Active</v>
      </c>
      <c r="G672">
        <v>313</v>
      </c>
      <c r="H672" t="str">
        <f>_xlfn.XLOOKUP(Table1[[#This Row],[ProductID]],Products!A:A,Products!B:B)</f>
        <v>Clothing</v>
      </c>
      <c r="I672" t="str">
        <f>_xlfn.XLOOKUP(Table1[[#This Row],[ProductID]],Products!A:A,Products!C:C)</f>
        <v>Women</v>
      </c>
      <c r="J672">
        <v>3</v>
      </c>
      <c r="K672" s="5">
        <f>_xlfn.XLOOKUP(Table1[[#This Row],[ProductID]],Products!A:A,Products!E:E)</f>
        <v>104</v>
      </c>
      <c r="L672" s="5">
        <v>123.73</v>
      </c>
      <c r="M672" s="6">
        <v>0.25</v>
      </c>
      <c r="N672" t="s">
        <v>8</v>
      </c>
      <c r="O672" s="5">
        <f t="shared" si="50"/>
        <v>92.797499999999999</v>
      </c>
      <c r="P672" s="5">
        <f t="shared" si="51"/>
        <v>278.39249999999998</v>
      </c>
      <c r="Q672" s="5">
        <f>Table1[[#This Row],[Quantity]]*(Table1[[#This Row],[Saleprice]]-Table1[[#This Row],[Costprice]])</f>
        <v>-33.607500000000002</v>
      </c>
      <c r="R672">
        <f t="shared" si="52"/>
        <v>2022</v>
      </c>
      <c r="S672">
        <f t="shared" si="53"/>
        <v>8</v>
      </c>
      <c r="T672" t="str">
        <f t="shared" si="54"/>
        <v>August</v>
      </c>
    </row>
    <row r="673" spans="1:20" x14ac:dyDescent="0.3">
      <c r="A673" s="3">
        <v>44777</v>
      </c>
      <c r="B673">
        <v>107</v>
      </c>
      <c r="C673" s="3">
        <f>_xlfn.XLOOKUP(B673,Stores!A:A,Stores!E:E)</f>
        <v>44702</v>
      </c>
      <c r="D673">
        <v>211</v>
      </c>
      <c r="E673" s="3">
        <f>_xlfn.XLOOKUP(D673,SalesReps!A:A,SalesReps!D:D)</f>
        <v>44757</v>
      </c>
      <c r="F673" s="3" t="str">
        <f>_xlfn.XLOOKUP(Table1[[#This Row],[RepID]],SalesReps!A:A,SalesReps!E:E)</f>
        <v>Active</v>
      </c>
      <c r="G673">
        <v>304</v>
      </c>
      <c r="H673" t="str">
        <f>_xlfn.XLOOKUP(Table1[[#This Row],[ProductID]],Products!A:A,Products!B:B)</f>
        <v>Home &amp; Kitchen</v>
      </c>
      <c r="I673" t="str">
        <f>_xlfn.XLOOKUP(Table1[[#This Row],[ProductID]],Products!A:A,Products!C:C)</f>
        <v>Furniture</v>
      </c>
      <c r="J673">
        <v>1</v>
      </c>
      <c r="K673" s="5">
        <f>_xlfn.XLOOKUP(Table1[[#This Row],[ProductID]],Products!A:A,Products!E:E)</f>
        <v>345.38</v>
      </c>
      <c r="L673" s="5">
        <v>434.29</v>
      </c>
      <c r="M673" s="6">
        <v>0.11</v>
      </c>
      <c r="N673" t="s">
        <v>8</v>
      </c>
      <c r="O673" s="5">
        <f t="shared" si="50"/>
        <v>386.5181</v>
      </c>
      <c r="P673" s="5">
        <f t="shared" si="51"/>
        <v>386.5181</v>
      </c>
      <c r="Q673" s="5">
        <f>Table1[[#This Row],[Quantity]]*(Table1[[#This Row],[Saleprice]]-Table1[[#This Row],[Costprice]])</f>
        <v>41.138100000000009</v>
      </c>
      <c r="R673">
        <f t="shared" si="52"/>
        <v>2022</v>
      </c>
      <c r="S673">
        <f t="shared" si="53"/>
        <v>8</v>
      </c>
      <c r="T673" t="str">
        <f t="shared" si="54"/>
        <v>August</v>
      </c>
    </row>
    <row r="674" spans="1:20" x14ac:dyDescent="0.3">
      <c r="A674" s="3">
        <v>44777</v>
      </c>
      <c r="B674">
        <v>107</v>
      </c>
      <c r="C674" s="3">
        <f>_xlfn.XLOOKUP(B674,Stores!A:A,Stores!E:E)</f>
        <v>44702</v>
      </c>
      <c r="D674">
        <v>211</v>
      </c>
      <c r="E674" s="3">
        <f>_xlfn.XLOOKUP(D674,SalesReps!A:A,SalesReps!D:D)</f>
        <v>44757</v>
      </c>
      <c r="F674" s="3" t="str">
        <f>_xlfn.XLOOKUP(Table1[[#This Row],[RepID]],SalesReps!A:A,SalesReps!E:E)</f>
        <v>Active</v>
      </c>
      <c r="G674">
        <v>306</v>
      </c>
      <c r="H674" t="str">
        <f>_xlfn.XLOOKUP(Table1[[#This Row],[ProductID]],Products!A:A,Products!B:B)</f>
        <v>Clothing</v>
      </c>
      <c r="I674" t="str">
        <f>_xlfn.XLOOKUP(Table1[[#This Row],[ProductID]],Products!A:A,Products!C:C)</f>
        <v>Men</v>
      </c>
      <c r="J674">
        <v>7</v>
      </c>
      <c r="K674" s="5">
        <f>_xlfn.XLOOKUP(Table1[[#This Row],[ProductID]],Products!A:A,Products!E:E)</f>
        <v>185.69</v>
      </c>
      <c r="L674" s="5">
        <v>213.7</v>
      </c>
      <c r="M674" s="6">
        <v>0.21</v>
      </c>
      <c r="N674" t="s">
        <v>8</v>
      </c>
      <c r="O674" s="5">
        <f t="shared" si="50"/>
        <v>168.82300000000001</v>
      </c>
      <c r="P674" s="5">
        <f t="shared" si="51"/>
        <v>1181.761</v>
      </c>
      <c r="Q674" s="5">
        <f>Table1[[#This Row],[Quantity]]*(Table1[[#This Row],[Saleprice]]-Table1[[#This Row],[Costprice]])</f>
        <v>-118.06899999999993</v>
      </c>
      <c r="R674">
        <f t="shared" si="52"/>
        <v>2022</v>
      </c>
      <c r="S674">
        <f t="shared" si="53"/>
        <v>8</v>
      </c>
      <c r="T674" t="str">
        <f t="shared" si="54"/>
        <v>August</v>
      </c>
    </row>
    <row r="675" spans="1:20" x14ac:dyDescent="0.3">
      <c r="A675" s="3">
        <v>44778</v>
      </c>
      <c r="B675">
        <v>101</v>
      </c>
      <c r="C675" s="3">
        <f>_xlfn.XLOOKUP(B675,Stores!A:A,Stores!E:E)</f>
        <v>44691</v>
      </c>
      <c r="D675">
        <v>206</v>
      </c>
      <c r="E675" s="3">
        <f>_xlfn.XLOOKUP(D675,SalesReps!A:A,SalesReps!D:D)</f>
        <v>44357</v>
      </c>
      <c r="F675" s="3" t="str">
        <f>_xlfn.XLOOKUP(Table1[[#This Row],[RepID]],SalesReps!A:A,SalesReps!E:E)</f>
        <v>Active</v>
      </c>
      <c r="G675">
        <v>319</v>
      </c>
      <c r="H675" t="str">
        <f>_xlfn.XLOOKUP(Table1[[#This Row],[ProductID]],Products!A:A,Products!B:B)</f>
        <v>Toys</v>
      </c>
      <c r="I675" t="str">
        <f>_xlfn.XLOOKUP(Table1[[#This Row],[ProductID]],Products!A:A,Products!C:C)</f>
        <v>Board Games</v>
      </c>
      <c r="J675">
        <v>9</v>
      </c>
      <c r="K675" s="5">
        <f>_xlfn.XLOOKUP(Table1[[#This Row],[ProductID]],Products!A:A,Products!E:E)</f>
        <v>81.069999999999993</v>
      </c>
      <c r="L675" s="5">
        <v>91.15</v>
      </c>
      <c r="M675" s="6">
        <v>0.24</v>
      </c>
      <c r="N675" t="s">
        <v>8</v>
      </c>
      <c r="O675" s="5">
        <f t="shared" si="50"/>
        <v>69.274000000000001</v>
      </c>
      <c r="P675" s="5">
        <f t="shared" si="51"/>
        <v>623.46600000000001</v>
      </c>
      <c r="Q675" s="5">
        <f>Table1[[#This Row],[Quantity]]*(Table1[[#This Row],[Saleprice]]-Table1[[#This Row],[Costprice]])</f>
        <v>-106.16399999999993</v>
      </c>
      <c r="R675">
        <f t="shared" si="52"/>
        <v>2022</v>
      </c>
      <c r="S675">
        <f t="shared" si="53"/>
        <v>8</v>
      </c>
      <c r="T675" t="str">
        <f t="shared" si="54"/>
        <v>August</v>
      </c>
    </row>
    <row r="676" spans="1:20" x14ac:dyDescent="0.3">
      <c r="A676" s="3">
        <v>44778</v>
      </c>
      <c r="B676">
        <v>109</v>
      </c>
      <c r="C676" s="3">
        <f>_xlfn.XLOOKUP(B676,Stores!A:A,Stores!E:E)</f>
        <v>44600</v>
      </c>
      <c r="D676">
        <v>214</v>
      </c>
      <c r="E676" s="3">
        <f>_xlfn.XLOOKUP(D676,SalesReps!A:A,SalesReps!D:D)</f>
        <v>44707</v>
      </c>
      <c r="F676" s="3" t="str">
        <f>_xlfn.XLOOKUP(Table1[[#This Row],[RepID]],SalesReps!A:A,SalesReps!E:E)</f>
        <v>Active</v>
      </c>
      <c r="G676">
        <v>301</v>
      </c>
      <c r="H676" t="str">
        <f>_xlfn.XLOOKUP(Table1[[#This Row],[ProductID]],Products!A:A,Products!B:B)</f>
        <v>Electronics</v>
      </c>
      <c r="I676" t="str">
        <f>_xlfn.XLOOKUP(Table1[[#This Row],[ProductID]],Products!A:A,Products!C:C)</f>
        <v>Mobiles</v>
      </c>
      <c r="J676">
        <v>7</v>
      </c>
      <c r="K676" s="5">
        <f>_xlfn.XLOOKUP(Table1[[#This Row],[ProductID]],Products!A:A,Products!E:E)</f>
        <v>159.16</v>
      </c>
      <c r="L676" s="5">
        <v>219.9</v>
      </c>
      <c r="M676" s="6">
        <v>0.24</v>
      </c>
      <c r="N676" t="s">
        <v>11</v>
      </c>
      <c r="O676" s="5">
        <f t="shared" si="50"/>
        <v>167.124</v>
      </c>
      <c r="P676" s="5">
        <f t="shared" si="51"/>
        <v>1169.8679999999999</v>
      </c>
      <c r="Q676" s="5">
        <f>Table1[[#This Row],[Quantity]]*(Table1[[#This Row],[Saleprice]]-Table1[[#This Row],[Costprice]])</f>
        <v>55.74799999999999</v>
      </c>
      <c r="R676">
        <f t="shared" si="52"/>
        <v>2022</v>
      </c>
      <c r="S676">
        <f t="shared" si="53"/>
        <v>8</v>
      </c>
      <c r="T676" t="str">
        <f t="shared" si="54"/>
        <v>August</v>
      </c>
    </row>
    <row r="677" spans="1:20" x14ac:dyDescent="0.3">
      <c r="A677" s="3">
        <v>44778</v>
      </c>
      <c r="B677">
        <v>107</v>
      </c>
      <c r="C677" s="3">
        <f>_xlfn.XLOOKUP(B677,Stores!A:A,Stores!E:E)</f>
        <v>44702</v>
      </c>
      <c r="D677">
        <v>211</v>
      </c>
      <c r="E677" s="3">
        <f>_xlfn.XLOOKUP(D677,SalesReps!A:A,SalesReps!D:D)</f>
        <v>44757</v>
      </c>
      <c r="F677" s="3" t="str">
        <f>_xlfn.XLOOKUP(Table1[[#This Row],[RepID]],SalesReps!A:A,SalesReps!E:E)</f>
        <v>Active</v>
      </c>
      <c r="G677">
        <v>308</v>
      </c>
      <c r="H677" t="str">
        <f>_xlfn.XLOOKUP(Table1[[#This Row],[ProductID]],Products!A:A,Products!B:B)</f>
        <v>Home &amp; Kitchen</v>
      </c>
      <c r="I677" t="str">
        <f>_xlfn.XLOOKUP(Table1[[#This Row],[ProductID]],Products!A:A,Products!C:C)</f>
        <v>Furniture</v>
      </c>
      <c r="J677">
        <v>2</v>
      </c>
      <c r="K677" s="5">
        <f>_xlfn.XLOOKUP(Table1[[#This Row],[ProductID]],Products!A:A,Products!E:E)</f>
        <v>377.46</v>
      </c>
      <c r="L677" s="5">
        <v>420.89</v>
      </c>
      <c r="M677" s="6">
        <v>0.23</v>
      </c>
      <c r="N677" t="s">
        <v>8</v>
      </c>
      <c r="O677" s="5">
        <f t="shared" si="50"/>
        <v>324.08530000000002</v>
      </c>
      <c r="P677" s="5">
        <f t="shared" si="51"/>
        <v>648.17060000000004</v>
      </c>
      <c r="Q677" s="5">
        <f>Table1[[#This Row],[Quantity]]*(Table1[[#This Row],[Saleprice]]-Table1[[#This Row],[Costprice]])</f>
        <v>-106.74939999999992</v>
      </c>
      <c r="R677">
        <f t="shared" si="52"/>
        <v>2022</v>
      </c>
      <c r="S677">
        <f t="shared" si="53"/>
        <v>8</v>
      </c>
      <c r="T677" t="str">
        <f t="shared" si="54"/>
        <v>August</v>
      </c>
    </row>
    <row r="678" spans="1:20" x14ac:dyDescent="0.3">
      <c r="A678" s="3">
        <v>44778</v>
      </c>
      <c r="B678">
        <v>101</v>
      </c>
      <c r="C678" s="3">
        <f>_xlfn.XLOOKUP(B678,Stores!A:A,Stores!E:E)</f>
        <v>44691</v>
      </c>
      <c r="D678">
        <v>213</v>
      </c>
      <c r="E678" s="3">
        <f>_xlfn.XLOOKUP(D678,SalesReps!A:A,SalesReps!D:D)</f>
        <v>44255</v>
      </c>
      <c r="F678" s="3" t="str">
        <f>_xlfn.XLOOKUP(Table1[[#This Row],[RepID]],SalesReps!A:A,SalesReps!E:E)</f>
        <v>Active</v>
      </c>
      <c r="G678">
        <v>310</v>
      </c>
      <c r="H678" t="str">
        <f>_xlfn.XLOOKUP(Table1[[#This Row],[ProductID]],Products!A:A,Products!B:B)</f>
        <v>Home &amp; Kitchen</v>
      </c>
      <c r="I678" t="str">
        <f>_xlfn.XLOOKUP(Table1[[#This Row],[ProductID]],Products!A:A,Products!C:C)</f>
        <v>Furniture</v>
      </c>
      <c r="J678">
        <v>9</v>
      </c>
      <c r="K678" s="5">
        <f>_xlfn.XLOOKUP(Table1[[#This Row],[ProductID]],Products!A:A,Products!E:E)</f>
        <v>160.31</v>
      </c>
      <c r="L678" s="5">
        <v>258.3</v>
      </c>
      <c r="M678" s="6">
        <v>0.15</v>
      </c>
      <c r="N678" t="s">
        <v>8</v>
      </c>
      <c r="O678" s="5">
        <f t="shared" si="50"/>
        <v>219.55500000000001</v>
      </c>
      <c r="P678" s="5">
        <f t="shared" si="51"/>
        <v>1975.9950000000001</v>
      </c>
      <c r="Q678" s="5">
        <f>Table1[[#This Row],[Quantity]]*(Table1[[#This Row],[Saleprice]]-Table1[[#This Row],[Costprice]])</f>
        <v>533.20500000000004</v>
      </c>
      <c r="R678">
        <f t="shared" si="52"/>
        <v>2022</v>
      </c>
      <c r="S678">
        <f t="shared" si="53"/>
        <v>8</v>
      </c>
      <c r="T678" t="str">
        <f t="shared" si="54"/>
        <v>August</v>
      </c>
    </row>
    <row r="679" spans="1:20" x14ac:dyDescent="0.3">
      <c r="A679" s="3">
        <v>44778</v>
      </c>
      <c r="B679">
        <v>107</v>
      </c>
      <c r="C679" s="3">
        <f>_xlfn.XLOOKUP(B679,Stores!A:A,Stores!E:E)</f>
        <v>44702</v>
      </c>
      <c r="D679">
        <v>211</v>
      </c>
      <c r="E679" s="3">
        <f>_xlfn.XLOOKUP(D679,SalesReps!A:A,SalesReps!D:D)</f>
        <v>44757</v>
      </c>
      <c r="F679" s="3" t="str">
        <f>_xlfn.XLOOKUP(Table1[[#This Row],[RepID]],SalesReps!A:A,SalesReps!E:E)</f>
        <v>Active</v>
      </c>
      <c r="G679">
        <v>302</v>
      </c>
      <c r="H679" t="str">
        <f>_xlfn.XLOOKUP(Table1[[#This Row],[ProductID]],Products!A:A,Products!B:B)</f>
        <v>Toys</v>
      </c>
      <c r="I679" t="str">
        <f>_xlfn.XLOOKUP(Table1[[#This Row],[ProductID]],Products!A:A,Products!C:C)</f>
        <v>Outdoor</v>
      </c>
      <c r="J679">
        <v>7</v>
      </c>
      <c r="K679" s="5">
        <f>_xlfn.XLOOKUP(Table1[[#This Row],[ProductID]],Products!A:A,Products!E:E)</f>
        <v>393.46</v>
      </c>
      <c r="L679" s="5">
        <v>460.31</v>
      </c>
      <c r="M679" s="6">
        <v>0.23</v>
      </c>
      <c r="N679" t="s">
        <v>8</v>
      </c>
      <c r="O679" s="5">
        <f t="shared" si="50"/>
        <v>354.43869999999998</v>
      </c>
      <c r="P679" s="5">
        <f t="shared" si="51"/>
        <v>2481.0708999999997</v>
      </c>
      <c r="Q679" s="5">
        <f>Table1[[#This Row],[Quantity]]*(Table1[[#This Row],[Saleprice]]-Table1[[#This Row],[Costprice]])</f>
        <v>-273.14909999999998</v>
      </c>
      <c r="R679">
        <f t="shared" si="52"/>
        <v>2022</v>
      </c>
      <c r="S679">
        <f t="shared" si="53"/>
        <v>8</v>
      </c>
      <c r="T679" t="str">
        <f t="shared" si="54"/>
        <v>August</v>
      </c>
    </row>
    <row r="680" spans="1:20" x14ac:dyDescent="0.3">
      <c r="A680" s="3">
        <v>44779</v>
      </c>
      <c r="B680">
        <v>101</v>
      </c>
      <c r="C680" s="3">
        <f>_xlfn.XLOOKUP(B680,Stores!A:A,Stores!E:E)</f>
        <v>44691</v>
      </c>
      <c r="D680">
        <v>213</v>
      </c>
      <c r="E680" s="3">
        <f>_xlfn.XLOOKUP(D680,SalesReps!A:A,SalesReps!D:D)</f>
        <v>44255</v>
      </c>
      <c r="F680" s="3" t="str">
        <f>_xlfn.XLOOKUP(Table1[[#This Row],[RepID]],SalesReps!A:A,SalesReps!E:E)</f>
        <v>Active</v>
      </c>
      <c r="G680">
        <v>316</v>
      </c>
      <c r="H680" t="str">
        <f>_xlfn.XLOOKUP(Table1[[#This Row],[ProductID]],Products!A:A,Products!B:B)</f>
        <v>Home &amp; Kitchen</v>
      </c>
      <c r="I680" t="str">
        <f>_xlfn.XLOOKUP(Table1[[#This Row],[ProductID]],Products!A:A,Products!C:C)</f>
        <v>Furniture</v>
      </c>
      <c r="J680">
        <v>3</v>
      </c>
      <c r="K680" s="5">
        <f>_xlfn.XLOOKUP(Table1[[#This Row],[ProductID]],Products!A:A,Products!E:E)</f>
        <v>334.95</v>
      </c>
      <c r="L680" s="5">
        <v>424.18</v>
      </c>
      <c r="M680" s="6">
        <v>0.1</v>
      </c>
      <c r="N680" t="s">
        <v>8</v>
      </c>
      <c r="O680" s="5">
        <f t="shared" si="50"/>
        <v>381.762</v>
      </c>
      <c r="P680" s="5">
        <f t="shared" si="51"/>
        <v>1145.2860000000001</v>
      </c>
      <c r="Q680" s="5">
        <f>Table1[[#This Row],[Quantity]]*(Table1[[#This Row],[Saleprice]]-Table1[[#This Row],[Costprice]])</f>
        <v>140.43600000000004</v>
      </c>
      <c r="R680">
        <f t="shared" si="52"/>
        <v>2022</v>
      </c>
      <c r="S680">
        <f t="shared" si="53"/>
        <v>8</v>
      </c>
      <c r="T680" t="str">
        <f t="shared" si="54"/>
        <v>August</v>
      </c>
    </row>
    <row r="681" spans="1:20" x14ac:dyDescent="0.3">
      <c r="A681" s="3">
        <v>44779</v>
      </c>
      <c r="B681">
        <v>101</v>
      </c>
      <c r="C681" s="3">
        <f>_xlfn.XLOOKUP(B681,Stores!A:A,Stores!E:E)</f>
        <v>44691</v>
      </c>
      <c r="D681">
        <v>203</v>
      </c>
      <c r="E681" s="3">
        <f>_xlfn.XLOOKUP(D681,SalesReps!A:A,SalesReps!D:D)</f>
        <v>44582</v>
      </c>
      <c r="F681" s="3" t="str">
        <f>_xlfn.XLOOKUP(Table1[[#This Row],[RepID]],SalesReps!A:A,SalesReps!E:E)</f>
        <v>Active</v>
      </c>
      <c r="G681">
        <v>319</v>
      </c>
      <c r="H681" t="str">
        <f>_xlfn.XLOOKUP(Table1[[#This Row],[ProductID]],Products!A:A,Products!B:B)</f>
        <v>Toys</v>
      </c>
      <c r="I681" t="str">
        <f>_xlfn.XLOOKUP(Table1[[#This Row],[ProductID]],Products!A:A,Products!C:C)</f>
        <v>Board Games</v>
      </c>
      <c r="J681">
        <v>7</v>
      </c>
      <c r="K681" s="5">
        <f>_xlfn.XLOOKUP(Table1[[#This Row],[ProductID]],Products!A:A,Products!E:E)</f>
        <v>81.069999999999993</v>
      </c>
      <c r="L681" s="5">
        <v>91.15</v>
      </c>
      <c r="M681" s="6">
        <v>0.24</v>
      </c>
      <c r="N681" t="s">
        <v>8</v>
      </c>
      <c r="O681" s="5">
        <f t="shared" si="50"/>
        <v>69.274000000000001</v>
      </c>
      <c r="P681" s="5">
        <f t="shared" si="51"/>
        <v>484.91800000000001</v>
      </c>
      <c r="Q681" s="5">
        <f>Table1[[#This Row],[Quantity]]*(Table1[[#This Row],[Saleprice]]-Table1[[#This Row],[Costprice]])</f>
        <v>-82.571999999999946</v>
      </c>
      <c r="R681">
        <f t="shared" si="52"/>
        <v>2022</v>
      </c>
      <c r="S681">
        <f t="shared" si="53"/>
        <v>8</v>
      </c>
      <c r="T681" t="str">
        <f t="shared" si="54"/>
        <v>August</v>
      </c>
    </row>
    <row r="682" spans="1:20" x14ac:dyDescent="0.3">
      <c r="A682" s="3">
        <v>44779</v>
      </c>
      <c r="B682">
        <v>107</v>
      </c>
      <c r="C682" s="3">
        <f>_xlfn.XLOOKUP(B682,Stores!A:A,Stores!E:E)</f>
        <v>44702</v>
      </c>
      <c r="D682">
        <v>211</v>
      </c>
      <c r="E682" s="3">
        <f>_xlfn.XLOOKUP(D682,SalesReps!A:A,SalesReps!D:D)</f>
        <v>44757</v>
      </c>
      <c r="F682" s="3" t="str">
        <f>_xlfn.XLOOKUP(Table1[[#This Row],[RepID]],SalesReps!A:A,SalesReps!E:E)</f>
        <v>Active</v>
      </c>
      <c r="G682">
        <v>302</v>
      </c>
      <c r="H682" t="str">
        <f>_xlfn.XLOOKUP(Table1[[#This Row],[ProductID]],Products!A:A,Products!B:B)</f>
        <v>Toys</v>
      </c>
      <c r="I682" t="str">
        <f>_xlfn.XLOOKUP(Table1[[#This Row],[ProductID]],Products!A:A,Products!C:C)</f>
        <v>Outdoor</v>
      </c>
      <c r="J682">
        <v>2</v>
      </c>
      <c r="K682" s="5">
        <f>_xlfn.XLOOKUP(Table1[[#This Row],[ProductID]],Products!A:A,Products!E:E)</f>
        <v>393.46</v>
      </c>
      <c r="L682" s="5">
        <v>460.31</v>
      </c>
      <c r="M682" s="6">
        <v>0.23</v>
      </c>
      <c r="N682" t="s">
        <v>8</v>
      </c>
      <c r="O682" s="5">
        <f t="shared" si="50"/>
        <v>354.43869999999998</v>
      </c>
      <c r="P682" s="5">
        <f t="shared" si="51"/>
        <v>708.87739999999997</v>
      </c>
      <c r="Q682" s="5">
        <f>Table1[[#This Row],[Quantity]]*(Table1[[#This Row],[Saleprice]]-Table1[[#This Row],[Costprice]])</f>
        <v>-78.042599999999993</v>
      </c>
      <c r="R682">
        <f t="shared" si="52"/>
        <v>2022</v>
      </c>
      <c r="S682">
        <f t="shared" si="53"/>
        <v>8</v>
      </c>
      <c r="T682" t="str">
        <f t="shared" si="54"/>
        <v>August</v>
      </c>
    </row>
    <row r="683" spans="1:20" x14ac:dyDescent="0.3">
      <c r="A683" s="3">
        <v>44779</v>
      </c>
      <c r="B683">
        <v>101</v>
      </c>
      <c r="C683" s="3">
        <f>_xlfn.XLOOKUP(B683,Stores!A:A,Stores!E:E)</f>
        <v>44691</v>
      </c>
      <c r="D683">
        <v>201</v>
      </c>
      <c r="E683" s="3">
        <f>_xlfn.XLOOKUP(D683,SalesReps!A:A,SalesReps!D:D)</f>
        <v>44688</v>
      </c>
      <c r="F683" s="3" t="str">
        <f>_xlfn.XLOOKUP(Table1[[#This Row],[RepID]],SalesReps!A:A,SalesReps!E:E)</f>
        <v>Active</v>
      </c>
      <c r="G683">
        <v>313</v>
      </c>
      <c r="H683" t="str">
        <f>_xlfn.XLOOKUP(Table1[[#This Row],[ProductID]],Products!A:A,Products!B:B)</f>
        <v>Clothing</v>
      </c>
      <c r="I683" t="str">
        <f>_xlfn.XLOOKUP(Table1[[#This Row],[ProductID]],Products!A:A,Products!C:C)</f>
        <v>Women</v>
      </c>
      <c r="J683">
        <v>1</v>
      </c>
      <c r="K683" s="5">
        <f>_xlfn.XLOOKUP(Table1[[#This Row],[ProductID]],Products!A:A,Products!E:E)</f>
        <v>104</v>
      </c>
      <c r="L683" s="5">
        <v>123.73</v>
      </c>
      <c r="M683" s="6">
        <v>0.25</v>
      </c>
      <c r="N683" t="s">
        <v>8</v>
      </c>
      <c r="O683" s="5">
        <f t="shared" si="50"/>
        <v>92.797499999999999</v>
      </c>
      <c r="P683" s="5">
        <f t="shared" si="51"/>
        <v>92.797499999999999</v>
      </c>
      <c r="Q683" s="5">
        <f>Table1[[#This Row],[Quantity]]*(Table1[[#This Row],[Saleprice]]-Table1[[#This Row],[Costprice]])</f>
        <v>-11.202500000000001</v>
      </c>
      <c r="R683">
        <f t="shared" si="52"/>
        <v>2022</v>
      </c>
      <c r="S683">
        <f t="shared" si="53"/>
        <v>8</v>
      </c>
      <c r="T683" t="str">
        <f t="shared" si="54"/>
        <v>August</v>
      </c>
    </row>
    <row r="684" spans="1:20" x14ac:dyDescent="0.3">
      <c r="A684" s="3">
        <v>44780</v>
      </c>
      <c r="B684">
        <v>101</v>
      </c>
      <c r="C684" s="3">
        <f>_xlfn.XLOOKUP(B684,Stores!A:A,Stores!E:E)</f>
        <v>44691</v>
      </c>
      <c r="D684">
        <v>206</v>
      </c>
      <c r="E684" s="3">
        <f>_xlfn.XLOOKUP(D684,SalesReps!A:A,SalesReps!D:D)</f>
        <v>44357</v>
      </c>
      <c r="F684" s="3" t="str">
        <f>_xlfn.XLOOKUP(Table1[[#This Row],[RepID]],SalesReps!A:A,SalesReps!E:E)</f>
        <v>Active</v>
      </c>
      <c r="G684">
        <v>304</v>
      </c>
      <c r="H684" t="str">
        <f>_xlfn.XLOOKUP(Table1[[#This Row],[ProductID]],Products!A:A,Products!B:B)</f>
        <v>Home &amp; Kitchen</v>
      </c>
      <c r="I684" t="str">
        <f>_xlfn.XLOOKUP(Table1[[#This Row],[ProductID]],Products!A:A,Products!C:C)</f>
        <v>Furniture</v>
      </c>
      <c r="J684">
        <v>1</v>
      </c>
      <c r="K684" s="5">
        <f>_xlfn.XLOOKUP(Table1[[#This Row],[ProductID]],Products!A:A,Products!E:E)</f>
        <v>345.38</v>
      </c>
      <c r="L684" s="5">
        <v>401.66</v>
      </c>
      <c r="M684" s="6">
        <v>0.09</v>
      </c>
      <c r="N684" t="s">
        <v>8</v>
      </c>
      <c r="O684" s="5">
        <f t="shared" si="50"/>
        <v>365.51060000000001</v>
      </c>
      <c r="P684" s="5">
        <f t="shared" si="51"/>
        <v>365.51060000000001</v>
      </c>
      <c r="Q684" s="5">
        <f>Table1[[#This Row],[Quantity]]*(Table1[[#This Row],[Saleprice]]-Table1[[#This Row],[Costprice]])</f>
        <v>20.130600000000015</v>
      </c>
      <c r="R684">
        <f t="shared" si="52"/>
        <v>2022</v>
      </c>
      <c r="S684">
        <f t="shared" si="53"/>
        <v>8</v>
      </c>
      <c r="T684" t="str">
        <f t="shared" si="54"/>
        <v>August</v>
      </c>
    </row>
    <row r="685" spans="1:20" x14ac:dyDescent="0.3">
      <c r="A685" s="3">
        <v>44780</v>
      </c>
      <c r="B685">
        <v>104</v>
      </c>
      <c r="C685" s="3">
        <f>_xlfn.XLOOKUP(B685,Stores!A:A,Stores!E:E)</f>
        <v>44297</v>
      </c>
      <c r="D685">
        <v>220</v>
      </c>
      <c r="E685" s="3">
        <f>_xlfn.XLOOKUP(D685,SalesReps!A:A,SalesReps!D:D)</f>
        <v>44759</v>
      </c>
      <c r="F685" s="3" t="str">
        <f>_xlfn.XLOOKUP(Table1[[#This Row],[RepID]],SalesReps!A:A,SalesReps!E:E)</f>
        <v>Active</v>
      </c>
      <c r="G685">
        <v>306</v>
      </c>
      <c r="H685" t="str">
        <f>_xlfn.XLOOKUP(Table1[[#This Row],[ProductID]],Products!A:A,Products!B:B)</f>
        <v>Clothing</v>
      </c>
      <c r="I685" t="str">
        <f>_xlfn.XLOOKUP(Table1[[#This Row],[ProductID]],Products!A:A,Products!C:C)</f>
        <v>Men</v>
      </c>
      <c r="J685">
        <v>9</v>
      </c>
      <c r="K685" s="5">
        <f>_xlfn.XLOOKUP(Table1[[#This Row],[ProductID]],Products!A:A,Products!E:E)</f>
        <v>185.69</v>
      </c>
      <c r="L685" s="5">
        <v>241.13</v>
      </c>
      <c r="M685" s="6">
        <v>0.14000000000000001</v>
      </c>
      <c r="N685" t="s">
        <v>10</v>
      </c>
      <c r="O685" s="5">
        <f t="shared" si="50"/>
        <v>207.37179999999998</v>
      </c>
      <c r="P685" s="5">
        <f t="shared" si="51"/>
        <v>1866.3461999999997</v>
      </c>
      <c r="Q685" s="5">
        <f>Table1[[#This Row],[Quantity]]*(Table1[[#This Row],[Saleprice]]-Table1[[#This Row],[Costprice]])</f>
        <v>195.13619999999983</v>
      </c>
      <c r="R685">
        <f t="shared" si="52"/>
        <v>2022</v>
      </c>
      <c r="S685">
        <f t="shared" si="53"/>
        <v>8</v>
      </c>
      <c r="T685" t="str">
        <f t="shared" si="54"/>
        <v>August</v>
      </c>
    </row>
    <row r="686" spans="1:20" x14ac:dyDescent="0.3">
      <c r="A686" s="3">
        <v>44780</v>
      </c>
      <c r="B686">
        <v>109</v>
      </c>
      <c r="C686" s="3">
        <f>_xlfn.XLOOKUP(B686,Stores!A:A,Stores!E:E)</f>
        <v>44600</v>
      </c>
      <c r="D686">
        <v>214</v>
      </c>
      <c r="E686" s="3">
        <f>_xlfn.XLOOKUP(D686,SalesReps!A:A,SalesReps!D:D)</f>
        <v>44707</v>
      </c>
      <c r="F686" s="3" t="str">
        <f>_xlfn.XLOOKUP(Table1[[#This Row],[RepID]],SalesReps!A:A,SalesReps!E:E)</f>
        <v>Active</v>
      </c>
      <c r="G686">
        <v>320</v>
      </c>
      <c r="H686" t="str">
        <f>_xlfn.XLOOKUP(Table1[[#This Row],[ProductID]],Products!A:A,Products!B:B)</f>
        <v>Toys</v>
      </c>
      <c r="I686" t="str">
        <f>_xlfn.XLOOKUP(Table1[[#This Row],[ProductID]],Products!A:A,Products!C:C)</f>
        <v>Outdoor</v>
      </c>
      <c r="J686">
        <v>6</v>
      </c>
      <c r="K686" s="5">
        <f>_xlfn.XLOOKUP(Table1[[#This Row],[ProductID]],Products!A:A,Products!E:E)</f>
        <v>304.58999999999997</v>
      </c>
      <c r="L686" s="5">
        <v>391.59</v>
      </c>
      <c r="M686" s="6">
        <v>0.23</v>
      </c>
      <c r="N686" t="s">
        <v>11</v>
      </c>
      <c r="O686" s="5">
        <f t="shared" si="50"/>
        <v>301.52429999999998</v>
      </c>
      <c r="P686" s="5">
        <f t="shared" si="51"/>
        <v>1809.1457999999998</v>
      </c>
      <c r="Q686" s="5">
        <f>Table1[[#This Row],[Quantity]]*(Table1[[#This Row],[Saleprice]]-Table1[[#This Row],[Costprice]])</f>
        <v>-18.394199999999955</v>
      </c>
      <c r="R686">
        <f t="shared" si="52"/>
        <v>2022</v>
      </c>
      <c r="S686">
        <f t="shared" si="53"/>
        <v>8</v>
      </c>
      <c r="T686" t="str">
        <f t="shared" si="54"/>
        <v>August</v>
      </c>
    </row>
    <row r="687" spans="1:20" x14ac:dyDescent="0.3">
      <c r="A687" s="3">
        <v>44780</v>
      </c>
      <c r="B687">
        <v>109</v>
      </c>
      <c r="C687" s="3">
        <f>_xlfn.XLOOKUP(B687,Stores!A:A,Stores!E:E)</f>
        <v>44600</v>
      </c>
      <c r="D687">
        <v>214</v>
      </c>
      <c r="E687" s="3">
        <f>_xlfn.XLOOKUP(D687,SalesReps!A:A,SalesReps!D:D)</f>
        <v>44707</v>
      </c>
      <c r="F687" s="3" t="str">
        <f>_xlfn.XLOOKUP(Table1[[#This Row],[RepID]],SalesReps!A:A,SalesReps!E:E)</f>
        <v>Active</v>
      </c>
      <c r="G687">
        <v>306</v>
      </c>
      <c r="H687" t="str">
        <f>_xlfn.XLOOKUP(Table1[[#This Row],[ProductID]],Products!A:A,Products!B:B)</f>
        <v>Clothing</v>
      </c>
      <c r="I687" t="str">
        <f>_xlfn.XLOOKUP(Table1[[#This Row],[ProductID]],Products!A:A,Products!C:C)</f>
        <v>Men</v>
      </c>
      <c r="J687">
        <v>4</v>
      </c>
      <c r="K687" s="5">
        <f>_xlfn.XLOOKUP(Table1[[#This Row],[ProductID]],Products!A:A,Products!E:E)</f>
        <v>185.69</v>
      </c>
      <c r="L687" s="5">
        <v>228.58</v>
      </c>
      <c r="M687" s="6">
        <v>0.21</v>
      </c>
      <c r="N687" t="s">
        <v>11</v>
      </c>
      <c r="O687" s="5">
        <f t="shared" si="50"/>
        <v>180.57820000000001</v>
      </c>
      <c r="P687" s="5">
        <f t="shared" si="51"/>
        <v>722.31280000000004</v>
      </c>
      <c r="Q687" s="5">
        <f>Table1[[#This Row],[Quantity]]*(Table1[[#This Row],[Saleprice]]-Table1[[#This Row],[Costprice]])</f>
        <v>-20.447199999999953</v>
      </c>
      <c r="R687">
        <f t="shared" si="52"/>
        <v>2022</v>
      </c>
      <c r="S687">
        <f t="shared" si="53"/>
        <v>8</v>
      </c>
      <c r="T687" t="str">
        <f t="shared" si="54"/>
        <v>August</v>
      </c>
    </row>
    <row r="688" spans="1:20" x14ac:dyDescent="0.3">
      <c r="A688" s="3">
        <v>44781</v>
      </c>
      <c r="B688">
        <v>109</v>
      </c>
      <c r="C688" s="3">
        <f>_xlfn.XLOOKUP(B688,Stores!A:A,Stores!E:E)</f>
        <v>44600</v>
      </c>
      <c r="D688">
        <v>214</v>
      </c>
      <c r="E688" s="3">
        <f>_xlfn.XLOOKUP(D688,SalesReps!A:A,SalesReps!D:D)</f>
        <v>44707</v>
      </c>
      <c r="F688" s="3" t="str">
        <f>_xlfn.XLOOKUP(Table1[[#This Row],[RepID]],SalesReps!A:A,SalesReps!E:E)</f>
        <v>Active</v>
      </c>
      <c r="G688">
        <v>319</v>
      </c>
      <c r="H688" t="str">
        <f>_xlfn.XLOOKUP(Table1[[#This Row],[ProductID]],Products!A:A,Products!B:B)</f>
        <v>Toys</v>
      </c>
      <c r="I688" t="str">
        <f>_xlfn.XLOOKUP(Table1[[#This Row],[ProductID]],Products!A:A,Products!C:C)</f>
        <v>Board Games</v>
      </c>
      <c r="J688">
        <v>3</v>
      </c>
      <c r="K688" s="5">
        <f>_xlfn.XLOOKUP(Table1[[#This Row],[ProductID]],Products!A:A,Products!E:E)</f>
        <v>81.069999999999993</v>
      </c>
      <c r="L688" s="5">
        <v>174.51</v>
      </c>
      <c r="M688" s="6">
        <v>0.24</v>
      </c>
      <c r="N688" t="s">
        <v>11</v>
      </c>
      <c r="O688" s="5">
        <f t="shared" si="50"/>
        <v>132.6276</v>
      </c>
      <c r="P688" s="5">
        <f t="shared" si="51"/>
        <v>397.88279999999997</v>
      </c>
      <c r="Q688" s="5">
        <f>Table1[[#This Row],[Quantity]]*(Table1[[#This Row],[Saleprice]]-Table1[[#This Row],[Costprice]])</f>
        <v>154.67280000000002</v>
      </c>
      <c r="R688">
        <f t="shared" si="52"/>
        <v>2022</v>
      </c>
      <c r="S688">
        <f t="shared" si="53"/>
        <v>8</v>
      </c>
      <c r="T688" t="str">
        <f t="shared" si="54"/>
        <v>August</v>
      </c>
    </row>
    <row r="689" spans="1:20" x14ac:dyDescent="0.3">
      <c r="A689" s="3">
        <v>44781</v>
      </c>
      <c r="B689">
        <v>107</v>
      </c>
      <c r="C689" s="3">
        <f>_xlfn.XLOOKUP(B689,Stores!A:A,Stores!E:E)</f>
        <v>44702</v>
      </c>
      <c r="D689">
        <v>211</v>
      </c>
      <c r="E689" s="3">
        <f>_xlfn.XLOOKUP(D689,SalesReps!A:A,SalesReps!D:D)</f>
        <v>44757</v>
      </c>
      <c r="F689" s="3" t="str">
        <f>_xlfn.XLOOKUP(Table1[[#This Row],[RepID]],SalesReps!A:A,SalesReps!E:E)</f>
        <v>Active</v>
      </c>
      <c r="G689">
        <v>307</v>
      </c>
      <c r="H689" t="str">
        <f>_xlfn.XLOOKUP(Table1[[#This Row],[ProductID]],Products!A:A,Products!B:B)</f>
        <v>Toys</v>
      </c>
      <c r="I689" t="str">
        <f>_xlfn.XLOOKUP(Table1[[#This Row],[ProductID]],Products!A:A,Products!C:C)</f>
        <v>Outdoor</v>
      </c>
      <c r="J689">
        <v>1</v>
      </c>
      <c r="K689" s="5">
        <f>_xlfn.XLOOKUP(Table1[[#This Row],[ProductID]],Products!A:A,Products!E:E)</f>
        <v>15.17</v>
      </c>
      <c r="L689" s="5">
        <v>99.75</v>
      </c>
      <c r="M689" s="6">
        <v>0.19</v>
      </c>
      <c r="N689" t="s">
        <v>8</v>
      </c>
      <c r="O689" s="5">
        <f t="shared" si="50"/>
        <v>80.797499999999999</v>
      </c>
      <c r="P689" s="5">
        <f t="shared" si="51"/>
        <v>80.797499999999999</v>
      </c>
      <c r="Q689" s="5">
        <f>Table1[[#This Row],[Quantity]]*(Table1[[#This Row],[Saleprice]]-Table1[[#This Row],[Costprice]])</f>
        <v>65.627499999999998</v>
      </c>
      <c r="R689">
        <f t="shared" si="52"/>
        <v>2022</v>
      </c>
      <c r="S689">
        <f t="shared" si="53"/>
        <v>8</v>
      </c>
      <c r="T689" t="str">
        <f t="shared" si="54"/>
        <v>August</v>
      </c>
    </row>
    <row r="690" spans="1:20" x14ac:dyDescent="0.3">
      <c r="A690" s="3">
        <v>44781</v>
      </c>
      <c r="B690">
        <v>104</v>
      </c>
      <c r="C690" s="3">
        <f>_xlfn.XLOOKUP(B690,Stores!A:A,Stores!E:E)</f>
        <v>44297</v>
      </c>
      <c r="D690">
        <v>220</v>
      </c>
      <c r="E690" s="3">
        <f>_xlfn.XLOOKUP(D690,SalesReps!A:A,SalesReps!D:D)</f>
        <v>44759</v>
      </c>
      <c r="F690" s="3" t="str">
        <f>_xlfn.XLOOKUP(Table1[[#This Row],[RepID]],SalesReps!A:A,SalesReps!E:E)</f>
        <v>Active</v>
      </c>
      <c r="G690">
        <v>314</v>
      </c>
      <c r="H690" t="str">
        <f>_xlfn.XLOOKUP(Table1[[#This Row],[ProductID]],Products!A:A,Products!B:B)</f>
        <v>Clothing</v>
      </c>
      <c r="I690" t="str">
        <f>_xlfn.XLOOKUP(Table1[[#This Row],[ProductID]],Products!A:A,Products!C:C)</f>
        <v>Kids</v>
      </c>
      <c r="J690">
        <v>1</v>
      </c>
      <c r="K690" s="5">
        <f>_xlfn.XLOOKUP(Table1[[#This Row],[ProductID]],Products!A:A,Products!E:E)</f>
        <v>276.47000000000003</v>
      </c>
      <c r="L690" s="5">
        <v>298.98</v>
      </c>
      <c r="M690" s="6">
        <v>7.0000000000000007E-2</v>
      </c>
      <c r="N690" t="s">
        <v>10</v>
      </c>
      <c r="O690" s="5">
        <f t="shared" si="50"/>
        <v>278.0514</v>
      </c>
      <c r="P690" s="5">
        <f t="shared" si="51"/>
        <v>278.0514</v>
      </c>
      <c r="Q690" s="5">
        <f>Table1[[#This Row],[Quantity]]*(Table1[[#This Row],[Saleprice]]-Table1[[#This Row],[Costprice]])</f>
        <v>1.5813999999999737</v>
      </c>
      <c r="R690">
        <f t="shared" si="52"/>
        <v>2022</v>
      </c>
      <c r="S690">
        <f t="shared" si="53"/>
        <v>8</v>
      </c>
      <c r="T690" t="str">
        <f t="shared" si="54"/>
        <v>August</v>
      </c>
    </row>
    <row r="691" spans="1:20" x14ac:dyDescent="0.3">
      <c r="A691" s="3">
        <v>44782</v>
      </c>
      <c r="B691">
        <v>107</v>
      </c>
      <c r="C691" s="3">
        <f>_xlfn.XLOOKUP(B691,Stores!A:A,Stores!E:E)</f>
        <v>44702</v>
      </c>
      <c r="D691">
        <v>211</v>
      </c>
      <c r="E691" s="3">
        <f>_xlfn.XLOOKUP(D691,SalesReps!A:A,SalesReps!D:D)</f>
        <v>44757</v>
      </c>
      <c r="F691" s="3" t="str">
        <f>_xlfn.XLOOKUP(Table1[[#This Row],[RepID]],SalesReps!A:A,SalesReps!E:E)</f>
        <v>Active</v>
      </c>
      <c r="G691">
        <v>311</v>
      </c>
      <c r="H691" t="str">
        <f>_xlfn.XLOOKUP(Table1[[#This Row],[ProductID]],Products!A:A,Products!B:B)</f>
        <v>Home &amp; Kitchen</v>
      </c>
      <c r="I691" t="str">
        <f>_xlfn.XLOOKUP(Table1[[#This Row],[ProductID]],Products!A:A,Products!C:C)</f>
        <v>Furniture</v>
      </c>
      <c r="J691">
        <v>6</v>
      </c>
      <c r="K691" s="5">
        <f>_xlfn.XLOOKUP(Table1[[#This Row],[ProductID]],Products!A:A,Products!E:E)</f>
        <v>16.23</v>
      </c>
      <c r="L691" s="5">
        <v>27.92</v>
      </c>
      <c r="M691" s="6">
        <v>0.09</v>
      </c>
      <c r="N691" t="s">
        <v>8</v>
      </c>
      <c r="O691" s="5">
        <f t="shared" si="50"/>
        <v>25.407200000000003</v>
      </c>
      <c r="P691" s="5">
        <f t="shared" si="51"/>
        <v>152.44320000000002</v>
      </c>
      <c r="Q691" s="5">
        <f>Table1[[#This Row],[Quantity]]*(Table1[[#This Row],[Saleprice]]-Table1[[#This Row],[Costprice]])</f>
        <v>55.063200000000016</v>
      </c>
      <c r="R691">
        <f t="shared" si="52"/>
        <v>2022</v>
      </c>
      <c r="S691">
        <f t="shared" si="53"/>
        <v>8</v>
      </c>
      <c r="T691" t="str">
        <f t="shared" si="54"/>
        <v>August</v>
      </c>
    </row>
    <row r="692" spans="1:20" x14ac:dyDescent="0.3">
      <c r="A692" s="3">
        <v>44784</v>
      </c>
      <c r="B692">
        <v>109</v>
      </c>
      <c r="C692" s="3">
        <f>_xlfn.XLOOKUP(B692,Stores!A:A,Stores!E:E)</f>
        <v>44600</v>
      </c>
      <c r="D692">
        <v>214</v>
      </c>
      <c r="E692" s="3">
        <f>_xlfn.XLOOKUP(D692,SalesReps!A:A,SalesReps!D:D)</f>
        <v>44707</v>
      </c>
      <c r="F692" s="3" t="str">
        <f>_xlfn.XLOOKUP(Table1[[#This Row],[RepID]],SalesReps!A:A,SalesReps!E:E)</f>
        <v>Active</v>
      </c>
      <c r="G692">
        <v>320</v>
      </c>
      <c r="H692" t="str">
        <f>_xlfn.XLOOKUP(Table1[[#This Row],[ProductID]],Products!A:A,Products!B:B)</f>
        <v>Toys</v>
      </c>
      <c r="I692" t="str">
        <f>_xlfn.XLOOKUP(Table1[[#This Row],[ProductID]],Products!A:A,Products!C:C)</f>
        <v>Outdoor</v>
      </c>
      <c r="J692">
        <v>2</v>
      </c>
      <c r="K692" s="5">
        <f>_xlfn.XLOOKUP(Table1[[#This Row],[ProductID]],Products!A:A,Products!E:E)</f>
        <v>304.58999999999997</v>
      </c>
      <c r="L692" s="5">
        <v>391.59</v>
      </c>
      <c r="M692" s="6">
        <v>0.23</v>
      </c>
      <c r="N692" t="s">
        <v>11</v>
      </c>
      <c r="O692" s="5">
        <f t="shared" si="50"/>
        <v>301.52429999999998</v>
      </c>
      <c r="P692" s="5">
        <f t="shared" si="51"/>
        <v>603.04859999999996</v>
      </c>
      <c r="Q692" s="5">
        <f>Table1[[#This Row],[Quantity]]*(Table1[[#This Row],[Saleprice]]-Table1[[#This Row],[Costprice]])</f>
        <v>-6.1313999999999851</v>
      </c>
      <c r="R692">
        <f t="shared" si="52"/>
        <v>2022</v>
      </c>
      <c r="S692">
        <f t="shared" si="53"/>
        <v>8</v>
      </c>
      <c r="T692" t="str">
        <f t="shared" si="54"/>
        <v>August</v>
      </c>
    </row>
    <row r="693" spans="1:20" x14ac:dyDescent="0.3">
      <c r="A693" s="3">
        <v>44785</v>
      </c>
      <c r="B693">
        <v>109</v>
      </c>
      <c r="C693" s="3">
        <f>_xlfn.XLOOKUP(B693,Stores!A:A,Stores!E:E)</f>
        <v>44600</v>
      </c>
      <c r="D693">
        <v>214</v>
      </c>
      <c r="E693" s="3">
        <f>_xlfn.XLOOKUP(D693,SalesReps!A:A,SalesReps!D:D)</f>
        <v>44707</v>
      </c>
      <c r="F693" s="3" t="str">
        <f>_xlfn.XLOOKUP(Table1[[#This Row],[RepID]],SalesReps!A:A,SalesReps!E:E)</f>
        <v>Active</v>
      </c>
      <c r="G693">
        <v>318</v>
      </c>
      <c r="H693" t="str">
        <f>_xlfn.XLOOKUP(Table1[[#This Row],[ProductID]],Products!A:A,Products!B:B)</f>
        <v>Electronics</v>
      </c>
      <c r="I693" t="str">
        <f>_xlfn.XLOOKUP(Table1[[#This Row],[ProductID]],Products!A:A,Products!C:C)</f>
        <v>Mobiles</v>
      </c>
      <c r="J693">
        <v>2</v>
      </c>
      <c r="K693" s="5">
        <f>_xlfn.XLOOKUP(Table1[[#This Row],[ProductID]],Products!A:A,Products!E:E)</f>
        <v>162.51</v>
      </c>
      <c r="L693" s="5">
        <v>214.68</v>
      </c>
      <c r="M693" s="6">
        <v>0.13</v>
      </c>
      <c r="N693" t="s">
        <v>11</v>
      </c>
      <c r="O693" s="5">
        <f t="shared" si="50"/>
        <v>186.77160000000001</v>
      </c>
      <c r="P693" s="5">
        <f t="shared" si="51"/>
        <v>373.54320000000001</v>
      </c>
      <c r="Q693" s="5">
        <f>Table1[[#This Row],[Quantity]]*(Table1[[#This Row],[Saleprice]]-Table1[[#This Row],[Costprice]])</f>
        <v>48.523200000000031</v>
      </c>
      <c r="R693">
        <f t="shared" si="52"/>
        <v>2022</v>
      </c>
      <c r="S693">
        <f t="shared" si="53"/>
        <v>8</v>
      </c>
      <c r="T693" t="str">
        <f t="shared" si="54"/>
        <v>August</v>
      </c>
    </row>
    <row r="694" spans="1:20" x14ac:dyDescent="0.3">
      <c r="A694" s="3">
        <v>44786</v>
      </c>
      <c r="B694">
        <v>109</v>
      </c>
      <c r="C694" s="3">
        <f>_xlfn.XLOOKUP(B694,Stores!A:A,Stores!E:E)</f>
        <v>44600</v>
      </c>
      <c r="D694">
        <v>214</v>
      </c>
      <c r="E694" s="3">
        <f>_xlfn.XLOOKUP(D694,SalesReps!A:A,SalesReps!D:D)</f>
        <v>44707</v>
      </c>
      <c r="F694" s="3" t="str">
        <f>_xlfn.XLOOKUP(Table1[[#This Row],[RepID]],SalesReps!A:A,SalesReps!E:E)</f>
        <v>Active</v>
      </c>
      <c r="G694">
        <v>304</v>
      </c>
      <c r="H694" t="str">
        <f>_xlfn.XLOOKUP(Table1[[#This Row],[ProductID]],Products!A:A,Products!B:B)</f>
        <v>Home &amp; Kitchen</v>
      </c>
      <c r="I694" t="str">
        <f>_xlfn.XLOOKUP(Table1[[#This Row],[ProductID]],Products!A:A,Products!C:C)</f>
        <v>Furniture</v>
      </c>
      <c r="J694">
        <v>5</v>
      </c>
      <c r="K694" s="5">
        <f>_xlfn.XLOOKUP(Table1[[#This Row],[ProductID]],Products!A:A,Products!E:E)</f>
        <v>345.38</v>
      </c>
      <c r="L694" s="5">
        <v>436.53</v>
      </c>
      <c r="M694" s="6">
        <v>0.1</v>
      </c>
      <c r="N694" t="s">
        <v>11</v>
      </c>
      <c r="O694" s="5">
        <f t="shared" si="50"/>
        <v>392.87700000000001</v>
      </c>
      <c r="P694" s="5">
        <f t="shared" si="51"/>
        <v>1964.385</v>
      </c>
      <c r="Q694" s="5">
        <f>Table1[[#This Row],[Quantity]]*(Table1[[#This Row],[Saleprice]]-Table1[[#This Row],[Costprice]])</f>
        <v>237.48500000000007</v>
      </c>
      <c r="R694">
        <f t="shared" si="52"/>
        <v>2022</v>
      </c>
      <c r="S694">
        <f t="shared" si="53"/>
        <v>8</v>
      </c>
      <c r="T694" t="str">
        <f t="shared" si="54"/>
        <v>August</v>
      </c>
    </row>
    <row r="695" spans="1:20" x14ac:dyDescent="0.3">
      <c r="A695" s="3">
        <v>44787</v>
      </c>
      <c r="B695">
        <v>104</v>
      </c>
      <c r="C695" s="3">
        <f>_xlfn.XLOOKUP(B695,Stores!A:A,Stores!E:E)</f>
        <v>44297</v>
      </c>
      <c r="D695">
        <v>220</v>
      </c>
      <c r="E695" s="3">
        <f>_xlfn.XLOOKUP(D695,SalesReps!A:A,SalesReps!D:D)</f>
        <v>44759</v>
      </c>
      <c r="F695" s="3" t="str">
        <f>_xlfn.XLOOKUP(Table1[[#This Row],[RepID]],SalesReps!A:A,SalesReps!E:E)</f>
        <v>Active</v>
      </c>
      <c r="G695">
        <v>303</v>
      </c>
      <c r="H695" t="str">
        <f>_xlfn.XLOOKUP(Table1[[#This Row],[ProductID]],Products!A:A,Products!B:B)</f>
        <v>Home &amp; Kitchen</v>
      </c>
      <c r="I695" t="str">
        <f>_xlfn.XLOOKUP(Table1[[#This Row],[ProductID]],Products!A:A,Products!C:C)</f>
        <v>Furniture</v>
      </c>
      <c r="J695">
        <v>3</v>
      </c>
      <c r="K695" s="5">
        <f>_xlfn.XLOOKUP(Table1[[#This Row],[ProductID]],Products!A:A,Products!E:E)</f>
        <v>192.04</v>
      </c>
      <c r="L695" s="5">
        <v>265.60000000000002</v>
      </c>
      <c r="M695" s="6">
        <v>0.1</v>
      </c>
      <c r="N695" t="s">
        <v>10</v>
      </c>
      <c r="O695" s="5">
        <f t="shared" si="50"/>
        <v>239.04000000000002</v>
      </c>
      <c r="P695" s="5">
        <f t="shared" si="51"/>
        <v>717.12000000000012</v>
      </c>
      <c r="Q695" s="5">
        <f>Table1[[#This Row],[Quantity]]*(Table1[[#This Row],[Saleprice]]-Table1[[#This Row],[Costprice]])</f>
        <v>141.00000000000009</v>
      </c>
      <c r="R695">
        <f t="shared" si="52"/>
        <v>2022</v>
      </c>
      <c r="S695">
        <f t="shared" si="53"/>
        <v>8</v>
      </c>
      <c r="T695" t="str">
        <f t="shared" si="54"/>
        <v>August</v>
      </c>
    </row>
    <row r="696" spans="1:20" x14ac:dyDescent="0.3">
      <c r="A696" s="3">
        <v>44787</v>
      </c>
      <c r="B696">
        <v>104</v>
      </c>
      <c r="C696" s="3">
        <f>_xlfn.XLOOKUP(B696,Stores!A:A,Stores!E:E)</f>
        <v>44297</v>
      </c>
      <c r="D696">
        <v>220</v>
      </c>
      <c r="E696" s="3">
        <f>_xlfn.XLOOKUP(D696,SalesReps!A:A,SalesReps!D:D)</f>
        <v>44759</v>
      </c>
      <c r="F696" s="3" t="str">
        <f>_xlfn.XLOOKUP(Table1[[#This Row],[RepID]],SalesReps!A:A,SalesReps!E:E)</f>
        <v>Active</v>
      </c>
      <c r="G696">
        <v>310</v>
      </c>
      <c r="H696" t="str">
        <f>_xlfn.XLOOKUP(Table1[[#This Row],[ProductID]],Products!A:A,Products!B:B)</f>
        <v>Home &amp; Kitchen</v>
      </c>
      <c r="I696" t="str">
        <f>_xlfn.XLOOKUP(Table1[[#This Row],[ProductID]],Products!A:A,Products!C:C)</f>
        <v>Furniture</v>
      </c>
      <c r="J696">
        <v>9</v>
      </c>
      <c r="K696" s="5">
        <f>_xlfn.XLOOKUP(Table1[[#This Row],[ProductID]],Products!A:A,Products!E:E)</f>
        <v>160.31</v>
      </c>
      <c r="L696" s="5">
        <v>228.86</v>
      </c>
      <c r="M696" s="6">
        <v>0.22</v>
      </c>
      <c r="N696" t="s">
        <v>10</v>
      </c>
      <c r="O696" s="5">
        <f t="shared" si="50"/>
        <v>178.51080000000002</v>
      </c>
      <c r="P696" s="5">
        <f t="shared" si="51"/>
        <v>1606.5972000000002</v>
      </c>
      <c r="Q696" s="5">
        <f>Table1[[#This Row],[Quantity]]*(Table1[[#This Row],[Saleprice]]-Table1[[#This Row],[Costprice]])</f>
        <v>163.80720000000014</v>
      </c>
      <c r="R696">
        <f t="shared" si="52"/>
        <v>2022</v>
      </c>
      <c r="S696">
        <f t="shared" si="53"/>
        <v>8</v>
      </c>
      <c r="T696" t="str">
        <f t="shared" si="54"/>
        <v>August</v>
      </c>
    </row>
    <row r="697" spans="1:20" x14ac:dyDescent="0.3">
      <c r="A697" s="3">
        <v>44788</v>
      </c>
      <c r="B697">
        <v>107</v>
      </c>
      <c r="C697" s="3">
        <f>_xlfn.XLOOKUP(B697,Stores!A:A,Stores!E:E)</f>
        <v>44702</v>
      </c>
      <c r="D697">
        <v>211</v>
      </c>
      <c r="E697" s="3">
        <f>_xlfn.XLOOKUP(D697,SalesReps!A:A,SalesReps!D:D)</f>
        <v>44757</v>
      </c>
      <c r="F697" s="3" t="str">
        <f>_xlfn.XLOOKUP(Table1[[#This Row],[RepID]],SalesReps!A:A,SalesReps!E:E)</f>
        <v>Active</v>
      </c>
      <c r="G697">
        <v>313</v>
      </c>
      <c r="H697" t="str">
        <f>_xlfn.XLOOKUP(Table1[[#This Row],[ProductID]],Products!A:A,Products!B:B)</f>
        <v>Clothing</v>
      </c>
      <c r="I697" t="str">
        <f>_xlfn.XLOOKUP(Table1[[#This Row],[ProductID]],Products!A:A,Products!C:C)</f>
        <v>Women</v>
      </c>
      <c r="J697">
        <v>4</v>
      </c>
      <c r="K697" s="5">
        <f>_xlfn.XLOOKUP(Table1[[#This Row],[ProductID]],Products!A:A,Products!E:E)</f>
        <v>104</v>
      </c>
      <c r="L697" s="5">
        <v>152.44</v>
      </c>
      <c r="M697" s="6">
        <v>0.22</v>
      </c>
      <c r="N697" t="s">
        <v>8</v>
      </c>
      <c r="O697" s="5">
        <f t="shared" si="50"/>
        <v>118.9032</v>
      </c>
      <c r="P697" s="5">
        <f t="shared" si="51"/>
        <v>475.61279999999999</v>
      </c>
      <c r="Q697" s="5">
        <f>Table1[[#This Row],[Quantity]]*(Table1[[#This Row],[Saleprice]]-Table1[[#This Row],[Costprice]])</f>
        <v>59.612799999999993</v>
      </c>
      <c r="R697">
        <f t="shared" si="52"/>
        <v>2022</v>
      </c>
      <c r="S697">
        <f t="shared" si="53"/>
        <v>8</v>
      </c>
      <c r="T697" t="str">
        <f t="shared" si="54"/>
        <v>August</v>
      </c>
    </row>
    <row r="698" spans="1:20" x14ac:dyDescent="0.3">
      <c r="A698" s="3">
        <v>44789</v>
      </c>
      <c r="B698">
        <v>104</v>
      </c>
      <c r="C698" s="3">
        <f>_xlfn.XLOOKUP(B698,Stores!A:A,Stores!E:E)</f>
        <v>44297</v>
      </c>
      <c r="D698">
        <v>220</v>
      </c>
      <c r="E698" s="3">
        <f>_xlfn.XLOOKUP(D698,SalesReps!A:A,SalesReps!D:D)</f>
        <v>44759</v>
      </c>
      <c r="F698" s="3" t="str">
        <f>_xlfn.XLOOKUP(Table1[[#This Row],[RepID]],SalesReps!A:A,SalesReps!E:E)</f>
        <v>Active</v>
      </c>
      <c r="G698">
        <v>303</v>
      </c>
      <c r="H698" t="str">
        <f>_xlfn.XLOOKUP(Table1[[#This Row],[ProductID]],Products!A:A,Products!B:B)</f>
        <v>Home &amp; Kitchen</v>
      </c>
      <c r="I698" t="str">
        <f>_xlfn.XLOOKUP(Table1[[#This Row],[ProductID]],Products!A:A,Products!C:C)</f>
        <v>Furniture</v>
      </c>
      <c r="J698">
        <v>2</v>
      </c>
      <c r="K698" s="5">
        <f>_xlfn.XLOOKUP(Table1[[#This Row],[ProductID]],Products!A:A,Products!E:E)</f>
        <v>192.04</v>
      </c>
      <c r="L698" s="5">
        <v>265.60000000000002</v>
      </c>
      <c r="M698" s="6">
        <v>0.1</v>
      </c>
      <c r="N698" t="s">
        <v>10</v>
      </c>
      <c r="O698" s="5">
        <f t="shared" si="50"/>
        <v>239.04000000000002</v>
      </c>
      <c r="P698" s="5">
        <f t="shared" si="51"/>
        <v>478.08000000000004</v>
      </c>
      <c r="Q698" s="5">
        <f>Table1[[#This Row],[Quantity]]*(Table1[[#This Row],[Saleprice]]-Table1[[#This Row],[Costprice]])</f>
        <v>94.000000000000057</v>
      </c>
      <c r="R698">
        <f t="shared" si="52"/>
        <v>2022</v>
      </c>
      <c r="S698">
        <f t="shared" si="53"/>
        <v>8</v>
      </c>
      <c r="T698" t="str">
        <f t="shared" si="54"/>
        <v>August</v>
      </c>
    </row>
    <row r="699" spans="1:20" x14ac:dyDescent="0.3">
      <c r="A699" s="3">
        <v>44791</v>
      </c>
      <c r="B699">
        <v>109</v>
      </c>
      <c r="C699" s="3">
        <f>_xlfn.XLOOKUP(B699,Stores!A:A,Stores!E:E)</f>
        <v>44600</v>
      </c>
      <c r="D699">
        <v>214</v>
      </c>
      <c r="E699" s="3">
        <f>_xlfn.XLOOKUP(D699,SalesReps!A:A,SalesReps!D:D)</f>
        <v>44707</v>
      </c>
      <c r="F699" s="3" t="str">
        <f>_xlfn.XLOOKUP(Table1[[#This Row],[RepID]],SalesReps!A:A,SalesReps!E:E)</f>
        <v>Active</v>
      </c>
      <c r="G699">
        <v>302</v>
      </c>
      <c r="H699" t="str">
        <f>_xlfn.XLOOKUP(Table1[[#This Row],[ProductID]],Products!A:A,Products!B:B)</f>
        <v>Toys</v>
      </c>
      <c r="I699" t="str">
        <f>_xlfn.XLOOKUP(Table1[[#This Row],[ProductID]],Products!A:A,Products!C:C)</f>
        <v>Outdoor</v>
      </c>
      <c r="J699">
        <v>9</v>
      </c>
      <c r="K699" s="5">
        <f>_xlfn.XLOOKUP(Table1[[#This Row],[ProductID]],Products!A:A,Products!E:E)</f>
        <v>393.46</v>
      </c>
      <c r="L699" s="5">
        <v>407.52</v>
      </c>
      <c r="M699" s="6">
        <v>0.12</v>
      </c>
      <c r="N699" t="s">
        <v>11</v>
      </c>
      <c r="O699" s="5">
        <f t="shared" si="50"/>
        <v>358.61759999999998</v>
      </c>
      <c r="P699" s="5">
        <f t="shared" si="51"/>
        <v>3227.5583999999999</v>
      </c>
      <c r="Q699" s="5">
        <f>Table1[[#This Row],[Quantity]]*(Table1[[#This Row],[Saleprice]]-Table1[[#This Row],[Costprice]])</f>
        <v>-313.58159999999998</v>
      </c>
      <c r="R699">
        <f t="shared" si="52"/>
        <v>2022</v>
      </c>
      <c r="S699">
        <f t="shared" si="53"/>
        <v>8</v>
      </c>
      <c r="T699" t="str">
        <f t="shared" si="54"/>
        <v>August</v>
      </c>
    </row>
    <row r="700" spans="1:20" x14ac:dyDescent="0.3">
      <c r="A700" s="3">
        <v>44792</v>
      </c>
      <c r="B700">
        <v>109</v>
      </c>
      <c r="C700" s="3">
        <f>_xlfn.XLOOKUP(B700,Stores!A:A,Stores!E:E)</f>
        <v>44600</v>
      </c>
      <c r="D700">
        <v>214</v>
      </c>
      <c r="E700" s="3">
        <f>_xlfn.XLOOKUP(D700,SalesReps!A:A,SalesReps!D:D)</f>
        <v>44707</v>
      </c>
      <c r="F700" s="3" t="str">
        <f>_xlfn.XLOOKUP(Table1[[#This Row],[RepID]],SalesReps!A:A,SalesReps!E:E)</f>
        <v>Active</v>
      </c>
      <c r="G700">
        <v>306</v>
      </c>
      <c r="H700" t="str">
        <f>_xlfn.XLOOKUP(Table1[[#This Row],[ProductID]],Products!A:A,Products!B:B)</f>
        <v>Clothing</v>
      </c>
      <c r="I700" t="str">
        <f>_xlfn.XLOOKUP(Table1[[#This Row],[ProductID]],Products!A:A,Products!C:C)</f>
        <v>Men</v>
      </c>
      <c r="J700">
        <v>1</v>
      </c>
      <c r="K700" s="5">
        <f>_xlfn.XLOOKUP(Table1[[#This Row],[ProductID]],Products!A:A,Products!E:E)</f>
        <v>185.69</v>
      </c>
      <c r="L700" s="5">
        <v>228.58</v>
      </c>
      <c r="M700" s="6">
        <v>0.21</v>
      </c>
      <c r="N700" t="s">
        <v>11</v>
      </c>
      <c r="O700" s="5">
        <f t="shared" si="50"/>
        <v>180.57820000000001</v>
      </c>
      <c r="P700" s="5">
        <f t="shared" si="51"/>
        <v>180.57820000000001</v>
      </c>
      <c r="Q700" s="5">
        <f>Table1[[#This Row],[Quantity]]*(Table1[[#This Row],[Saleprice]]-Table1[[#This Row],[Costprice]])</f>
        <v>-5.1117999999999881</v>
      </c>
      <c r="R700">
        <f t="shared" si="52"/>
        <v>2022</v>
      </c>
      <c r="S700">
        <f t="shared" si="53"/>
        <v>8</v>
      </c>
      <c r="T700" t="str">
        <f t="shared" si="54"/>
        <v>August</v>
      </c>
    </row>
    <row r="701" spans="1:20" x14ac:dyDescent="0.3">
      <c r="A701" s="3">
        <v>44792</v>
      </c>
      <c r="B701">
        <v>104</v>
      </c>
      <c r="C701" s="3">
        <f>_xlfn.XLOOKUP(B701,Stores!A:A,Stores!E:E)</f>
        <v>44297</v>
      </c>
      <c r="D701">
        <v>220</v>
      </c>
      <c r="E701" s="3">
        <f>_xlfn.XLOOKUP(D701,SalesReps!A:A,SalesReps!D:D)</f>
        <v>44759</v>
      </c>
      <c r="F701" s="3" t="str">
        <f>_xlfn.XLOOKUP(Table1[[#This Row],[RepID]],SalesReps!A:A,SalesReps!E:E)</f>
        <v>Active</v>
      </c>
      <c r="G701">
        <v>320</v>
      </c>
      <c r="H701" t="str">
        <f>_xlfn.XLOOKUP(Table1[[#This Row],[ProductID]],Products!A:A,Products!B:B)</f>
        <v>Toys</v>
      </c>
      <c r="I701" t="str">
        <f>_xlfn.XLOOKUP(Table1[[#This Row],[ProductID]],Products!A:A,Products!C:C)</f>
        <v>Outdoor</v>
      </c>
      <c r="J701">
        <v>3</v>
      </c>
      <c r="K701" s="5">
        <f>_xlfn.XLOOKUP(Table1[[#This Row],[ProductID]],Products!A:A,Products!E:E)</f>
        <v>304.58999999999997</v>
      </c>
      <c r="L701" s="5">
        <v>391.94</v>
      </c>
      <c r="M701" s="6">
        <v>0.22</v>
      </c>
      <c r="N701" t="s">
        <v>10</v>
      </c>
      <c r="O701" s="5">
        <f t="shared" si="50"/>
        <v>305.71320000000003</v>
      </c>
      <c r="P701" s="5">
        <f t="shared" si="51"/>
        <v>917.13960000000009</v>
      </c>
      <c r="Q701" s="5">
        <f>Table1[[#This Row],[Quantity]]*(Table1[[#This Row],[Saleprice]]-Table1[[#This Row],[Costprice]])</f>
        <v>3.3696000000001618</v>
      </c>
      <c r="R701">
        <f t="shared" si="52"/>
        <v>2022</v>
      </c>
      <c r="S701">
        <f t="shared" si="53"/>
        <v>8</v>
      </c>
      <c r="T701" t="str">
        <f t="shared" si="54"/>
        <v>August</v>
      </c>
    </row>
    <row r="702" spans="1:20" x14ac:dyDescent="0.3">
      <c r="A702" s="3">
        <v>44794</v>
      </c>
      <c r="B702">
        <v>109</v>
      </c>
      <c r="C702" s="3">
        <f>_xlfn.XLOOKUP(B702,Stores!A:A,Stores!E:E)</f>
        <v>44600</v>
      </c>
      <c r="D702">
        <v>214</v>
      </c>
      <c r="E702" s="3">
        <f>_xlfn.XLOOKUP(D702,SalesReps!A:A,SalesReps!D:D)</f>
        <v>44707</v>
      </c>
      <c r="F702" s="3" t="str">
        <f>_xlfn.XLOOKUP(Table1[[#This Row],[RepID]],SalesReps!A:A,SalesReps!E:E)</f>
        <v>Active</v>
      </c>
      <c r="G702">
        <v>320</v>
      </c>
      <c r="H702" t="str">
        <f>_xlfn.XLOOKUP(Table1[[#This Row],[ProductID]],Products!A:A,Products!B:B)</f>
        <v>Toys</v>
      </c>
      <c r="I702" t="str">
        <f>_xlfn.XLOOKUP(Table1[[#This Row],[ProductID]],Products!A:A,Products!C:C)</f>
        <v>Outdoor</v>
      </c>
      <c r="J702">
        <v>8</v>
      </c>
      <c r="K702" s="5">
        <f>_xlfn.XLOOKUP(Table1[[#This Row],[ProductID]],Products!A:A,Products!E:E)</f>
        <v>304.58999999999997</v>
      </c>
      <c r="L702" s="5">
        <v>391.59</v>
      </c>
      <c r="M702" s="6">
        <v>0.23</v>
      </c>
      <c r="N702" t="s">
        <v>11</v>
      </c>
      <c r="O702" s="5">
        <f t="shared" si="50"/>
        <v>301.52429999999998</v>
      </c>
      <c r="P702" s="5">
        <f t="shared" si="51"/>
        <v>2412.1943999999999</v>
      </c>
      <c r="Q702" s="5">
        <f>Table1[[#This Row],[Quantity]]*(Table1[[#This Row],[Saleprice]]-Table1[[#This Row],[Costprice]])</f>
        <v>-24.52559999999994</v>
      </c>
      <c r="R702">
        <f t="shared" si="52"/>
        <v>2022</v>
      </c>
      <c r="S702">
        <f t="shared" si="53"/>
        <v>8</v>
      </c>
      <c r="T702" t="str">
        <f t="shared" si="54"/>
        <v>August</v>
      </c>
    </row>
    <row r="703" spans="1:20" x14ac:dyDescent="0.3">
      <c r="A703" s="3">
        <v>44794</v>
      </c>
      <c r="B703">
        <v>109</v>
      </c>
      <c r="C703" s="3">
        <f>_xlfn.XLOOKUP(B703,Stores!A:A,Stores!E:E)</f>
        <v>44600</v>
      </c>
      <c r="D703">
        <v>214</v>
      </c>
      <c r="E703" s="3">
        <f>_xlfn.XLOOKUP(D703,SalesReps!A:A,SalesReps!D:D)</f>
        <v>44707</v>
      </c>
      <c r="F703" s="3" t="str">
        <f>_xlfn.XLOOKUP(Table1[[#This Row],[RepID]],SalesReps!A:A,SalesReps!E:E)</f>
        <v>Active</v>
      </c>
      <c r="G703">
        <v>302</v>
      </c>
      <c r="H703" t="str">
        <f>_xlfn.XLOOKUP(Table1[[#This Row],[ProductID]],Products!A:A,Products!B:B)</f>
        <v>Toys</v>
      </c>
      <c r="I703" t="str">
        <f>_xlfn.XLOOKUP(Table1[[#This Row],[ProductID]],Products!A:A,Products!C:C)</f>
        <v>Outdoor</v>
      </c>
      <c r="J703">
        <v>3</v>
      </c>
      <c r="K703" s="5">
        <f>_xlfn.XLOOKUP(Table1[[#This Row],[ProductID]],Products!A:A,Products!E:E)</f>
        <v>393.46</v>
      </c>
      <c r="L703" s="5">
        <v>407.52</v>
      </c>
      <c r="M703" s="6">
        <v>0.12</v>
      </c>
      <c r="N703" t="s">
        <v>11</v>
      </c>
      <c r="O703" s="5">
        <f t="shared" si="50"/>
        <v>358.61759999999998</v>
      </c>
      <c r="P703" s="5">
        <f t="shared" si="51"/>
        <v>1075.8527999999999</v>
      </c>
      <c r="Q703" s="5">
        <f>Table1[[#This Row],[Quantity]]*(Table1[[#This Row],[Saleprice]]-Table1[[#This Row],[Costprice]])</f>
        <v>-104.52719999999999</v>
      </c>
      <c r="R703">
        <f t="shared" si="52"/>
        <v>2022</v>
      </c>
      <c r="S703">
        <f t="shared" si="53"/>
        <v>8</v>
      </c>
      <c r="T703" t="str">
        <f t="shared" si="54"/>
        <v>August</v>
      </c>
    </row>
    <row r="704" spans="1:20" x14ac:dyDescent="0.3">
      <c r="A704" s="3">
        <v>44794</v>
      </c>
      <c r="B704">
        <v>109</v>
      </c>
      <c r="C704" s="3">
        <f>_xlfn.XLOOKUP(B704,Stores!A:A,Stores!E:E)</f>
        <v>44600</v>
      </c>
      <c r="D704">
        <v>214</v>
      </c>
      <c r="E704" s="3">
        <f>_xlfn.XLOOKUP(D704,SalesReps!A:A,SalesReps!D:D)</f>
        <v>44707</v>
      </c>
      <c r="F704" s="3" t="str">
        <f>_xlfn.XLOOKUP(Table1[[#This Row],[RepID]],SalesReps!A:A,SalesReps!E:E)</f>
        <v>Active</v>
      </c>
      <c r="G704">
        <v>303</v>
      </c>
      <c r="H704" t="str">
        <f>_xlfn.XLOOKUP(Table1[[#This Row],[ProductID]],Products!A:A,Products!B:B)</f>
        <v>Home &amp; Kitchen</v>
      </c>
      <c r="I704" t="str">
        <f>_xlfn.XLOOKUP(Table1[[#This Row],[ProductID]],Products!A:A,Products!C:C)</f>
        <v>Furniture</v>
      </c>
      <c r="J704">
        <v>3</v>
      </c>
      <c r="K704" s="5">
        <f>_xlfn.XLOOKUP(Table1[[#This Row],[ProductID]],Products!A:A,Products!E:E)</f>
        <v>192.04</v>
      </c>
      <c r="L704" s="5">
        <v>250.55</v>
      </c>
      <c r="M704" s="6">
        <v>0.19</v>
      </c>
      <c r="N704" t="s">
        <v>11</v>
      </c>
      <c r="O704" s="5">
        <f t="shared" si="50"/>
        <v>202.94550000000001</v>
      </c>
      <c r="P704" s="5">
        <f t="shared" si="51"/>
        <v>608.8365</v>
      </c>
      <c r="Q704" s="5">
        <f>Table1[[#This Row],[Quantity]]*(Table1[[#This Row],[Saleprice]]-Table1[[#This Row],[Costprice]])</f>
        <v>32.716500000000053</v>
      </c>
      <c r="R704">
        <f t="shared" si="52"/>
        <v>2022</v>
      </c>
      <c r="S704">
        <f t="shared" si="53"/>
        <v>8</v>
      </c>
      <c r="T704" t="str">
        <f t="shared" si="54"/>
        <v>August</v>
      </c>
    </row>
    <row r="705" spans="1:20" x14ac:dyDescent="0.3">
      <c r="A705" s="3">
        <v>44794</v>
      </c>
      <c r="B705">
        <v>104</v>
      </c>
      <c r="C705" s="3">
        <f>_xlfn.XLOOKUP(B705,Stores!A:A,Stores!E:E)</f>
        <v>44297</v>
      </c>
      <c r="D705">
        <v>220</v>
      </c>
      <c r="E705" s="3">
        <f>_xlfn.XLOOKUP(D705,SalesReps!A:A,SalesReps!D:D)</f>
        <v>44759</v>
      </c>
      <c r="F705" s="3" t="str">
        <f>_xlfn.XLOOKUP(Table1[[#This Row],[RepID]],SalesReps!A:A,SalesReps!E:E)</f>
        <v>Active</v>
      </c>
      <c r="G705">
        <v>306</v>
      </c>
      <c r="H705" t="str">
        <f>_xlfn.XLOOKUP(Table1[[#This Row],[ProductID]],Products!A:A,Products!B:B)</f>
        <v>Clothing</v>
      </c>
      <c r="I705" t="str">
        <f>_xlfn.XLOOKUP(Table1[[#This Row],[ProductID]],Products!A:A,Products!C:C)</f>
        <v>Men</v>
      </c>
      <c r="J705">
        <v>6</v>
      </c>
      <c r="K705" s="5">
        <f>_xlfn.XLOOKUP(Table1[[#This Row],[ProductID]],Products!A:A,Products!E:E)</f>
        <v>185.69</v>
      </c>
      <c r="L705" s="5">
        <v>241.13</v>
      </c>
      <c r="M705" s="6">
        <v>0.14000000000000001</v>
      </c>
      <c r="N705" t="s">
        <v>10</v>
      </c>
      <c r="O705" s="5">
        <f t="shared" si="50"/>
        <v>207.37179999999998</v>
      </c>
      <c r="P705" s="5">
        <f t="shared" si="51"/>
        <v>1244.2307999999998</v>
      </c>
      <c r="Q705" s="5">
        <f>Table1[[#This Row],[Quantity]]*(Table1[[#This Row],[Saleprice]]-Table1[[#This Row],[Costprice]])</f>
        <v>130.09079999999989</v>
      </c>
      <c r="R705">
        <f t="shared" si="52"/>
        <v>2022</v>
      </c>
      <c r="S705">
        <f t="shared" si="53"/>
        <v>8</v>
      </c>
      <c r="T705" t="str">
        <f t="shared" si="54"/>
        <v>August</v>
      </c>
    </row>
    <row r="706" spans="1:20" x14ac:dyDescent="0.3">
      <c r="A706" s="3">
        <v>44795</v>
      </c>
      <c r="B706">
        <v>109</v>
      </c>
      <c r="C706" s="3">
        <f>_xlfn.XLOOKUP(B706,Stores!A:A,Stores!E:E)</f>
        <v>44600</v>
      </c>
      <c r="D706">
        <v>214</v>
      </c>
      <c r="E706" s="3">
        <f>_xlfn.XLOOKUP(D706,SalesReps!A:A,SalesReps!D:D)</f>
        <v>44707</v>
      </c>
      <c r="F706" s="3" t="str">
        <f>_xlfn.XLOOKUP(Table1[[#This Row],[RepID]],SalesReps!A:A,SalesReps!E:E)</f>
        <v>Active</v>
      </c>
      <c r="G706">
        <v>301</v>
      </c>
      <c r="H706" t="str">
        <f>_xlfn.XLOOKUP(Table1[[#This Row],[ProductID]],Products!A:A,Products!B:B)</f>
        <v>Electronics</v>
      </c>
      <c r="I706" t="str">
        <f>_xlfn.XLOOKUP(Table1[[#This Row],[ProductID]],Products!A:A,Products!C:C)</f>
        <v>Mobiles</v>
      </c>
      <c r="J706">
        <v>4</v>
      </c>
      <c r="K706" s="5">
        <f>_xlfn.XLOOKUP(Table1[[#This Row],[ProductID]],Products!A:A,Products!E:E)</f>
        <v>159.16</v>
      </c>
      <c r="L706" s="5">
        <v>219.9</v>
      </c>
      <c r="M706" s="6">
        <v>0.24</v>
      </c>
      <c r="N706" t="s">
        <v>11</v>
      </c>
      <c r="O706" s="5">
        <f t="shared" ref="O706:O769" si="55">L706*(1-M706)</f>
        <v>167.124</v>
      </c>
      <c r="P706" s="5">
        <f t="shared" ref="P706:P769" si="56">O706*J706</f>
        <v>668.49599999999998</v>
      </c>
      <c r="Q706" s="5">
        <f>Table1[[#This Row],[Quantity]]*(Table1[[#This Row],[Saleprice]]-Table1[[#This Row],[Costprice]])</f>
        <v>31.855999999999995</v>
      </c>
      <c r="R706">
        <f t="shared" ref="R706:R769" si="57">YEAR(A706)</f>
        <v>2022</v>
      </c>
      <c r="S706">
        <f t="shared" ref="S706:S769" si="58">MONTH(A706)</f>
        <v>8</v>
      </c>
      <c r="T706" t="str">
        <f t="shared" ref="T706:T769" si="59">TEXT(A706,"MMMM")</f>
        <v>August</v>
      </c>
    </row>
    <row r="707" spans="1:20" x14ac:dyDescent="0.3">
      <c r="A707" s="3">
        <v>44796</v>
      </c>
      <c r="B707">
        <v>109</v>
      </c>
      <c r="C707" s="3">
        <f>_xlfn.XLOOKUP(B707,Stores!A:A,Stores!E:E)</f>
        <v>44600</v>
      </c>
      <c r="D707">
        <v>214</v>
      </c>
      <c r="E707" s="3">
        <f>_xlfn.XLOOKUP(D707,SalesReps!A:A,SalesReps!D:D)</f>
        <v>44707</v>
      </c>
      <c r="F707" s="3" t="str">
        <f>_xlfn.XLOOKUP(Table1[[#This Row],[RepID]],SalesReps!A:A,SalesReps!E:E)</f>
        <v>Active</v>
      </c>
      <c r="G707">
        <v>314</v>
      </c>
      <c r="H707" t="str">
        <f>_xlfn.XLOOKUP(Table1[[#This Row],[ProductID]],Products!A:A,Products!B:B)</f>
        <v>Clothing</v>
      </c>
      <c r="I707" t="str">
        <f>_xlfn.XLOOKUP(Table1[[#This Row],[ProductID]],Products!A:A,Products!C:C)</f>
        <v>Kids</v>
      </c>
      <c r="J707">
        <v>1</v>
      </c>
      <c r="K707" s="5">
        <f>_xlfn.XLOOKUP(Table1[[#This Row],[ProductID]],Products!A:A,Products!E:E)</f>
        <v>276.47000000000003</v>
      </c>
      <c r="L707" s="5">
        <v>370.26</v>
      </c>
      <c r="M707" s="6">
        <v>0.18</v>
      </c>
      <c r="N707" t="s">
        <v>11</v>
      </c>
      <c r="O707" s="5">
        <f t="shared" si="55"/>
        <v>303.61320000000001</v>
      </c>
      <c r="P707" s="5">
        <f t="shared" si="56"/>
        <v>303.61320000000001</v>
      </c>
      <c r="Q707" s="5">
        <f>Table1[[#This Row],[Quantity]]*(Table1[[#This Row],[Saleprice]]-Table1[[#This Row],[Costprice]])</f>
        <v>27.143199999999979</v>
      </c>
      <c r="R707">
        <f t="shared" si="57"/>
        <v>2022</v>
      </c>
      <c r="S707">
        <f t="shared" si="58"/>
        <v>8</v>
      </c>
      <c r="T707" t="str">
        <f t="shared" si="59"/>
        <v>August</v>
      </c>
    </row>
    <row r="708" spans="1:20" x14ac:dyDescent="0.3">
      <c r="A708" s="3">
        <v>44796</v>
      </c>
      <c r="B708">
        <v>109</v>
      </c>
      <c r="C708" s="3">
        <f>_xlfn.XLOOKUP(B708,Stores!A:A,Stores!E:E)</f>
        <v>44600</v>
      </c>
      <c r="D708">
        <v>214</v>
      </c>
      <c r="E708" s="3">
        <f>_xlfn.XLOOKUP(D708,SalesReps!A:A,SalesReps!D:D)</f>
        <v>44707</v>
      </c>
      <c r="F708" s="3" t="str">
        <f>_xlfn.XLOOKUP(Table1[[#This Row],[RepID]],SalesReps!A:A,SalesReps!E:E)</f>
        <v>Active</v>
      </c>
      <c r="G708">
        <v>304</v>
      </c>
      <c r="H708" t="str">
        <f>_xlfn.XLOOKUP(Table1[[#This Row],[ProductID]],Products!A:A,Products!B:B)</f>
        <v>Home &amp; Kitchen</v>
      </c>
      <c r="I708" t="str">
        <f>_xlfn.XLOOKUP(Table1[[#This Row],[ProductID]],Products!A:A,Products!C:C)</f>
        <v>Furniture</v>
      </c>
      <c r="J708">
        <v>2</v>
      </c>
      <c r="K708" s="5">
        <f>_xlfn.XLOOKUP(Table1[[#This Row],[ProductID]],Products!A:A,Products!E:E)</f>
        <v>345.38</v>
      </c>
      <c r="L708" s="5">
        <v>436.53</v>
      </c>
      <c r="M708" s="6">
        <v>0.1</v>
      </c>
      <c r="N708" t="s">
        <v>11</v>
      </c>
      <c r="O708" s="5">
        <f t="shared" si="55"/>
        <v>392.87700000000001</v>
      </c>
      <c r="P708" s="5">
        <f t="shared" si="56"/>
        <v>785.75400000000002</v>
      </c>
      <c r="Q708" s="5">
        <f>Table1[[#This Row],[Quantity]]*(Table1[[#This Row],[Saleprice]]-Table1[[#This Row],[Costprice]])</f>
        <v>94.994000000000028</v>
      </c>
      <c r="R708">
        <f t="shared" si="57"/>
        <v>2022</v>
      </c>
      <c r="S708">
        <f t="shared" si="58"/>
        <v>8</v>
      </c>
      <c r="T708" t="str">
        <f t="shared" si="59"/>
        <v>August</v>
      </c>
    </row>
    <row r="709" spans="1:20" x14ac:dyDescent="0.3">
      <c r="A709" s="3">
        <v>44796</v>
      </c>
      <c r="B709">
        <v>107</v>
      </c>
      <c r="C709" s="3">
        <f>_xlfn.XLOOKUP(B709,Stores!A:A,Stores!E:E)</f>
        <v>44702</v>
      </c>
      <c r="D709">
        <v>211</v>
      </c>
      <c r="E709" s="3">
        <f>_xlfn.XLOOKUP(D709,SalesReps!A:A,SalesReps!D:D)</f>
        <v>44757</v>
      </c>
      <c r="F709" s="3" t="str">
        <f>_xlfn.XLOOKUP(Table1[[#This Row],[RepID]],SalesReps!A:A,SalesReps!E:E)</f>
        <v>Active</v>
      </c>
      <c r="G709">
        <v>308</v>
      </c>
      <c r="H709" t="str">
        <f>_xlfn.XLOOKUP(Table1[[#This Row],[ProductID]],Products!A:A,Products!B:B)</f>
        <v>Home &amp; Kitchen</v>
      </c>
      <c r="I709" t="str">
        <f>_xlfn.XLOOKUP(Table1[[#This Row],[ProductID]],Products!A:A,Products!C:C)</f>
        <v>Furniture</v>
      </c>
      <c r="J709">
        <v>6</v>
      </c>
      <c r="K709" s="5">
        <f>_xlfn.XLOOKUP(Table1[[#This Row],[ProductID]],Products!A:A,Products!E:E)</f>
        <v>377.46</v>
      </c>
      <c r="L709" s="5">
        <v>420.89</v>
      </c>
      <c r="M709" s="6">
        <v>0.23</v>
      </c>
      <c r="N709" t="s">
        <v>8</v>
      </c>
      <c r="O709" s="5">
        <f t="shared" si="55"/>
        <v>324.08530000000002</v>
      </c>
      <c r="P709" s="5">
        <f t="shared" si="56"/>
        <v>1944.5118000000002</v>
      </c>
      <c r="Q709" s="5">
        <f>Table1[[#This Row],[Quantity]]*(Table1[[#This Row],[Saleprice]]-Table1[[#This Row],[Costprice]])</f>
        <v>-320.24819999999977</v>
      </c>
      <c r="R709">
        <f t="shared" si="57"/>
        <v>2022</v>
      </c>
      <c r="S709">
        <f t="shared" si="58"/>
        <v>8</v>
      </c>
      <c r="T709" t="str">
        <f t="shared" si="59"/>
        <v>August</v>
      </c>
    </row>
    <row r="710" spans="1:20" x14ac:dyDescent="0.3">
      <c r="A710" s="3">
        <v>44798</v>
      </c>
      <c r="B710">
        <v>104</v>
      </c>
      <c r="C710" s="3">
        <f>_xlfn.XLOOKUP(B710,Stores!A:A,Stores!E:E)</f>
        <v>44297</v>
      </c>
      <c r="D710">
        <v>220</v>
      </c>
      <c r="E710" s="3">
        <f>_xlfn.XLOOKUP(D710,SalesReps!A:A,SalesReps!D:D)</f>
        <v>44759</v>
      </c>
      <c r="F710" s="3" t="str">
        <f>_xlfn.XLOOKUP(Table1[[#This Row],[RepID]],SalesReps!A:A,SalesReps!E:E)</f>
        <v>Active</v>
      </c>
      <c r="G710">
        <v>317</v>
      </c>
      <c r="H710" t="str">
        <f>_xlfn.XLOOKUP(Table1[[#This Row],[ProductID]],Products!A:A,Products!B:B)</f>
        <v>Toys</v>
      </c>
      <c r="I710" t="str">
        <f>_xlfn.XLOOKUP(Table1[[#This Row],[ProductID]],Products!A:A,Products!C:C)</f>
        <v>Educational</v>
      </c>
      <c r="J710">
        <v>4</v>
      </c>
      <c r="K710" s="5">
        <f>_xlfn.XLOOKUP(Table1[[#This Row],[ProductID]],Products!A:A,Products!E:E)</f>
        <v>77.61</v>
      </c>
      <c r="L710" s="5">
        <v>141.34</v>
      </c>
      <c r="M710" s="6">
        <v>0.12</v>
      </c>
      <c r="N710" t="s">
        <v>10</v>
      </c>
      <c r="O710" s="5">
        <f t="shared" si="55"/>
        <v>124.3792</v>
      </c>
      <c r="P710" s="5">
        <f t="shared" si="56"/>
        <v>497.51679999999999</v>
      </c>
      <c r="Q710" s="5">
        <f>Table1[[#This Row],[Quantity]]*(Table1[[#This Row],[Saleprice]]-Table1[[#This Row],[Costprice]])</f>
        <v>187.07679999999999</v>
      </c>
      <c r="R710">
        <f t="shared" si="57"/>
        <v>2022</v>
      </c>
      <c r="S710">
        <f t="shared" si="58"/>
        <v>8</v>
      </c>
      <c r="T710" t="str">
        <f t="shared" si="59"/>
        <v>August</v>
      </c>
    </row>
    <row r="711" spans="1:20" x14ac:dyDescent="0.3">
      <c r="A711" s="3">
        <v>44798</v>
      </c>
      <c r="B711">
        <v>107</v>
      </c>
      <c r="C711" s="3">
        <f>_xlfn.XLOOKUP(B711,Stores!A:A,Stores!E:E)</f>
        <v>44702</v>
      </c>
      <c r="D711">
        <v>211</v>
      </c>
      <c r="E711" s="3">
        <f>_xlfn.XLOOKUP(D711,SalesReps!A:A,SalesReps!D:D)</f>
        <v>44757</v>
      </c>
      <c r="F711" s="3" t="str">
        <f>_xlfn.XLOOKUP(Table1[[#This Row],[RepID]],SalesReps!A:A,SalesReps!E:E)</f>
        <v>Active</v>
      </c>
      <c r="G711">
        <v>303</v>
      </c>
      <c r="H711" t="str">
        <f>_xlfn.XLOOKUP(Table1[[#This Row],[ProductID]],Products!A:A,Products!B:B)</f>
        <v>Home &amp; Kitchen</v>
      </c>
      <c r="I711" t="str">
        <f>_xlfn.XLOOKUP(Table1[[#This Row],[ProductID]],Products!A:A,Products!C:C)</f>
        <v>Furniture</v>
      </c>
      <c r="J711">
        <v>9</v>
      </c>
      <c r="K711" s="5">
        <f>_xlfn.XLOOKUP(Table1[[#This Row],[ProductID]],Products!A:A,Products!E:E)</f>
        <v>192.04</v>
      </c>
      <c r="L711" s="5">
        <v>238.78</v>
      </c>
      <c r="M711" s="6">
        <v>0.09</v>
      </c>
      <c r="N711" t="s">
        <v>8</v>
      </c>
      <c r="O711" s="5">
        <f t="shared" si="55"/>
        <v>217.28980000000001</v>
      </c>
      <c r="P711" s="5">
        <f t="shared" si="56"/>
        <v>1955.6082000000001</v>
      </c>
      <c r="Q711" s="5">
        <f>Table1[[#This Row],[Quantity]]*(Table1[[#This Row],[Saleprice]]-Table1[[#This Row],[Costprice]])</f>
        <v>227.2482000000002</v>
      </c>
      <c r="R711">
        <f t="shared" si="57"/>
        <v>2022</v>
      </c>
      <c r="S711">
        <f t="shared" si="58"/>
        <v>8</v>
      </c>
      <c r="T711" t="str">
        <f t="shared" si="59"/>
        <v>August</v>
      </c>
    </row>
    <row r="712" spans="1:20" x14ac:dyDescent="0.3">
      <c r="A712" s="3">
        <v>44801</v>
      </c>
      <c r="B712">
        <v>107</v>
      </c>
      <c r="C712" s="3">
        <f>_xlfn.XLOOKUP(B712,Stores!A:A,Stores!E:E)</f>
        <v>44702</v>
      </c>
      <c r="D712">
        <v>211</v>
      </c>
      <c r="E712" s="3">
        <f>_xlfn.XLOOKUP(D712,SalesReps!A:A,SalesReps!D:D)</f>
        <v>44757</v>
      </c>
      <c r="F712" s="3" t="str">
        <f>_xlfn.XLOOKUP(Table1[[#This Row],[RepID]],SalesReps!A:A,SalesReps!E:E)</f>
        <v>Active</v>
      </c>
      <c r="G712">
        <v>315</v>
      </c>
      <c r="H712" t="str">
        <f>_xlfn.XLOOKUP(Table1[[#This Row],[ProductID]],Products!A:A,Products!B:B)</f>
        <v>Toys</v>
      </c>
      <c r="I712" t="str">
        <f>_xlfn.XLOOKUP(Table1[[#This Row],[ProductID]],Products!A:A,Products!C:C)</f>
        <v>Board Games</v>
      </c>
      <c r="J712">
        <v>7</v>
      </c>
      <c r="K712" s="5">
        <f>_xlfn.XLOOKUP(Table1[[#This Row],[ProductID]],Products!A:A,Products!E:E)</f>
        <v>247.9</v>
      </c>
      <c r="L712" s="5">
        <v>254.53</v>
      </c>
      <c r="M712" s="6">
        <v>0.2</v>
      </c>
      <c r="N712" t="s">
        <v>8</v>
      </c>
      <c r="O712" s="5">
        <f t="shared" si="55"/>
        <v>203.62400000000002</v>
      </c>
      <c r="P712" s="5">
        <f t="shared" si="56"/>
        <v>1425.3680000000002</v>
      </c>
      <c r="Q712" s="5">
        <f>Table1[[#This Row],[Quantity]]*(Table1[[#This Row],[Saleprice]]-Table1[[#This Row],[Costprice]])</f>
        <v>-309.9319999999999</v>
      </c>
      <c r="R712">
        <f t="shared" si="57"/>
        <v>2022</v>
      </c>
      <c r="S712">
        <f t="shared" si="58"/>
        <v>8</v>
      </c>
      <c r="T712" t="str">
        <f t="shared" si="59"/>
        <v>August</v>
      </c>
    </row>
    <row r="713" spans="1:20" x14ac:dyDescent="0.3">
      <c r="A713" s="3">
        <v>44801</v>
      </c>
      <c r="B713">
        <v>104</v>
      </c>
      <c r="C713" s="3">
        <f>_xlfn.XLOOKUP(B713,Stores!A:A,Stores!E:E)</f>
        <v>44297</v>
      </c>
      <c r="D713">
        <v>220</v>
      </c>
      <c r="E713" s="3">
        <f>_xlfn.XLOOKUP(D713,SalesReps!A:A,SalesReps!D:D)</f>
        <v>44759</v>
      </c>
      <c r="F713" s="3" t="str">
        <f>_xlfn.XLOOKUP(Table1[[#This Row],[RepID]],SalesReps!A:A,SalesReps!E:E)</f>
        <v>Active</v>
      </c>
      <c r="G713">
        <v>302</v>
      </c>
      <c r="H713" t="str">
        <f>_xlfn.XLOOKUP(Table1[[#This Row],[ProductID]],Products!A:A,Products!B:B)</f>
        <v>Toys</v>
      </c>
      <c r="I713" t="str">
        <f>_xlfn.XLOOKUP(Table1[[#This Row],[ProductID]],Products!A:A,Products!C:C)</f>
        <v>Outdoor</v>
      </c>
      <c r="J713">
        <v>2</v>
      </c>
      <c r="K713" s="5">
        <f>_xlfn.XLOOKUP(Table1[[#This Row],[ProductID]],Products!A:A,Products!E:E)</f>
        <v>393.46</v>
      </c>
      <c r="L713" s="5">
        <v>399.8</v>
      </c>
      <c r="M713" s="6">
        <v>0.09</v>
      </c>
      <c r="N713" t="s">
        <v>10</v>
      </c>
      <c r="O713" s="5">
        <f t="shared" si="55"/>
        <v>363.81800000000004</v>
      </c>
      <c r="P713" s="5">
        <f t="shared" si="56"/>
        <v>727.63600000000008</v>
      </c>
      <c r="Q713" s="5">
        <f>Table1[[#This Row],[Quantity]]*(Table1[[#This Row],[Saleprice]]-Table1[[#This Row],[Costprice]])</f>
        <v>-59.283999999999878</v>
      </c>
      <c r="R713">
        <f t="shared" si="57"/>
        <v>2022</v>
      </c>
      <c r="S713">
        <f t="shared" si="58"/>
        <v>8</v>
      </c>
      <c r="T713" t="str">
        <f t="shared" si="59"/>
        <v>August</v>
      </c>
    </row>
    <row r="714" spans="1:20" x14ac:dyDescent="0.3">
      <c r="A714" s="3">
        <v>44803</v>
      </c>
      <c r="B714">
        <v>107</v>
      </c>
      <c r="C714" s="3">
        <f>_xlfn.XLOOKUP(B714,Stores!A:A,Stores!E:E)</f>
        <v>44702</v>
      </c>
      <c r="D714">
        <v>211</v>
      </c>
      <c r="E714" s="3">
        <f>_xlfn.XLOOKUP(D714,SalesReps!A:A,SalesReps!D:D)</f>
        <v>44757</v>
      </c>
      <c r="F714" s="3" t="str">
        <f>_xlfn.XLOOKUP(Table1[[#This Row],[RepID]],SalesReps!A:A,SalesReps!E:E)</f>
        <v>Active</v>
      </c>
      <c r="G714">
        <v>317</v>
      </c>
      <c r="H714" t="str">
        <f>_xlfn.XLOOKUP(Table1[[#This Row],[ProductID]],Products!A:A,Products!B:B)</f>
        <v>Toys</v>
      </c>
      <c r="I714" t="str">
        <f>_xlfn.XLOOKUP(Table1[[#This Row],[ProductID]],Products!A:A,Products!C:C)</f>
        <v>Educational</v>
      </c>
      <c r="J714">
        <v>6</v>
      </c>
      <c r="K714" s="5">
        <f>_xlfn.XLOOKUP(Table1[[#This Row],[ProductID]],Products!A:A,Products!E:E)</f>
        <v>77.61</v>
      </c>
      <c r="L714" s="5">
        <v>107.38</v>
      </c>
      <c r="M714" s="6">
        <v>0.15</v>
      </c>
      <c r="N714" t="s">
        <v>8</v>
      </c>
      <c r="O714" s="5">
        <f t="shared" si="55"/>
        <v>91.272999999999996</v>
      </c>
      <c r="P714" s="5">
        <f t="shared" si="56"/>
        <v>547.63799999999992</v>
      </c>
      <c r="Q714" s="5">
        <f>Table1[[#This Row],[Quantity]]*(Table1[[#This Row],[Saleprice]]-Table1[[#This Row],[Costprice]])</f>
        <v>81.97799999999998</v>
      </c>
      <c r="R714">
        <f t="shared" si="57"/>
        <v>2022</v>
      </c>
      <c r="S714">
        <f t="shared" si="58"/>
        <v>8</v>
      </c>
      <c r="T714" t="str">
        <f t="shared" si="59"/>
        <v>August</v>
      </c>
    </row>
    <row r="715" spans="1:20" x14ac:dyDescent="0.3">
      <c r="A715" s="3">
        <v>44807</v>
      </c>
      <c r="B715">
        <v>107</v>
      </c>
      <c r="C715" s="3">
        <f>_xlfn.XLOOKUP(B715,Stores!A:A,Stores!E:E)</f>
        <v>44702</v>
      </c>
      <c r="D715">
        <v>211</v>
      </c>
      <c r="E715" s="3">
        <f>_xlfn.XLOOKUP(D715,SalesReps!A:A,SalesReps!D:D)</f>
        <v>44757</v>
      </c>
      <c r="F715" s="3" t="str">
        <f>_xlfn.XLOOKUP(Table1[[#This Row],[RepID]],SalesReps!A:A,SalesReps!E:E)</f>
        <v>Active</v>
      </c>
      <c r="G715">
        <v>319</v>
      </c>
      <c r="H715" t="str">
        <f>_xlfn.XLOOKUP(Table1[[#This Row],[ProductID]],Products!A:A,Products!B:B)</f>
        <v>Toys</v>
      </c>
      <c r="I715" t="str">
        <f>_xlfn.XLOOKUP(Table1[[#This Row],[ProductID]],Products!A:A,Products!C:C)</f>
        <v>Board Games</v>
      </c>
      <c r="J715">
        <v>5</v>
      </c>
      <c r="K715" s="5">
        <f>_xlfn.XLOOKUP(Table1[[#This Row],[ProductID]],Products!A:A,Products!E:E)</f>
        <v>81.069999999999993</v>
      </c>
      <c r="L715" s="5">
        <v>106.28</v>
      </c>
      <c r="M715" s="6">
        <v>0.24</v>
      </c>
      <c r="N715" t="s">
        <v>8</v>
      </c>
      <c r="O715" s="5">
        <f t="shared" si="55"/>
        <v>80.772800000000004</v>
      </c>
      <c r="P715" s="5">
        <f t="shared" si="56"/>
        <v>403.86400000000003</v>
      </c>
      <c r="Q715" s="5">
        <f>Table1[[#This Row],[Quantity]]*(Table1[[#This Row],[Saleprice]]-Table1[[#This Row],[Costprice]])</f>
        <v>-1.4859999999999474</v>
      </c>
      <c r="R715">
        <f t="shared" si="57"/>
        <v>2022</v>
      </c>
      <c r="S715">
        <f t="shared" si="58"/>
        <v>9</v>
      </c>
      <c r="T715" t="str">
        <f t="shared" si="59"/>
        <v>September</v>
      </c>
    </row>
    <row r="716" spans="1:20" x14ac:dyDescent="0.3">
      <c r="A716" s="3">
        <v>44808</v>
      </c>
      <c r="B716">
        <v>104</v>
      </c>
      <c r="C716" s="3">
        <f>_xlfn.XLOOKUP(B716,Stores!A:A,Stores!E:E)</f>
        <v>44297</v>
      </c>
      <c r="D716">
        <v>220</v>
      </c>
      <c r="E716" s="3">
        <f>_xlfn.XLOOKUP(D716,SalesReps!A:A,SalesReps!D:D)</f>
        <v>44759</v>
      </c>
      <c r="F716" s="3" t="str">
        <f>_xlfn.XLOOKUP(Table1[[#This Row],[RepID]],SalesReps!A:A,SalesReps!E:E)</f>
        <v>Active</v>
      </c>
      <c r="G716">
        <v>312</v>
      </c>
      <c r="H716" t="str">
        <f>_xlfn.XLOOKUP(Table1[[#This Row],[ProductID]],Products!A:A,Products!B:B)</f>
        <v>Toys</v>
      </c>
      <c r="I716" t="str">
        <f>_xlfn.XLOOKUP(Table1[[#This Row],[ProductID]],Products!A:A,Products!C:C)</f>
        <v>Board Games</v>
      </c>
      <c r="J716">
        <v>2</v>
      </c>
      <c r="K716" s="5">
        <f>_xlfn.XLOOKUP(Table1[[#This Row],[ProductID]],Products!A:A,Products!E:E)</f>
        <v>100.05</v>
      </c>
      <c r="L716" s="5">
        <v>163.13999999999999</v>
      </c>
      <c r="M716" s="6">
        <v>7.0000000000000007E-2</v>
      </c>
      <c r="N716" t="s">
        <v>10</v>
      </c>
      <c r="O716" s="5">
        <f t="shared" si="55"/>
        <v>151.72019999999998</v>
      </c>
      <c r="P716" s="5">
        <f t="shared" si="56"/>
        <v>303.44039999999995</v>
      </c>
      <c r="Q716" s="5">
        <f>Table1[[#This Row],[Quantity]]*(Table1[[#This Row],[Saleprice]]-Table1[[#This Row],[Costprice]])</f>
        <v>103.34039999999996</v>
      </c>
      <c r="R716">
        <f t="shared" si="57"/>
        <v>2022</v>
      </c>
      <c r="S716">
        <f t="shared" si="58"/>
        <v>9</v>
      </c>
      <c r="T716" t="str">
        <f t="shared" si="59"/>
        <v>September</v>
      </c>
    </row>
    <row r="717" spans="1:20" x14ac:dyDescent="0.3">
      <c r="A717" s="3">
        <v>44810</v>
      </c>
      <c r="B717">
        <v>104</v>
      </c>
      <c r="C717" s="3">
        <f>_xlfn.XLOOKUP(B717,Stores!A:A,Stores!E:E)</f>
        <v>44297</v>
      </c>
      <c r="D717">
        <v>220</v>
      </c>
      <c r="E717" s="3">
        <f>_xlfn.XLOOKUP(D717,SalesReps!A:A,SalesReps!D:D)</f>
        <v>44759</v>
      </c>
      <c r="F717" s="3" t="str">
        <f>_xlfn.XLOOKUP(Table1[[#This Row],[RepID]],SalesReps!A:A,SalesReps!E:E)</f>
        <v>Active</v>
      </c>
      <c r="G717">
        <v>304</v>
      </c>
      <c r="H717" t="str">
        <f>_xlfn.XLOOKUP(Table1[[#This Row],[ProductID]],Products!A:A,Products!B:B)</f>
        <v>Home &amp; Kitchen</v>
      </c>
      <c r="I717" t="str">
        <f>_xlfn.XLOOKUP(Table1[[#This Row],[ProductID]],Products!A:A,Products!C:C)</f>
        <v>Furniture</v>
      </c>
      <c r="J717">
        <v>6</v>
      </c>
      <c r="K717" s="5">
        <f>_xlfn.XLOOKUP(Table1[[#This Row],[ProductID]],Products!A:A,Products!E:E)</f>
        <v>345.38</v>
      </c>
      <c r="L717" s="5">
        <v>409.69</v>
      </c>
      <c r="M717" s="6">
        <v>0.11</v>
      </c>
      <c r="N717" t="s">
        <v>10</v>
      </c>
      <c r="O717" s="5">
        <f t="shared" si="55"/>
        <v>364.6241</v>
      </c>
      <c r="P717" s="5">
        <f t="shared" si="56"/>
        <v>2187.7446</v>
      </c>
      <c r="Q717" s="5">
        <f>Table1[[#This Row],[Quantity]]*(Table1[[#This Row],[Saleprice]]-Table1[[#This Row],[Costprice]])</f>
        <v>115.46460000000002</v>
      </c>
      <c r="R717">
        <f t="shared" si="57"/>
        <v>2022</v>
      </c>
      <c r="S717">
        <f t="shared" si="58"/>
        <v>9</v>
      </c>
      <c r="T717" t="str">
        <f t="shared" si="59"/>
        <v>September</v>
      </c>
    </row>
    <row r="718" spans="1:20" x14ac:dyDescent="0.3">
      <c r="A718" s="3">
        <v>44810</v>
      </c>
      <c r="B718">
        <v>107</v>
      </c>
      <c r="C718" s="3">
        <f>_xlfn.XLOOKUP(B718,Stores!A:A,Stores!E:E)</f>
        <v>44702</v>
      </c>
      <c r="D718">
        <v>211</v>
      </c>
      <c r="E718" s="3">
        <f>_xlfn.XLOOKUP(D718,SalesReps!A:A,SalesReps!D:D)</f>
        <v>44757</v>
      </c>
      <c r="F718" s="3" t="str">
        <f>_xlfn.XLOOKUP(Table1[[#This Row],[RepID]],SalesReps!A:A,SalesReps!E:E)</f>
        <v>Active</v>
      </c>
      <c r="G718">
        <v>319</v>
      </c>
      <c r="H718" t="str">
        <f>_xlfn.XLOOKUP(Table1[[#This Row],[ProductID]],Products!A:A,Products!B:B)</f>
        <v>Toys</v>
      </c>
      <c r="I718" t="str">
        <f>_xlfn.XLOOKUP(Table1[[#This Row],[ProductID]],Products!A:A,Products!C:C)</f>
        <v>Board Games</v>
      </c>
      <c r="J718">
        <v>2</v>
      </c>
      <c r="K718" s="5">
        <f>_xlfn.XLOOKUP(Table1[[#This Row],[ProductID]],Products!A:A,Products!E:E)</f>
        <v>81.069999999999993</v>
      </c>
      <c r="L718" s="5">
        <v>106.28</v>
      </c>
      <c r="M718" s="6">
        <v>0.24</v>
      </c>
      <c r="N718" t="s">
        <v>8</v>
      </c>
      <c r="O718" s="5">
        <f t="shared" si="55"/>
        <v>80.772800000000004</v>
      </c>
      <c r="P718" s="5">
        <f t="shared" si="56"/>
        <v>161.54560000000001</v>
      </c>
      <c r="Q718" s="5">
        <f>Table1[[#This Row],[Quantity]]*(Table1[[#This Row],[Saleprice]]-Table1[[#This Row],[Costprice]])</f>
        <v>-0.59439999999997895</v>
      </c>
      <c r="R718">
        <f t="shared" si="57"/>
        <v>2022</v>
      </c>
      <c r="S718">
        <f t="shared" si="58"/>
        <v>9</v>
      </c>
      <c r="T718" t="str">
        <f t="shared" si="59"/>
        <v>September</v>
      </c>
    </row>
    <row r="719" spans="1:20" x14ac:dyDescent="0.3">
      <c r="A719" s="3">
        <v>44811</v>
      </c>
      <c r="B719">
        <v>107</v>
      </c>
      <c r="C719" s="3">
        <f>_xlfn.XLOOKUP(B719,Stores!A:A,Stores!E:E)</f>
        <v>44702</v>
      </c>
      <c r="D719">
        <v>211</v>
      </c>
      <c r="E719" s="3">
        <f>_xlfn.XLOOKUP(D719,SalesReps!A:A,SalesReps!D:D)</f>
        <v>44757</v>
      </c>
      <c r="F719" s="3" t="str">
        <f>_xlfn.XLOOKUP(Table1[[#This Row],[RepID]],SalesReps!A:A,SalesReps!E:E)</f>
        <v>Active</v>
      </c>
      <c r="G719">
        <v>313</v>
      </c>
      <c r="H719" t="str">
        <f>_xlfn.XLOOKUP(Table1[[#This Row],[ProductID]],Products!A:A,Products!B:B)</f>
        <v>Clothing</v>
      </c>
      <c r="I719" t="str">
        <f>_xlfn.XLOOKUP(Table1[[#This Row],[ProductID]],Products!A:A,Products!C:C)</f>
        <v>Women</v>
      </c>
      <c r="J719">
        <v>1</v>
      </c>
      <c r="K719" s="5">
        <f>_xlfn.XLOOKUP(Table1[[#This Row],[ProductID]],Products!A:A,Products!E:E)</f>
        <v>104</v>
      </c>
      <c r="L719" s="5">
        <v>152.44</v>
      </c>
      <c r="M719" s="6">
        <v>0.22</v>
      </c>
      <c r="N719" t="s">
        <v>8</v>
      </c>
      <c r="O719" s="5">
        <f t="shared" si="55"/>
        <v>118.9032</v>
      </c>
      <c r="P719" s="5">
        <f t="shared" si="56"/>
        <v>118.9032</v>
      </c>
      <c r="Q719" s="5">
        <f>Table1[[#This Row],[Quantity]]*(Table1[[#This Row],[Saleprice]]-Table1[[#This Row],[Costprice]])</f>
        <v>14.903199999999998</v>
      </c>
      <c r="R719">
        <f t="shared" si="57"/>
        <v>2022</v>
      </c>
      <c r="S719">
        <f t="shared" si="58"/>
        <v>9</v>
      </c>
      <c r="T719" t="str">
        <f t="shared" si="59"/>
        <v>September</v>
      </c>
    </row>
    <row r="720" spans="1:20" x14ac:dyDescent="0.3">
      <c r="A720" s="3">
        <v>44812</v>
      </c>
      <c r="B720">
        <v>107</v>
      </c>
      <c r="C720" s="3">
        <f>_xlfn.XLOOKUP(B720,Stores!A:A,Stores!E:E)</f>
        <v>44702</v>
      </c>
      <c r="D720">
        <v>211</v>
      </c>
      <c r="E720" s="3">
        <f>_xlfn.XLOOKUP(D720,SalesReps!A:A,SalesReps!D:D)</f>
        <v>44757</v>
      </c>
      <c r="F720" s="3" t="str">
        <f>_xlfn.XLOOKUP(Table1[[#This Row],[RepID]],SalesReps!A:A,SalesReps!E:E)</f>
        <v>Active</v>
      </c>
      <c r="G720">
        <v>310</v>
      </c>
      <c r="H720" t="str">
        <f>_xlfn.XLOOKUP(Table1[[#This Row],[ProductID]],Products!A:A,Products!B:B)</f>
        <v>Home &amp; Kitchen</v>
      </c>
      <c r="I720" t="str">
        <f>_xlfn.XLOOKUP(Table1[[#This Row],[ProductID]],Products!A:A,Products!C:C)</f>
        <v>Furniture</v>
      </c>
      <c r="J720">
        <v>1</v>
      </c>
      <c r="K720" s="5">
        <f>_xlfn.XLOOKUP(Table1[[#This Row],[ProductID]],Products!A:A,Products!E:E)</f>
        <v>160.31</v>
      </c>
      <c r="L720" s="5">
        <v>169.45</v>
      </c>
      <c r="M720" s="6">
        <v>0.25</v>
      </c>
      <c r="N720" t="s">
        <v>8</v>
      </c>
      <c r="O720" s="5">
        <f t="shared" si="55"/>
        <v>127.08749999999999</v>
      </c>
      <c r="P720" s="5">
        <f t="shared" si="56"/>
        <v>127.08749999999999</v>
      </c>
      <c r="Q720" s="5">
        <f>Table1[[#This Row],[Quantity]]*(Table1[[#This Row],[Saleprice]]-Table1[[#This Row],[Costprice]])</f>
        <v>-33.222500000000011</v>
      </c>
      <c r="R720">
        <f t="shared" si="57"/>
        <v>2022</v>
      </c>
      <c r="S720">
        <f t="shared" si="58"/>
        <v>9</v>
      </c>
      <c r="T720" t="str">
        <f t="shared" si="59"/>
        <v>September</v>
      </c>
    </row>
    <row r="721" spans="1:20" x14ac:dyDescent="0.3">
      <c r="A721" s="3">
        <v>44812</v>
      </c>
      <c r="B721">
        <v>104</v>
      </c>
      <c r="C721" s="3">
        <f>_xlfn.XLOOKUP(B721,Stores!A:A,Stores!E:E)</f>
        <v>44297</v>
      </c>
      <c r="D721">
        <v>220</v>
      </c>
      <c r="E721" s="3">
        <f>_xlfn.XLOOKUP(D721,SalesReps!A:A,SalesReps!D:D)</f>
        <v>44759</v>
      </c>
      <c r="F721" s="3" t="str">
        <f>_xlfn.XLOOKUP(Table1[[#This Row],[RepID]],SalesReps!A:A,SalesReps!E:E)</f>
        <v>Active</v>
      </c>
      <c r="G721">
        <v>318</v>
      </c>
      <c r="H721" t="str">
        <f>_xlfn.XLOOKUP(Table1[[#This Row],[ProductID]],Products!A:A,Products!B:B)</f>
        <v>Electronics</v>
      </c>
      <c r="I721" t="str">
        <f>_xlfn.XLOOKUP(Table1[[#This Row],[ProductID]],Products!A:A,Products!C:C)</f>
        <v>Mobiles</v>
      </c>
      <c r="J721">
        <v>1</v>
      </c>
      <c r="K721" s="5">
        <f>_xlfn.XLOOKUP(Table1[[#This Row],[ProductID]],Products!A:A,Products!E:E)</f>
        <v>162.51</v>
      </c>
      <c r="L721" s="5">
        <v>191.26</v>
      </c>
      <c r="M721" s="6">
        <v>0.17</v>
      </c>
      <c r="N721" t="s">
        <v>10</v>
      </c>
      <c r="O721" s="5">
        <f t="shared" si="55"/>
        <v>158.74579999999997</v>
      </c>
      <c r="P721" s="5">
        <f t="shared" si="56"/>
        <v>158.74579999999997</v>
      </c>
      <c r="Q721" s="5">
        <f>Table1[[#This Row],[Quantity]]*(Table1[[#This Row],[Saleprice]]-Table1[[#This Row],[Costprice]])</f>
        <v>-3.7642000000000166</v>
      </c>
      <c r="R721">
        <f t="shared" si="57"/>
        <v>2022</v>
      </c>
      <c r="S721">
        <f t="shared" si="58"/>
        <v>9</v>
      </c>
      <c r="T721" t="str">
        <f t="shared" si="59"/>
        <v>September</v>
      </c>
    </row>
    <row r="722" spans="1:20" x14ac:dyDescent="0.3">
      <c r="A722" s="3">
        <v>44812</v>
      </c>
      <c r="B722">
        <v>107</v>
      </c>
      <c r="C722" s="3">
        <f>_xlfn.XLOOKUP(B722,Stores!A:A,Stores!E:E)</f>
        <v>44702</v>
      </c>
      <c r="D722">
        <v>211</v>
      </c>
      <c r="E722" s="3">
        <f>_xlfn.XLOOKUP(D722,SalesReps!A:A,SalesReps!D:D)</f>
        <v>44757</v>
      </c>
      <c r="F722" s="3" t="str">
        <f>_xlfn.XLOOKUP(Table1[[#This Row],[RepID]],SalesReps!A:A,SalesReps!E:E)</f>
        <v>Active</v>
      </c>
      <c r="G722">
        <v>310</v>
      </c>
      <c r="H722" t="str">
        <f>_xlfn.XLOOKUP(Table1[[#This Row],[ProductID]],Products!A:A,Products!B:B)</f>
        <v>Home &amp; Kitchen</v>
      </c>
      <c r="I722" t="str">
        <f>_xlfn.XLOOKUP(Table1[[#This Row],[ProductID]],Products!A:A,Products!C:C)</f>
        <v>Furniture</v>
      </c>
      <c r="J722">
        <v>5</v>
      </c>
      <c r="K722" s="5">
        <f>_xlfn.XLOOKUP(Table1[[#This Row],[ProductID]],Products!A:A,Products!E:E)</f>
        <v>160.31</v>
      </c>
      <c r="L722" s="5">
        <v>169.45</v>
      </c>
      <c r="M722" s="6">
        <v>0.25</v>
      </c>
      <c r="N722" t="s">
        <v>8</v>
      </c>
      <c r="O722" s="5">
        <f t="shared" si="55"/>
        <v>127.08749999999999</v>
      </c>
      <c r="P722" s="5">
        <f t="shared" si="56"/>
        <v>635.4375</v>
      </c>
      <c r="Q722" s="5">
        <f>Table1[[#This Row],[Quantity]]*(Table1[[#This Row],[Saleprice]]-Table1[[#This Row],[Costprice]])</f>
        <v>-166.11250000000007</v>
      </c>
      <c r="R722">
        <f t="shared" si="57"/>
        <v>2022</v>
      </c>
      <c r="S722">
        <f t="shared" si="58"/>
        <v>9</v>
      </c>
      <c r="T722" t="str">
        <f t="shared" si="59"/>
        <v>September</v>
      </c>
    </row>
    <row r="723" spans="1:20" x14ac:dyDescent="0.3">
      <c r="A723" s="3">
        <v>44817</v>
      </c>
      <c r="B723">
        <v>104</v>
      </c>
      <c r="C723" s="3">
        <f>_xlfn.XLOOKUP(B723,Stores!A:A,Stores!E:E)</f>
        <v>44297</v>
      </c>
      <c r="D723">
        <v>220</v>
      </c>
      <c r="E723" s="3">
        <f>_xlfn.XLOOKUP(D723,SalesReps!A:A,SalesReps!D:D)</f>
        <v>44759</v>
      </c>
      <c r="F723" s="3" t="str">
        <f>_xlfn.XLOOKUP(Table1[[#This Row],[RepID]],SalesReps!A:A,SalesReps!E:E)</f>
        <v>Active</v>
      </c>
      <c r="G723">
        <v>313</v>
      </c>
      <c r="H723" t="str">
        <f>_xlfn.XLOOKUP(Table1[[#This Row],[ProductID]],Products!A:A,Products!B:B)</f>
        <v>Clothing</v>
      </c>
      <c r="I723" t="str">
        <f>_xlfn.XLOOKUP(Table1[[#This Row],[ProductID]],Products!A:A,Products!C:C)</f>
        <v>Women</v>
      </c>
      <c r="J723">
        <v>1</v>
      </c>
      <c r="K723" s="5">
        <f>_xlfn.XLOOKUP(Table1[[#This Row],[ProductID]],Products!A:A,Products!E:E)</f>
        <v>104</v>
      </c>
      <c r="L723" s="5">
        <v>137.81</v>
      </c>
      <c r="M723" s="6">
        <v>0.16</v>
      </c>
      <c r="N723" t="s">
        <v>10</v>
      </c>
      <c r="O723" s="5">
        <f t="shared" si="55"/>
        <v>115.7604</v>
      </c>
      <c r="P723" s="5">
        <f t="shared" si="56"/>
        <v>115.7604</v>
      </c>
      <c r="Q723" s="5">
        <f>Table1[[#This Row],[Quantity]]*(Table1[[#This Row],[Saleprice]]-Table1[[#This Row],[Costprice]])</f>
        <v>11.760400000000004</v>
      </c>
      <c r="R723">
        <f t="shared" si="57"/>
        <v>2022</v>
      </c>
      <c r="S723">
        <f t="shared" si="58"/>
        <v>9</v>
      </c>
      <c r="T723" t="str">
        <f t="shared" si="59"/>
        <v>September</v>
      </c>
    </row>
    <row r="724" spans="1:20" x14ac:dyDescent="0.3">
      <c r="A724" s="3">
        <v>44818</v>
      </c>
      <c r="B724">
        <v>107</v>
      </c>
      <c r="C724" s="3">
        <f>_xlfn.XLOOKUP(B724,Stores!A:A,Stores!E:E)</f>
        <v>44702</v>
      </c>
      <c r="D724">
        <v>211</v>
      </c>
      <c r="E724" s="3">
        <f>_xlfn.XLOOKUP(D724,SalesReps!A:A,SalesReps!D:D)</f>
        <v>44757</v>
      </c>
      <c r="F724" s="3" t="str">
        <f>_xlfn.XLOOKUP(Table1[[#This Row],[RepID]],SalesReps!A:A,SalesReps!E:E)</f>
        <v>Active</v>
      </c>
      <c r="G724">
        <v>313</v>
      </c>
      <c r="H724" t="str">
        <f>_xlfn.XLOOKUP(Table1[[#This Row],[ProductID]],Products!A:A,Products!B:B)</f>
        <v>Clothing</v>
      </c>
      <c r="I724" t="str">
        <f>_xlfn.XLOOKUP(Table1[[#This Row],[ProductID]],Products!A:A,Products!C:C)</f>
        <v>Women</v>
      </c>
      <c r="J724">
        <v>1</v>
      </c>
      <c r="K724" s="5">
        <f>_xlfn.XLOOKUP(Table1[[#This Row],[ProductID]],Products!A:A,Products!E:E)</f>
        <v>104</v>
      </c>
      <c r="L724" s="5">
        <v>152.44</v>
      </c>
      <c r="M724" s="6">
        <v>0.22</v>
      </c>
      <c r="N724" t="s">
        <v>8</v>
      </c>
      <c r="O724" s="5">
        <f t="shared" si="55"/>
        <v>118.9032</v>
      </c>
      <c r="P724" s="5">
        <f t="shared" si="56"/>
        <v>118.9032</v>
      </c>
      <c r="Q724" s="5">
        <f>Table1[[#This Row],[Quantity]]*(Table1[[#This Row],[Saleprice]]-Table1[[#This Row],[Costprice]])</f>
        <v>14.903199999999998</v>
      </c>
      <c r="R724">
        <f t="shared" si="57"/>
        <v>2022</v>
      </c>
      <c r="S724">
        <f t="shared" si="58"/>
        <v>9</v>
      </c>
      <c r="T724" t="str">
        <f t="shared" si="59"/>
        <v>September</v>
      </c>
    </row>
    <row r="725" spans="1:20" x14ac:dyDescent="0.3">
      <c r="A725" s="3">
        <v>44819</v>
      </c>
      <c r="B725">
        <v>104</v>
      </c>
      <c r="C725" s="3">
        <f>_xlfn.XLOOKUP(B725,Stores!A:A,Stores!E:E)</f>
        <v>44297</v>
      </c>
      <c r="D725">
        <v>220</v>
      </c>
      <c r="E725" s="3">
        <f>_xlfn.XLOOKUP(D725,SalesReps!A:A,SalesReps!D:D)</f>
        <v>44759</v>
      </c>
      <c r="F725" s="3" t="str">
        <f>_xlfn.XLOOKUP(Table1[[#This Row],[RepID]],SalesReps!A:A,SalesReps!E:E)</f>
        <v>Active</v>
      </c>
      <c r="G725">
        <v>318</v>
      </c>
      <c r="H725" t="str">
        <f>_xlfn.XLOOKUP(Table1[[#This Row],[ProductID]],Products!A:A,Products!B:B)</f>
        <v>Electronics</v>
      </c>
      <c r="I725" t="str">
        <f>_xlfn.XLOOKUP(Table1[[#This Row],[ProductID]],Products!A:A,Products!C:C)</f>
        <v>Mobiles</v>
      </c>
      <c r="J725">
        <v>1</v>
      </c>
      <c r="K725" s="5">
        <f>_xlfn.XLOOKUP(Table1[[#This Row],[ProductID]],Products!A:A,Products!E:E)</f>
        <v>162.51</v>
      </c>
      <c r="L725" s="5">
        <v>191.26</v>
      </c>
      <c r="M725" s="6">
        <v>0.17</v>
      </c>
      <c r="N725" t="s">
        <v>10</v>
      </c>
      <c r="O725" s="5">
        <f t="shared" si="55"/>
        <v>158.74579999999997</v>
      </c>
      <c r="P725" s="5">
        <f t="shared" si="56"/>
        <v>158.74579999999997</v>
      </c>
      <c r="Q725" s="5">
        <f>Table1[[#This Row],[Quantity]]*(Table1[[#This Row],[Saleprice]]-Table1[[#This Row],[Costprice]])</f>
        <v>-3.7642000000000166</v>
      </c>
      <c r="R725">
        <f t="shared" si="57"/>
        <v>2022</v>
      </c>
      <c r="S725">
        <f t="shared" si="58"/>
        <v>9</v>
      </c>
      <c r="T725" t="str">
        <f t="shared" si="59"/>
        <v>September</v>
      </c>
    </row>
    <row r="726" spans="1:20" x14ac:dyDescent="0.3">
      <c r="A726" s="3">
        <v>44819</v>
      </c>
      <c r="B726">
        <v>107</v>
      </c>
      <c r="C726" s="3">
        <f>_xlfn.XLOOKUP(B726,Stores!A:A,Stores!E:E)</f>
        <v>44702</v>
      </c>
      <c r="D726">
        <v>211</v>
      </c>
      <c r="E726" s="3">
        <f>_xlfn.XLOOKUP(D726,SalesReps!A:A,SalesReps!D:D)</f>
        <v>44757</v>
      </c>
      <c r="F726" s="3" t="str">
        <f>_xlfn.XLOOKUP(Table1[[#This Row],[RepID]],SalesReps!A:A,SalesReps!E:E)</f>
        <v>Active</v>
      </c>
      <c r="G726">
        <v>313</v>
      </c>
      <c r="H726" t="str">
        <f>_xlfn.XLOOKUP(Table1[[#This Row],[ProductID]],Products!A:A,Products!B:B)</f>
        <v>Clothing</v>
      </c>
      <c r="I726" t="str">
        <f>_xlfn.XLOOKUP(Table1[[#This Row],[ProductID]],Products!A:A,Products!C:C)</f>
        <v>Women</v>
      </c>
      <c r="J726">
        <v>2</v>
      </c>
      <c r="K726" s="5">
        <f>_xlfn.XLOOKUP(Table1[[#This Row],[ProductID]],Products!A:A,Products!E:E)</f>
        <v>104</v>
      </c>
      <c r="L726" s="5">
        <v>152.44</v>
      </c>
      <c r="M726" s="6">
        <v>0.22</v>
      </c>
      <c r="N726" t="s">
        <v>8</v>
      </c>
      <c r="O726" s="5">
        <f t="shared" si="55"/>
        <v>118.9032</v>
      </c>
      <c r="P726" s="5">
        <f t="shared" si="56"/>
        <v>237.8064</v>
      </c>
      <c r="Q726" s="5">
        <f>Table1[[#This Row],[Quantity]]*(Table1[[#This Row],[Saleprice]]-Table1[[#This Row],[Costprice]])</f>
        <v>29.806399999999996</v>
      </c>
      <c r="R726">
        <f t="shared" si="57"/>
        <v>2022</v>
      </c>
      <c r="S726">
        <f t="shared" si="58"/>
        <v>9</v>
      </c>
      <c r="T726" t="str">
        <f t="shared" si="59"/>
        <v>September</v>
      </c>
    </row>
    <row r="727" spans="1:20" x14ac:dyDescent="0.3">
      <c r="A727" s="3">
        <v>44821</v>
      </c>
      <c r="B727">
        <v>107</v>
      </c>
      <c r="C727" s="3">
        <f>_xlfn.XLOOKUP(B727,Stores!A:A,Stores!E:E)</f>
        <v>44702</v>
      </c>
      <c r="D727">
        <v>211</v>
      </c>
      <c r="E727" s="3">
        <f>_xlfn.XLOOKUP(D727,SalesReps!A:A,SalesReps!D:D)</f>
        <v>44757</v>
      </c>
      <c r="F727" s="3" t="str">
        <f>_xlfn.XLOOKUP(Table1[[#This Row],[RepID]],SalesReps!A:A,SalesReps!E:E)</f>
        <v>Active</v>
      </c>
      <c r="G727">
        <v>319</v>
      </c>
      <c r="H727" t="str">
        <f>_xlfn.XLOOKUP(Table1[[#This Row],[ProductID]],Products!A:A,Products!B:B)</f>
        <v>Toys</v>
      </c>
      <c r="I727" t="str">
        <f>_xlfn.XLOOKUP(Table1[[#This Row],[ProductID]],Products!A:A,Products!C:C)</f>
        <v>Board Games</v>
      </c>
      <c r="J727">
        <v>7</v>
      </c>
      <c r="K727" s="5">
        <f>_xlfn.XLOOKUP(Table1[[#This Row],[ProductID]],Products!A:A,Products!E:E)</f>
        <v>81.069999999999993</v>
      </c>
      <c r="L727" s="5">
        <v>106.28</v>
      </c>
      <c r="M727" s="6">
        <v>0.24</v>
      </c>
      <c r="N727" t="s">
        <v>8</v>
      </c>
      <c r="O727" s="5">
        <f t="shared" si="55"/>
        <v>80.772800000000004</v>
      </c>
      <c r="P727" s="5">
        <f t="shared" si="56"/>
        <v>565.40960000000007</v>
      </c>
      <c r="Q727" s="5">
        <f>Table1[[#This Row],[Quantity]]*(Table1[[#This Row],[Saleprice]]-Table1[[#This Row],[Costprice]])</f>
        <v>-2.0803999999999263</v>
      </c>
      <c r="R727">
        <f t="shared" si="57"/>
        <v>2022</v>
      </c>
      <c r="S727">
        <f t="shared" si="58"/>
        <v>9</v>
      </c>
      <c r="T727" t="str">
        <f t="shared" si="59"/>
        <v>September</v>
      </c>
    </row>
    <row r="728" spans="1:20" x14ac:dyDescent="0.3">
      <c r="A728" s="3">
        <v>44821</v>
      </c>
      <c r="B728">
        <v>107</v>
      </c>
      <c r="C728" s="3">
        <f>_xlfn.XLOOKUP(B728,Stores!A:A,Stores!E:E)</f>
        <v>44702</v>
      </c>
      <c r="D728">
        <v>211</v>
      </c>
      <c r="E728" s="3">
        <f>_xlfn.XLOOKUP(D728,SalesReps!A:A,SalesReps!D:D)</f>
        <v>44757</v>
      </c>
      <c r="F728" s="3" t="str">
        <f>_xlfn.XLOOKUP(Table1[[#This Row],[RepID]],SalesReps!A:A,SalesReps!E:E)</f>
        <v>Active</v>
      </c>
      <c r="G728">
        <v>316</v>
      </c>
      <c r="H728" t="str">
        <f>_xlfn.XLOOKUP(Table1[[#This Row],[ProductID]],Products!A:A,Products!B:B)</f>
        <v>Home &amp; Kitchen</v>
      </c>
      <c r="I728" t="str">
        <f>_xlfn.XLOOKUP(Table1[[#This Row],[ProductID]],Products!A:A,Products!C:C)</f>
        <v>Furniture</v>
      </c>
      <c r="J728">
        <v>9</v>
      </c>
      <c r="K728" s="5">
        <f>_xlfn.XLOOKUP(Table1[[#This Row],[ProductID]],Products!A:A,Products!E:E)</f>
        <v>334.95</v>
      </c>
      <c r="L728" s="5">
        <v>416.04</v>
      </c>
      <c r="M728" s="6">
        <v>0.19</v>
      </c>
      <c r="N728" t="s">
        <v>8</v>
      </c>
      <c r="O728" s="5">
        <f t="shared" si="55"/>
        <v>336.99240000000003</v>
      </c>
      <c r="P728" s="5">
        <f t="shared" si="56"/>
        <v>3032.9316000000003</v>
      </c>
      <c r="Q728" s="5">
        <f>Table1[[#This Row],[Quantity]]*(Table1[[#This Row],[Saleprice]]-Table1[[#This Row],[Costprice]])</f>
        <v>18.38160000000039</v>
      </c>
      <c r="R728">
        <f t="shared" si="57"/>
        <v>2022</v>
      </c>
      <c r="S728">
        <f t="shared" si="58"/>
        <v>9</v>
      </c>
      <c r="T728" t="str">
        <f t="shared" si="59"/>
        <v>September</v>
      </c>
    </row>
    <row r="729" spans="1:20" x14ac:dyDescent="0.3">
      <c r="A729" s="3">
        <v>44822</v>
      </c>
      <c r="B729">
        <v>104</v>
      </c>
      <c r="C729" s="3">
        <f>_xlfn.XLOOKUP(B729,Stores!A:A,Stores!E:E)</f>
        <v>44297</v>
      </c>
      <c r="D729">
        <v>220</v>
      </c>
      <c r="E729" s="3">
        <f>_xlfn.XLOOKUP(D729,SalesReps!A:A,SalesReps!D:D)</f>
        <v>44759</v>
      </c>
      <c r="F729" s="3" t="str">
        <f>_xlfn.XLOOKUP(Table1[[#This Row],[RepID]],SalesReps!A:A,SalesReps!E:E)</f>
        <v>Active</v>
      </c>
      <c r="G729">
        <v>312</v>
      </c>
      <c r="H729" t="str">
        <f>_xlfn.XLOOKUP(Table1[[#This Row],[ProductID]],Products!A:A,Products!B:B)</f>
        <v>Toys</v>
      </c>
      <c r="I729" t="str">
        <f>_xlfn.XLOOKUP(Table1[[#This Row],[ProductID]],Products!A:A,Products!C:C)</f>
        <v>Board Games</v>
      </c>
      <c r="J729">
        <v>3</v>
      </c>
      <c r="K729" s="5">
        <f>_xlfn.XLOOKUP(Table1[[#This Row],[ProductID]],Products!A:A,Products!E:E)</f>
        <v>100.05</v>
      </c>
      <c r="L729" s="5">
        <v>163.13999999999999</v>
      </c>
      <c r="M729" s="6">
        <v>7.0000000000000007E-2</v>
      </c>
      <c r="N729" t="s">
        <v>10</v>
      </c>
      <c r="O729" s="5">
        <f t="shared" si="55"/>
        <v>151.72019999999998</v>
      </c>
      <c r="P729" s="5">
        <f t="shared" si="56"/>
        <v>455.16059999999993</v>
      </c>
      <c r="Q729" s="5">
        <f>Table1[[#This Row],[Quantity]]*(Table1[[#This Row],[Saleprice]]-Table1[[#This Row],[Costprice]])</f>
        <v>155.01059999999995</v>
      </c>
      <c r="R729">
        <f t="shared" si="57"/>
        <v>2022</v>
      </c>
      <c r="S729">
        <f t="shared" si="58"/>
        <v>9</v>
      </c>
      <c r="T729" t="str">
        <f t="shared" si="59"/>
        <v>September</v>
      </c>
    </row>
    <row r="730" spans="1:20" x14ac:dyDescent="0.3">
      <c r="A730" s="3">
        <v>44823</v>
      </c>
      <c r="B730">
        <v>107</v>
      </c>
      <c r="C730" s="3">
        <f>_xlfn.XLOOKUP(B730,Stores!A:A,Stores!E:E)</f>
        <v>44702</v>
      </c>
      <c r="D730">
        <v>211</v>
      </c>
      <c r="E730" s="3">
        <f>_xlfn.XLOOKUP(D730,SalesReps!A:A,SalesReps!D:D)</f>
        <v>44757</v>
      </c>
      <c r="F730" s="3" t="str">
        <f>_xlfn.XLOOKUP(Table1[[#This Row],[RepID]],SalesReps!A:A,SalesReps!E:E)</f>
        <v>Active</v>
      </c>
      <c r="G730">
        <v>310</v>
      </c>
      <c r="H730" t="str">
        <f>_xlfn.XLOOKUP(Table1[[#This Row],[ProductID]],Products!A:A,Products!B:B)</f>
        <v>Home &amp; Kitchen</v>
      </c>
      <c r="I730" t="str">
        <f>_xlfn.XLOOKUP(Table1[[#This Row],[ProductID]],Products!A:A,Products!C:C)</f>
        <v>Furniture</v>
      </c>
      <c r="J730">
        <v>2</v>
      </c>
      <c r="K730" s="5">
        <f>_xlfn.XLOOKUP(Table1[[#This Row],[ProductID]],Products!A:A,Products!E:E)</f>
        <v>160.31</v>
      </c>
      <c r="L730" s="5">
        <v>169.45</v>
      </c>
      <c r="M730" s="6">
        <v>0.25</v>
      </c>
      <c r="N730" t="s">
        <v>8</v>
      </c>
      <c r="O730" s="5">
        <f t="shared" si="55"/>
        <v>127.08749999999999</v>
      </c>
      <c r="P730" s="5">
        <f t="shared" si="56"/>
        <v>254.17499999999998</v>
      </c>
      <c r="Q730" s="5">
        <f>Table1[[#This Row],[Quantity]]*(Table1[[#This Row],[Saleprice]]-Table1[[#This Row],[Costprice]])</f>
        <v>-66.445000000000022</v>
      </c>
      <c r="R730">
        <f t="shared" si="57"/>
        <v>2022</v>
      </c>
      <c r="S730">
        <f t="shared" si="58"/>
        <v>9</v>
      </c>
      <c r="T730" t="str">
        <f t="shared" si="59"/>
        <v>September</v>
      </c>
    </row>
    <row r="731" spans="1:20" x14ac:dyDescent="0.3">
      <c r="A731" s="3">
        <v>44825</v>
      </c>
      <c r="B731">
        <v>104</v>
      </c>
      <c r="C731" s="3">
        <f>_xlfn.XLOOKUP(B731,Stores!A:A,Stores!E:E)</f>
        <v>44297</v>
      </c>
      <c r="D731">
        <v>220</v>
      </c>
      <c r="E731" s="3">
        <f>_xlfn.XLOOKUP(D731,SalesReps!A:A,SalesReps!D:D)</f>
        <v>44759</v>
      </c>
      <c r="F731" s="3" t="str">
        <f>_xlfn.XLOOKUP(Table1[[#This Row],[RepID]],SalesReps!A:A,SalesReps!E:E)</f>
        <v>Active</v>
      </c>
      <c r="G731">
        <v>304</v>
      </c>
      <c r="H731" t="str">
        <f>_xlfn.XLOOKUP(Table1[[#This Row],[ProductID]],Products!A:A,Products!B:B)</f>
        <v>Home &amp; Kitchen</v>
      </c>
      <c r="I731" t="str">
        <f>_xlfn.XLOOKUP(Table1[[#This Row],[ProductID]],Products!A:A,Products!C:C)</f>
        <v>Furniture</v>
      </c>
      <c r="J731">
        <v>4</v>
      </c>
      <c r="K731" s="5">
        <f>_xlfn.XLOOKUP(Table1[[#This Row],[ProductID]],Products!A:A,Products!E:E)</f>
        <v>345.38</v>
      </c>
      <c r="L731" s="5">
        <v>409.69</v>
      </c>
      <c r="M731" s="6">
        <v>0.11</v>
      </c>
      <c r="N731" t="s">
        <v>10</v>
      </c>
      <c r="O731" s="5">
        <f t="shared" si="55"/>
        <v>364.6241</v>
      </c>
      <c r="P731" s="5">
        <f t="shared" si="56"/>
        <v>1458.4964</v>
      </c>
      <c r="Q731" s="5">
        <f>Table1[[#This Row],[Quantity]]*(Table1[[#This Row],[Saleprice]]-Table1[[#This Row],[Costprice]])</f>
        <v>76.976400000000012</v>
      </c>
      <c r="R731">
        <f t="shared" si="57"/>
        <v>2022</v>
      </c>
      <c r="S731">
        <f t="shared" si="58"/>
        <v>9</v>
      </c>
      <c r="T731" t="str">
        <f t="shared" si="59"/>
        <v>September</v>
      </c>
    </row>
    <row r="732" spans="1:20" x14ac:dyDescent="0.3">
      <c r="A732" s="3">
        <v>44827</v>
      </c>
      <c r="B732">
        <v>107</v>
      </c>
      <c r="C732" s="3">
        <f>_xlfn.XLOOKUP(B732,Stores!A:A,Stores!E:E)</f>
        <v>44702</v>
      </c>
      <c r="D732">
        <v>211</v>
      </c>
      <c r="E732" s="3">
        <f>_xlfn.XLOOKUP(D732,SalesReps!A:A,SalesReps!D:D)</f>
        <v>44757</v>
      </c>
      <c r="F732" s="3" t="str">
        <f>_xlfn.XLOOKUP(Table1[[#This Row],[RepID]],SalesReps!A:A,SalesReps!E:E)</f>
        <v>Active</v>
      </c>
      <c r="G732">
        <v>303</v>
      </c>
      <c r="H732" t="str">
        <f>_xlfn.XLOOKUP(Table1[[#This Row],[ProductID]],Products!A:A,Products!B:B)</f>
        <v>Home &amp; Kitchen</v>
      </c>
      <c r="I732" t="str">
        <f>_xlfn.XLOOKUP(Table1[[#This Row],[ProductID]],Products!A:A,Products!C:C)</f>
        <v>Furniture</v>
      </c>
      <c r="J732">
        <v>5</v>
      </c>
      <c r="K732" s="5">
        <f>_xlfn.XLOOKUP(Table1[[#This Row],[ProductID]],Products!A:A,Products!E:E)</f>
        <v>192.04</v>
      </c>
      <c r="L732" s="5">
        <v>238.78</v>
      </c>
      <c r="M732" s="6">
        <v>0.09</v>
      </c>
      <c r="N732" t="s">
        <v>8</v>
      </c>
      <c r="O732" s="5">
        <f t="shared" si="55"/>
        <v>217.28980000000001</v>
      </c>
      <c r="P732" s="5">
        <f t="shared" si="56"/>
        <v>1086.4490000000001</v>
      </c>
      <c r="Q732" s="5">
        <f>Table1[[#This Row],[Quantity]]*(Table1[[#This Row],[Saleprice]]-Table1[[#This Row],[Costprice]])</f>
        <v>126.24900000000011</v>
      </c>
      <c r="R732">
        <f t="shared" si="57"/>
        <v>2022</v>
      </c>
      <c r="S732">
        <f t="shared" si="58"/>
        <v>9</v>
      </c>
      <c r="T732" t="str">
        <f t="shared" si="59"/>
        <v>September</v>
      </c>
    </row>
    <row r="733" spans="1:20" x14ac:dyDescent="0.3">
      <c r="A733" s="3">
        <v>44828</v>
      </c>
      <c r="B733">
        <v>107</v>
      </c>
      <c r="C733" s="3">
        <f>_xlfn.XLOOKUP(B733,Stores!A:A,Stores!E:E)</f>
        <v>44702</v>
      </c>
      <c r="D733">
        <v>211</v>
      </c>
      <c r="E733" s="3">
        <f>_xlfn.XLOOKUP(D733,SalesReps!A:A,SalesReps!D:D)</f>
        <v>44757</v>
      </c>
      <c r="F733" s="3" t="str">
        <f>_xlfn.XLOOKUP(Table1[[#This Row],[RepID]],SalesReps!A:A,SalesReps!E:E)</f>
        <v>Active</v>
      </c>
      <c r="G733">
        <v>311</v>
      </c>
      <c r="H733" t="str">
        <f>_xlfn.XLOOKUP(Table1[[#This Row],[ProductID]],Products!A:A,Products!B:B)</f>
        <v>Home &amp; Kitchen</v>
      </c>
      <c r="I733" t="str">
        <f>_xlfn.XLOOKUP(Table1[[#This Row],[ProductID]],Products!A:A,Products!C:C)</f>
        <v>Furniture</v>
      </c>
      <c r="J733">
        <v>6</v>
      </c>
      <c r="K733" s="5">
        <f>_xlfn.XLOOKUP(Table1[[#This Row],[ProductID]],Products!A:A,Products!E:E)</f>
        <v>16.23</v>
      </c>
      <c r="L733" s="5">
        <v>27.92</v>
      </c>
      <c r="M733" s="6">
        <v>0.09</v>
      </c>
      <c r="N733" t="s">
        <v>8</v>
      </c>
      <c r="O733" s="5">
        <f t="shared" si="55"/>
        <v>25.407200000000003</v>
      </c>
      <c r="P733" s="5">
        <f t="shared" si="56"/>
        <v>152.44320000000002</v>
      </c>
      <c r="Q733" s="5">
        <f>Table1[[#This Row],[Quantity]]*(Table1[[#This Row],[Saleprice]]-Table1[[#This Row],[Costprice]])</f>
        <v>55.063200000000016</v>
      </c>
      <c r="R733">
        <f t="shared" si="57"/>
        <v>2022</v>
      </c>
      <c r="S733">
        <f t="shared" si="58"/>
        <v>9</v>
      </c>
      <c r="T733" t="str">
        <f t="shared" si="59"/>
        <v>September</v>
      </c>
    </row>
    <row r="734" spans="1:20" x14ac:dyDescent="0.3">
      <c r="A734" s="3">
        <v>44829</v>
      </c>
      <c r="B734">
        <v>107</v>
      </c>
      <c r="C734" s="3">
        <f>_xlfn.XLOOKUP(B734,Stores!A:A,Stores!E:E)</f>
        <v>44702</v>
      </c>
      <c r="D734">
        <v>211</v>
      </c>
      <c r="E734" s="3">
        <f>_xlfn.XLOOKUP(D734,SalesReps!A:A,SalesReps!D:D)</f>
        <v>44757</v>
      </c>
      <c r="F734" s="3" t="str">
        <f>_xlfn.XLOOKUP(Table1[[#This Row],[RepID]],SalesReps!A:A,SalesReps!E:E)</f>
        <v>Active</v>
      </c>
      <c r="G734">
        <v>308</v>
      </c>
      <c r="H734" t="str">
        <f>_xlfn.XLOOKUP(Table1[[#This Row],[ProductID]],Products!A:A,Products!B:B)</f>
        <v>Home &amp; Kitchen</v>
      </c>
      <c r="I734" t="str">
        <f>_xlfn.XLOOKUP(Table1[[#This Row],[ProductID]],Products!A:A,Products!C:C)</f>
        <v>Furniture</v>
      </c>
      <c r="J734">
        <v>7</v>
      </c>
      <c r="K734" s="5">
        <f>_xlfn.XLOOKUP(Table1[[#This Row],[ProductID]],Products!A:A,Products!E:E)</f>
        <v>377.46</v>
      </c>
      <c r="L734" s="5">
        <v>420.89</v>
      </c>
      <c r="M734" s="6">
        <v>0.23</v>
      </c>
      <c r="N734" t="s">
        <v>8</v>
      </c>
      <c r="O734" s="5">
        <f t="shared" si="55"/>
        <v>324.08530000000002</v>
      </c>
      <c r="P734" s="5">
        <f t="shared" si="56"/>
        <v>2268.5971</v>
      </c>
      <c r="Q734" s="5">
        <f>Table1[[#This Row],[Quantity]]*(Table1[[#This Row],[Saleprice]]-Table1[[#This Row],[Costprice]])</f>
        <v>-373.62289999999973</v>
      </c>
      <c r="R734">
        <f t="shared" si="57"/>
        <v>2022</v>
      </c>
      <c r="S734">
        <f t="shared" si="58"/>
        <v>9</v>
      </c>
      <c r="T734" t="str">
        <f t="shared" si="59"/>
        <v>September</v>
      </c>
    </row>
    <row r="735" spans="1:20" x14ac:dyDescent="0.3">
      <c r="A735" s="3">
        <v>44831</v>
      </c>
      <c r="B735">
        <v>107</v>
      </c>
      <c r="C735" s="3">
        <f>_xlfn.XLOOKUP(B735,Stores!A:A,Stores!E:E)</f>
        <v>44702</v>
      </c>
      <c r="D735">
        <v>211</v>
      </c>
      <c r="E735" s="3">
        <f>_xlfn.XLOOKUP(D735,SalesReps!A:A,SalesReps!D:D)</f>
        <v>44757</v>
      </c>
      <c r="F735" s="3" t="str">
        <f>_xlfn.XLOOKUP(Table1[[#This Row],[RepID]],SalesReps!A:A,SalesReps!E:E)</f>
        <v>Active</v>
      </c>
      <c r="G735">
        <v>308</v>
      </c>
      <c r="H735" t="str">
        <f>_xlfn.XLOOKUP(Table1[[#This Row],[ProductID]],Products!A:A,Products!B:B)</f>
        <v>Home &amp; Kitchen</v>
      </c>
      <c r="I735" t="str">
        <f>_xlfn.XLOOKUP(Table1[[#This Row],[ProductID]],Products!A:A,Products!C:C)</f>
        <v>Furniture</v>
      </c>
      <c r="J735">
        <v>9</v>
      </c>
      <c r="K735" s="5">
        <f>_xlfn.XLOOKUP(Table1[[#This Row],[ProductID]],Products!A:A,Products!E:E)</f>
        <v>377.46</v>
      </c>
      <c r="L735" s="5">
        <v>420.89</v>
      </c>
      <c r="M735" s="6">
        <v>0.23</v>
      </c>
      <c r="N735" t="s">
        <v>8</v>
      </c>
      <c r="O735" s="5">
        <f t="shared" si="55"/>
        <v>324.08530000000002</v>
      </c>
      <c r="P735" s="5">
        <f t="shared" si="56"/>
        <v>2916.7677000000003</v>
      </c>
      <c r="Q735" s="5">
        <f>Table1[[#This Row],[Quantity]]*(Table1[[#This Row],[Saleprice]]-Table1[[#This Row],[Costprice]])</f>
        <v>-480.37229999999965</v>
      </c>
      <c r="R735">
        <f t="shared" si="57"/>
        <v>2022</v>
      </c>
      <c r="S735">
        <f t="shared" si="58"/>
        <v>9</v>
      </c>
      <c r="T735" t="str">
        <f t="shared" si="59"/>
        <v>September</v>
      </c>
    </row>
    <row r="736" spans="1:20" x14ac:dyDescent="0.3">
      <c r="A736" s="3">
        <v>44832</v>
      </c>
      <c r="B736">
        <v>107</v>
      </c>
      <c r="C736" s="3">
        <f>_xlfn.XLOOKUP(B736,Stores!A:A,Stores!E:E)</f>
        <v>44702</v>
      </c>
      <c r="D736">
        <v>211</v>
      </c>
      <c r="E736" s="3">
        <f>_xlfn.XLOOKUP(D736,SalesReps!A:A,SalesReps!D:D)</f>
        <v>44757</v>
      </c>
      <c r="F736" s="3" t="str">
        <f>_xlfn.XLOOKUP(Table1[[#This Row],[RepID]],SalesReps!A:A,SalesReps!E:E)</f>
        <v>Active</v>
      </c>
      <c r="G736">
        <v>316</v>
      </c>
      <c r="H736" t="str">
        <f>_xlfn.XLOOKUP(Table1[[#This Row],[ProductID]],Products!A:A,Products!B:B)</f>
        <v>Home &amp; Kitchen</v>
      </c>
      <c r="I736" t="str">
        <f>_xlfn.XLOOKUP(Table1[[#This Row],[ProductID]],Products!A:A,Products!C:C)</f>
        <v>Furniture</v>
      </c>
      <c r="J736">
        <v>7</v>
      </c>
      <c r="K736" s="5">
        <f>_xlfn.XLOOKUP(Table1[[#This Row],[ProductID]],Products!A:A,Products!E:E)</f>
        <v>334.95</v>
      </c>
      <c r="L736" s="5">
        <v>416.04</v>
      </c>
      <c r="M736" s="6">
        <v>0.19</v>
      </c>
      <c r="N736" t="s">
        <v>8</v>
      </c>
      <c r="O736" s="5">
        <f t="shared" si="55"/>
        <v>336.99240000000003</v>
      </c>
      <c r="P736" s="5">
        <f t="shared" si="56"/>
        <v>2358.9468000000002</v>
      </c>
      <c r="Q736" s="5">
        <f>Table1[[#This Row],[Quantity]]*(Table1[[#This Row],[Saleprice]]-Table1[[#This Row],[Costprice]])</f>
        <v>14.296800000000303</v>
      </c>
      <c r="R736">
        <f t="shared" si="57"/>
        <v>2022</v>
      </c>
      <c r="S736">
        <f t="shared" si="58"/>
        <v>9</v>
      </c>
      <c r="T736" t="str">
        <f t="shared" si="59"/>
        <v>September</v>
      </c>
    </row>
    <row r="737" spans="1:20" x14ac:dyDescent="0.3">
      <c r="A737" s="3">
        <v>44833</v>
      </c>
      <c r="B737">
        <v>107</v>
      </c>
      <c r="C737" s="3">
        <f>_xlfn.XLOOKUP(B737,Stores!A:A,Stores!E:E)</f>
        <v>44702</v>
      </c>
      <c r="D737">
        <v>211</v>
      </c>
      <c r="E737" s="3">
        <f>_xlfn.XLOOKUP(D737,SalesReps!A:A,SalesReps!D:D)</f>
        <v>44757</v>
      </c>
      <c r="F737" s="3" t="str">
        <f>_xlfn.XLOOKUP(Table1[[#This Row],[RepID]],SalesReps!A:A,SalesReps!E:E)</f>
        <v>Active</v>
      </c>
      <c r="G737">
        <v>317</v>
      </c>
      <c r="H737" t="str">
        <f>_xlfn.XLOOKUP(Table1[[#This Row],[ProductID]],Products!A:A,Products!B:B)</f>
        <v>Toys</v>
      </c>
      <c r="I737" t="str">
        <f>_xlfn.XLOOKUP(Table1[[#This Row],[ProductID]],Products!A:A,Products!C:C)</f>
        <v>Educational</v>
      </c>
      <c r="J737">
        <v>7</v>
      </c>
      <c r="K737" s="5">
        <f>_xlfn.XLOOKUP(Table1[[#This Row],[ProductID]],Products!A:A,Products!E:E)</f>
        <v>77.61</v>
      </c>
      <c r="L737" s="5">
        <v>107.38</v>
      </c>
      <c r="M737" s="6">
        <v>0.15</v>
      </c>
      <c r="N737" t="s">
        <v>8</v>
      </c>
      <c r="O737" s="5">
        <f t="shared" si="55"/>
        <v>91.272999999999996</v>
      </c>
      <c r="P737" s="5">
        <f t="shared" si="56"/>
        <v>638.91099999999994</v>
      </c>
      <c r="Q737" s="5">
        <f>Table1[[#This Row],[Quantity]]*(Table1[[#This Row],[Saleprice]]-Table1[[#This Row],[Costprice]])</f>
        <v>95.640999999999977</v>
      </c>
      <c r="R737">
        <f t="shared" si="57"/>
        <v>2022</v>
      </c>
      <c r="S737">
        <f t="shared" si="58"/>
        <v>9</v>
      </c>
      <c r="T737" t="str">
        <f t="shared" si="59"/>
        <v>September</v>
      </c>
    </row>
    <row r="738" spans="1:20" x14ac:dyDescent="0.3">
      <c r="A738" s="3">
        <v>44835</v>
      </c>
      <c r="B738">
        <v>104</v>
      </c>
      <c r="C738" s="3">
        <f>_xlfn.XLOOKUP(B738,Stores!A:A,Stores!E:E)</f>
        <v>44297</v>
      </c>
      <c r="D738">
        <v>220</v>
      </c>
      <c r="E738" s="3">
        <f>_xlfn.XLOOKUP(D738,SalesReps!A:A,SalesReps!D:D)</f>
        <v>44759</v>
      </c>
      <c r="F738" s="3" t="str">
        <f>_xlfn.XLOOKUP(Table1[[#This Row],[RepID]],SalesReps!A:A,SalesReps!E:E)</f>
        <v>Active</v>
      </c>
      <c r="G738">
        <v>306</v>
      </c>
      <c r="H738" t="str">
        <f>_xlfn.XLOOKUP(Table1[[#This Row],[ProductID]],Products!A:A,Products!B:B)</f>
        <v>Clothing</v>
      </c>
      <c r="I738" t="str">
        <f>_xlfn.XLOOKUP(Table1[[#This Row],[ProductID]],Products!A:A,Products!C:C)</f>
        <v>Men</v>
      </c>
      <c r="J738">
        <v>1</v>
      </c>
      <c r="K738" s="5">
        <f>_xlfn.XLOOKUP(Table1[[#This Row],[ProductID]],Products!A:A,Products!E:E)</f>
        <v>185.69</v>
      </c>
      <c r="L738" s="5">
        <v>241.13</v>
      </c>
      <c r="M738" s="6">
        <v>0.14000000000000001</v>
      </c>
      <c r="N738" t="s">
        <v>10</v>
      </c>
      <c r="O738" s="5">
        <f t="shared" si="55"/>
        <v>207.37179999999998</v>
      </c>
      <c r="P738" s="5">
        <f t="shared" si="56"/>
        <v>207.37179999999998</v>
      </c>
      <c r="Q738" s="5">
        <f>Table1[[#This Row],[Quantity]]*(Table1[[#This Row],[Saleprice]]-Table1[[#This Row],[Costprice]])</f>
        <v>21.681799999999981</v>
      </c>
      <c r="R738">
        <f t="shared" si="57"/>
        <v>2022</v>
      </c>
      <c r="S738">
        <f t="shared" si="58"/>
        <v>10</v>
      </c>
      <c r="T738" t="str">
        <f t="shared" si="59"/>
        <v>October</v>
      </c>
    </row>
    <row r="739" spans="1:20" x14ac:dyDescent="0.3">
      <c r="A739" s="3">
        <v>44836</v>
      </c>
      <c r="B739">
        <v>107</v>
      </c>
      <c r="C739" s="3">
        <f>_xlfn.XLOOKUP(B739,Stores!A:A,Stores!E:E)</f>
        <v>44702</v>
      </c>
      <c r="D739">
        <v>211</v>
      </c>
      <c r="E739" s="3">
        <f>_xlfn.XLOOKUP(D739,SalesReps!A:A,SalesReps!D:D)</f>
        <v>44757</v>
      </c>
      <c r="F739" s="3" t="str">
        <f>_xlfn.XLOOKUP(Table1[[#This Row],[RepID]],SalesReps!A:A,SalesReps!E:E)</f>
        <v>Active</v>
      </c>
      <c r="G739">
        <v>310</v>
      </c>
      <c r="H739" t="str">
        <f>_xlfn.XLOOKUP(Table1[[#This Row],[ProductID]],Products!A:A,Products!B:B)</f>
        <v>Home &amp; Kitchen</v>
      </c>
      <c r="I739" t="str">
        <f>_xlfn.XLOOKUP(Table1[[#This Row],[ProductID]],Products!A:A,Products!C:C)</f>
        <v>Furniture</v>
      </c>
      <c r="J739">
        <v>8</v>
      </c>
      <c r="K739" s="5">
        <f>_xlfn.XLOOKUP(Table1[[#This Row],[ProductID]],Products!A:A,Products!E:E)</f>
        <v>160.31</v>
      </c>
      <c r="L739" s="5">
        <v>169.45</v>
      </c>
      <c r="M739" s="6">
        <v>0.25</v>
      </c>
      <c r="N739" t="s">
        <v>8</v>
      </c>
      <c r="O739" s="5">
        <f t="shared" si="55"/>
        <v>127.08749999999999</v>
      </c>
      <c r="P739" s="5">
        <f t="shared" si="56"/>
        <v>1016.6999999999999</v>
      </c>
      <c r="Q739" s="5">
        <f>Table1[[#This Row],[Quantity]]*(Table1[[#This Row],[Saleprice]]-Table1[[#This Row],[Costprice]])</f>
        <v>-265.78000000000009</v>
      </c>
      <c r="R739">
        <f t="shared" si="57"/>
        <v>2022</v>
      </c>
      <c r="S739">
        <f t="shared" si="58"/>
        <v>10</v>
      </c>
      <c r="T739" t="str">
        <f t="shared" si="59"/>
        <v>October</v>
      </c>
    </row>
    <row r="740" spans="1:20" x14ac:dyDescent="0.3">
      <c r="A740" s="3">
        <v>44839</v>
      </c>
      <c r="B740">
        <v>107</v>
      </c>
      <c r="C740" s="3">
        <f>_xlfn.XLOOKUP(B740,Stores!A:A,Stores!E:E)</f>
        <v>44702</v>
      </c>
      <c r="D740">
        <v>211</v>
      </c>
      <c r="E740" s="3">
        <f>_xlfn.XLOOKUP(D740,SalesReps!A:A,SalesReps!D:D)</f>
        <v>44757</v>
      </c>
      <c r="F740" s="3" t="str">
        <f>_xlfn.XLOOKUP(Table1[[#This Row],[RepID]],SalesReps!A:A,SalesReps!E:E)</f>
        <v>Active</v>
      </c>
      <c r="G740">
        <v>310</v>
      </c>
      <c r="H740" t="str">
        <f>_xlfn.XLOOKUP(Table1[[#This Row],[ProductID]],Products!A:A,Products!B:B)</f>
        <v>Home &amp; Kitchen</v>
      </c>
      <c r="I740" t="str">
        <f>_xlfn.XLOOKUP(Table1[[#This Row],[ProductID]],Products!A:A,Products!C:C)</f>
        <v>Furniture</v>
      </c>
      <c r="J740">
        <v>6</v>
      </c>
      <c r="K740" s="5">
        <f>_xlfn.XLOOKUP(Table1[[#This Row],[ProductID]],Products!A:A,Products!E:E)</f>
        <v>160.31</v>
      </c>
      <c r="L740" s="5">
        <v>169.45</v>
      </c>
      <c r="M740" s="6">
        <v>0.25</v>
      </c>
      <c r="N740" t="s">
        <v>8</v>
      </c>
      <c r="O740" s="5">
        <f t="shared" si="55"/>
        <v>127.08749999999999</v>
      </c>
      <c r="P740" s="5">
        <f t="shared" si="56"/>
        <v>762.52499999999998</v>
      </c>
      <c r="Q740" s="5">
        <f>Table1[[#This Row],[Quantity]]*(Table1[[#This Row],[Saleprice]]-Table1[[#This Row],[Costprice]])</f>
        <v>-199.33500000000006</v>
      </c>
      <c r="R740">
        <f t="shared" si="57"/>
        <v>2022</v>
      </c>
      <c r="S740">
        <f t="shared" si="58"/>
        <v>10</v>
      </c>
      <c r="T740" t="str">
        <f t="shared" si="59"/>
        <v>October</v>
      </c>
    </row>
    <row r="741" spans="1:20" x14ac:dyDescent="0.3">
      <c r="A741" s="3">
        <v>44840</v>
      </c>
      <c r="B741">
        <v>107</v>
      </c>
      <c r="C741" s="3">
        <f>_xlfn.XLOOKUP(B741,Stores!A:A,Stores!E:E)</f>
        <v>44702</v>
      </c>
      <c r="D741">
        <v>211</v>
      </c>
      <c r="E741" s="3">
        <f>_xlfn.XLOOKUP(D741,SalesReps!A:A,SalesReps!D:D)</f>
        <v>44757</v>
      </c>
      <c r="F741" s="3" t="str">
        <f>_xlfn.XLOOKUP(Table1[[#This Row],[RepID]],SalesReps!A:A,SalesReps!E:E)</f>
        <v>Active</v>
      </c>
      <c r="G741">
        <v>305</v>
      </c>
      <c r="H741" t="str">
        <f>_xlfn.XLOOKUP(Table1[[#This Row],[ProductID]],Products!A:A,Products!B:B)</f>
        <v>Electronics</v>
      </c>
      <c r="I741" t="str">
        <f>_xlfn.XLOOKUP(Table1[[#This Row],[ProductID]],Products!A:A,Products!C:C)</f>
        <v>Accessories</v>
      </c>
      <c r="J741">
        <v>3</v>
      </c>
      <c r="K741" s="5">
        <f>_xlfn.XLOOKUP(Table1[[#This Row],[ProductID]],Products!A:A,Products!E:E)</f>
        <v>275.32</v>
      </c>
      <c r="L741" s="5">
        <v>286.48</v>
      </c>
      <c r="M741" s="6">
        <v>0.1</v>
      </c>
      <c r="N741" t="s">
        <v>8</v>
      </c>
      <c r="O741" s="5">
        <f t="shared" si="55"/>
        <v>257.83200000000005</v>
      </c>
      <c r="P741" s="5">
        <f t="shared" si="56"/>
        <v>773.49600000000009</v>
      </c>
      <c r="Q741" s="5">
        <f>Table1[[#This Row],[Quantity]]*(Table1[[#This Row],[Saleprice]]-Table1[[#This Row],[Costprice]])</f>
        <v>-52.463999999999828</v>
      </c>
      <c r="R741">
        <f t="shared" si="57"/>
        <v>2022</v>
      </c>
      <c r="S741">
        <f t="shared" si="58"/>
        <v>10</v>
      </c>
      <c r="T741" t="str">
        <f t="shared" si="59"/>
        <v>October</v>
      </c>
    </row>
    <row r="742" spans="1:20" x14ac:dyDescent="0.3">
      <c r="A742" s="3">
        <v>44841</v>
      </c>
      <c r="B742">
        <v>104</v>
      </c>
      <c r="C742" s="3">
        <f>_xlfn.XLOOKUP(B742,Stores!A:A,Stores!E:E)</f>
        <v>44297</v>
      </c>
      <c r="D742">
        <v>220</v>
      </c>
      <c r="E742" s="3">
        <f>_xlfn.XLOOKUP(D742,SalesReps!A:A,SalesReps!D:D)</f>
        <v>44759</v>
      </c>
      <c r="F742" s="3" t="str">
        <f>_xlfn.XLOOKUP(Table1[[#This Row],[RepID]],SalesReps!A:A,SalesReps!E:E)</f>
        <v>Active</v>
      </c>
      <c r="G742">
        <v>301</v>
      </c>
      <c r="H742" t="str">
        <f>_xlfn.XLOOKUP(Table1[[#This Row],[ProductID]],Products!A:A,Products!B:B)</f>
        <v>Electronics</v>
      </c>
      <c r="I742" t="str">
        <f>_xlfn.XLOOKUP(Table1[[#This Row],[ProductID]],Products!A:A,Products!C:C)</f>
        <v>Mobiles</v>
      </c>
      <c r="J742">
        <v>6</v>
      </c>
      <c r="K742" s="5">
        <f>_xlfn.XLOOKUP(Table1[[#This Row],[ProductID]],Products!A:A,Products!E:E)</f>
        <v>159.16</v>
      </c>
      <c r="L742" s="5">
        <v>201.7</v>
      </c>
      <c r="M742" s="6">
        <v>0.24</v>
      </c>
      <c r="N742" t="s">
        <v>10</v>
      </c>
      <c r="O742" s="5">
        <f t="shared" si="55"/>
        <v>153.292</v>
      </c>
      <c r="P742" s="5">
        <f t="shared" si="56"/>
        <v>919.75199999999995</v>
      </c>
      <c r="Q742" s="5">
        <f>Table1[[#This Row],[Quantity]]*(Table1[[#This Row],[Saleprice]]-Table1[[#This Row],[Costprice]])</f>
        <v>-35.20799999999997</v>
      </c>
      <c r="R742">
        <f t="shared" si="57"/>
        <v>2022</v>
      </c>
      <c r="S742">
        <f t="shared" si="58"/>
        <v>10</v>
      </c>
      <c r="T742" t="str">
        <f t="shared" si="59"/>
        <v>October</v>
      </c>
    </row>
    <row r="743" spans="1:20" x14ac:dyDescent="0.3">
      <c r="A743" s="3">
        <v>44841</v>
      </c>
      <c r="B743">
        <v>107</v>
      </c>
      <c r="C743" s="3">
        <f>_xlfn.XLOOKUP(B743,Stores!A:A,Stores!E:E)</f>
        <v>44702</v>
      </c>
      <c r="D743">
        <v>211</v>
      </c>
      <c r="E743" s="3">
        <f>_xlfn.XLOOKUP(D743,SalesReps!A:A,SalesReps!D:D)</f>
        <v>44757</v>
      </c>
      <c r="F743" s="3" t="str">
        <f>_xlfn.XLOOKUP(Table1[[#This Row],[RepID]],SalesReps!A:A,SalesReps!E:E)</f>
        <v>Active</v>
      </c>
      <c r="G743">
        <v>314</v>
      </c>
      <c r="H743" t="str">
        <f>_xlfn.XLOOKUP(Table1[[#This Row],[ProductID]],Products!A:A,Products!B:B)</f>
        <v>Clothing</v>
      </c>
      <c r="I743" t="str">
        <f>_xlfn.XLOOKUP(Table1[[#This Row],[ProductID]],Products!A:A,Products!C:C)</f>
        <v>Kids</v>
      </c>
      <c r="J743">
        <v>6</v>
      </c>
      <c r="K743" s="5">
        <f>_xlfn.XLOOKUP(Table1[[#This Row],[ProductID]],Products!A:A,Products!E:E)</f>
        <v>276.47000000000003</v>
      </c>
      <c r="L743" s="5">
        <v>323.49</v>
      </c>
      <c r="M743" s="6">
        <v>0.1</v>
      </c>
      <c r="N743" t="s">
        <v>8</v>
      </c>
      <c r="O743" s="5">
        <f t="shared" si="55"/>
        <v>291.14100000000002</v>
      </c>
      <c r="P743" s="5">
        <f t="shared" si="56"/>
        <v>1746.846</v>
      </c>
      <c r="Q743" s="5">
        <f>Table1[[#This Row],[Quantity]]*(Table1[[#This Row],[Saleprice]]-Table1[[#This Row],[Costprice]])</f>
        <v>88.025999999999954</v>
      </c>
      <c r="R743">
        <f t="shared" si="57"/>
        <v>2022</v>
      </c>
      <c r="S743">
        <f t="shared" si="58"/>
        <v>10</v>
      </c>
      <c r="T743" t="str">
        <f t="shared" si="59"/>
        <v>October</v>
      </c>
    </row>
    <row r="744" spans="1:20" x14ac:dyDescent="0.3">
      <c r="A744" s="3">
        <v>44841</v>
      </c>
      <c r="B744">
        <v>107</v>
      </c>
      <c r="C744" s="3">
        <f>_xlfn.XLOOKUP(B744,Stores!A:A,Stores!E:E)</f>
        <v>44702</v>
      </c>
      <c r="D744">
        <v>211</v>
      </c>
      <c r="E744" s="3">
        <f>_xlfn.XLOOKUP(D744,SalesReps!A:A,SalesReps!D:D)</f>
        <v>44757</v>
      </c>
      <c r="F744" s="3" t="str">
        <f>_xlfn.XLOOKUP(Table1[[#This Row],[RepID]],SalesReps!A:A,SalesReps!E:E)</f>
        <v>Active</v>
      </c>
      <c r="G744">
        <v>315</v>
      </c>
      <c r="H744" t="str">
        <f>_xlfn.XLOOKUP(Table1[[#This Row],[ProductID]],Products!A:A,Products!B:B)</f>
        <v>Toys</v>
      </c>
      <c r="I744" t="str">
        <f>_xlfn.XLOOKUP(Table1[[#This Row],[ProductID]],Products!A:A,Products!C:C)</f>
        <v>Board Games</v>
      </c>
      <c r="J744">
        <v>3</v>
      </c>
      <c r="K744" s="5">
        <f>_xlfn.XLOOKUP(Table1[[#This Row],[ProductID]],Products!A:A,Products!E:E)</f>
        <v>247.9</v>
      </c>
      <c r="L744" s="5">
        <v>254.53</v>
      </c>
      <c r="M744" s="6">
        <v>0.2</v>
      </c>
      <c r="N744" t="s">
        <v>8</v>
      </c>
      <c r="O744" s="5">
        <f t="shared" si="55"/>
        <v>203.62400000000002</v>
      </c>
      <c r="P744" s="5">
        <f t="shared" si="56"/>
        <v>610.87200000000007</v>
      </c>
      <c r="Q744" s="5">
        <f>Table1[[#This Row],[Quantity]]*(Table1[[#This Row],[Saleprice]]-Table1[[#This Row],[Costprice]])</f>
        <v>-132.82799999999995</v>
      </c>
      <c r="R744">
        <f t="shared" si="57"/>
        <v>2022</v>
      </c>
      <c r="S744">
        <f t="shared" si="58"/>
        <v>10</v>
      </c>
      <c r="T744" t="str">
        <f t="shared" si="59"/>
        <v>October</v>
      </c>
    </row>
    <row r="745" spans="1:20" x14ac:dyDescent="0.3">
      <c r="A745" s="3">
        <v>44842</v>
      </c>
      <c r="B745">
        <v>107</v>
      </c>
      <c r="C745" s="3">
        <f>_xlfn.XLOOKUP(B745,Stores!A:A,Stores!E:E)</f>
        <v>44702</v>
      </c>
      <c r="D745">
        <v>211</v>
      </c>
      <c r="E745" s="3">
        <f>_xlfn.XLOOKUP(D745,SalesReps!A:A,SalesReps!D:D)</f>
        <v>44757</v>
      </c>
      <c r="F745" s="3" t="str">
        <f>_xlfn.XLOOKUP(Table1[[#This Row],[RepID]],SalesReps!A:A,SalesReps!E:E)</f>
        <v>Active</v>
      </c>
      <c r="G745">
        <v>303</v>
      </c>
      <c r="H745" t="str">
        <f>_xlfn.XLOOKUP(Table1[[#This Row],[ProductID]],Products!A:A,Products!B:B)</f>
        <v>Home &amp; Kitchen</v>
      </c>
      <c r="I745" t="str">
        <f>_xlfn.XLOOKUP(Table1[[#This Row],[ProductID]],Products!A:A,Products!C:C)</f>
        <v>Furniture</v>
      </c>
      <c r="J745">
        <v>4</v>
      </c>
      <c r="K745" s="5">
        <f>_xlfn.XLOOKUP(Table1[[#This Row],[ProductID]],Products!A:A,Products!E:E)</f>
        <v>192.04</v>
      </c>
      <c r="L745" s="5">
        <v>238.78</v>
      </c>
      <c r="M745" s="6">
        <v>0.09</v>
      </c>
      <c r="N745" t="s">
        <v>8</v>
      </c>
      <c r="O745" s="5">
        <f t="shared" si="55"/>
        <v>217.28980000000001</v>
      </c>
      <c r="P745" s="5">
        <f t="shared" si="56"/>
        <v>869.15920000000006</v>
      </c>
      <c r="Q745" s="5">
        <f>Table1[[#This Row],[Quantity]]*(Table1[[#This Row],[Saleprice]]-Table1[[#This Row],[Costprice]])</f>
        <v>100.99920000000009</v>
      </c>
      <c r="R745">
        <f t="shared" si="57"/>
        <v>2022</v>
      </c>
      <c r="S745">
        <f t="shared" si="58"/>
        <v>10</v>
      </c>
      <c r="T745" t="str">
        <f t="shared" si="59"/>
        <v>October</v>
      </c>
    </row>
    <row r="746" spans="1:20" x14ac:dyDescent="0.3">
      <c r="A746" s="3">
        <v>44844</v>
      </c>
      <c r="B746">
        <v>107</v>
      </c>
      <c r="C746" s="3">
        <f>_xlfn.XLOOKUP(B746,Stores!A:A,Stores!E:E)</f>
        <v>44702</v>
      </c>
      <c r="D746">
        <v>211</v>
      </c>
      <c r="E746" s="3">
        <f>_xlfn.XLOOKUP(D746,SalesReps!A:A,SalesReps!D:D)</f>
        <v>44757</v>
      </c>
      <c r="F746" s="3" t="str">
        <f>_xlfn.XLOOKUP(Table1[[#This Row],[RepID]],SalesReps!A:A,SalesReps!E:E)</f>
        <v>Active</v>
      </c>
      <c r="G746">
        <v>304</v>
      </c>
      <c r="H746" t="str">
        <f>_xlfn.XLOOKUP(Table1[[#This Row],[ProductID]],Products!A:A,Products!B:B)</f>
        <v>Home &amp; Kitchen</v>
      </c>
      <c r="I746" t="str">
        <f>_xlfn.XLOOKUP(Table1[[#This Row],[ProductID]],Products!A:A,Products!C:C)</f>
        <v>Furniture</v>
      </c>
      <c r="J746">
        <v>8</v>
      </c>
      <c r="K746" s="5">
        <f>_xlfn.XLOOKUP(Table1[[#This Row],[ProductID]],Products!A:A,Products!E:E)</f>
        <v>345.38</v>
      </c>
      <c r="L746" s="5">
        <v>434.29</v>
      </c>
      <c r="M746" s="6">
        <v>0.11</v>
      </c>
      <c r="N746" t="s">
        <v>8</v>
      </c>
      <c r="O746" s="5">
        <f t="shared" si="55"/>
        <v>386.5181</v>
      </c>
      <c r="P746" s="5">
        <f t="shared" si="56"/>
        <v>3092.1448</v>
      </c>
      <c r="Q746" s="5">
        <f>Table1[[#This Row],[Quantity]]*(Table1[[#This Row],[Saleprice]]-Table1[[#This Row],[Costprice]])</f>
        <v>329.10480000000007</v>
      </c>
      <c r="R746">
        <f t="shared" si="57"/>
        <v>2022</v>
      </c>
      <c r="S746">
        <f t="shared" si="58"/>
        <v>10</v>
      </c>
      <c r="T746" t="str">
        <f t="shared" si="59"/>
        <v>October</v>
      </c>
    </row>
    <row r="747" spans="1:20" x14ac:dyDescent="0.3">
      <c r="A747" s="3">
        <v>44846</v>
      </c>
      <c r="B747">
        <v>104</v>
      </c>
      <c r="C747" s="3">
        <f>_xlfn.XLOOKUP(B747,Stores!A:A,Stores!E:E)</f>
        <v>44297</v>
      </c>
      <c r="D747">
        <v>220</v>
      </c>
      <c r="E747" s="3">
        <f>_xlfn.XLOOKUP(D747,SalesReps!A:A,SalesReps!D:D)</f>
        <v>44759</v>
      </c>
      <c r="F747" s="3" t="str">
        <f>_xlfn.XLOOKUP(Table1[[#This Row],[RepID]],SalesReps!A:A,SalesReps!E:E)</f>
        <v>Active</v>
      </c>
      <c r="G747">
        <v>311</v>
      </c>
      <c r="H747" t="str">
        <f>_xlfn.XLOOKUP(Table1[[#This Row],[ProductID]],Products!A:A,Products!B:B)</f>
        <v>Home &amp; Kitchen</v>
      </c>
      <c r="I747" t="str">
        <f>_xlfn.XLOOKUP(Table1[[#This Row],[ProductID]],Products!A:A,Products!C:C)</f>
        <v>Furniture</v>
      </c>
      <c r="J747">
        <v>5</v>
      </c>
      <c r="K747" s="5">
        <f>_xlfn.XLOOKUP(Table1[[#This Row],[ProductID]],Products!A:A,Products!E:E)</f>
        <v>16.23</v>
      </c>
      <c r="L747" s="5">
        <v>46.74</v>
      </c>
      <c r="M747" s="6">
        <v>0.15</v>
      </c>
      <c r="N747" t="s">
        <v>10</v>
      </c>
      <c r="O747" s="5">
        <f t="shared" si="55"/>
        <v>39.728999999999999</v>
      </c>
      <c r="P747" s="5">
        <f t="shared" si="56"/>
        <v>198.64499999999998</v>
      </c>
      <c r="Q747" s="5">
        <f>Table1[[#This Row],[Quantity]]*(Table1[[#This Row],[Saleprice]]-Table1[[#This Row],[Costprice]])</f>
        <v>117.49499999999999</v>
      </c>
      <c r="R747">
        <f t="shared" si="57"/>
        <v>2022</v>
      </c>
      <c r="S747">
        <f t="shared" si="58"/>
        <v>10</v>
      </c>
      <c r="T747" t="str">
        <f t="shared" si="59"/>
        <v>October</v>
      </c>
    </row>
    <row r="748" spans="1:20" x14ac:dyDescent="0.3">
      <c r="A748" s="3">
        <v>44879</v>
      </c>
      <c r="B748">
        <v>107</v>
      </c>
      <c r="C748" s="3">
        <f>_xlfn.XLOOKUP(B748,Stores!A:A,Stores!E:E)</f>
        <v>44702</v>
      </c>
      <c r="D748">
        <v>215</v>
      </c>
      <c r="E748" s="3">
        <f>_xlfn.XLOOKUP(D748,SalesReps!A:A,SalesReps!D:D)</f>
        <v>44878</v>
      </c>
      <c r="F748" s="3" t="str">
        <f>_xlfn.XLOOKUP(Table1[[#This Row],[RepID]],SalesReps!A:A,SalesReps!E:E)</f>
        <v>Active</v>
      </c>
      <c r="G748">
        <v>309</v>
      </c>
      <c r="H748" t="str">
        <f>_xlfn.XLOOKUP(Table1[[#This Row],[ProductID]],Products!A:A,Products!B:B)</f>
        <v>Electronics</v>
      </c>
      <c r="I748" t="str">
        <f>_xlfn.XLOOKUP(Table1[[#This Row],[ProductID]],Products!A:A,Products!C:C)</f>
        <v>Laptops</v>
      </c>
      <c r="J748">
        <v>4</v>
      </c>
      <c r="K748" s="5">
        <f>_xlfn.XLOOKUP(Table1[[#This Row],[ProductID]],Products!A:A,Products!E:E)</f>
        <v>229.68</v>
      </c>
      <c r="L748" s="5">
        <v>305.38</v>
      </c>
      <c r="M748" s="6">
        <v>0.19</v>
      </c>
      <c r="N748" t="s">
        <v>8</v>
      </c>
      <c r="O748" s="5">
        <f t="shared" si="55"/>
        <v>247.35780000000003</v>
      </c>
      <c r="P748" s="5">
        <f t="shared" si="56"/>
        <v>989.4312000000001</v>
      </c>
      <c r="Q748" s="5">
        <f>Table1[[#This Row],[Quantity]]*(Table1[[#This Row],[Saleprice]]-Table1[[#This Row],[Costprice]])</f>
        <v>70.711200000000076</v>
      </c>
      <c r="R748">
        <f t="shared" si="57"/>
        <v>2022</v>
      </c>
      <c r="S748">
        <f t="shared" si="58"/>
        <v>11</v>
      </c>
      <c r="T748" t="str">
        <f t="shared" si="59"/>
        <v>November</v>
      </c>
    </row>
    <row r="749" spans="1:20" x14ac:dyDescent="0.3">
      <c r="A749" s="3">
        <v>44879</v>
      </c>
      <c r="B749">
        <v>107</v>
      </c>
      <c r="C749" s="3">
        <f>_xlfn.XLOOKUP(B749,Stores!A:A,Stores!E:E)</f>
        <v>44702</v>
      </c>
      <c r="D749">
        <v>215</v>
      </c>
      <c r="E749" s="3">
        <f>_xlfn.XLOOKUP(D749,SalesReps!A:A,SalesReps!D:D)</f>
        <v>44878</v>
      </c>
      <c r="F749" s="3" t="str">
        <f>_xlfn.XLOOKUP(Table1[[#This Row],[RepID]],SalesReps!A:A,SalesReps!E:E)</f>
        <v>Active</v>
      </c>
      <c r="G749">
        <v>309</v>
      </c>
      <c r="H749" t="str">
        <f>_xlfn.XLOOKUP(Table1[[#This Row],[ProductID]],Products!A:A,Products!B:B)</f>
        <v>Electronics</v>
      </c>
      <c r="I749" t="str">
        <f>_xlfn.XLOOKUP(Table1[[#This Row],[ProductID]],Products!A:A,Products!C:C)</f>
        <v>Laptops</v>
      </c>
      <c r="J749">
        <v>8</v>
      </c>
      <c r="K749" s="5">
        <f>_xlfn.XLOOKUP(Table1[[#This Row],[ProductID]],Products!A:A,Products!E:E)</f>
        <v>229.68</v>
      </c>
      <c r="L749" s="5">
        <v>305.38</v>
      </c>
      <c r="M749" s="6">
        <v>0.19</v>
      </c>
      <c r="N749" t="s">
        <v>8</v>
      </c>
      <c r="O749" s="5">
        <f t="shared" si="55"/>
        <v>247.35780000000003</v>
      </c>
      <c r="P749" s="5">
        <f t="shared" si="56"/>
        <v>1978.8624000000002</v>
      </c>
      <c r="Q749" s="5">
        <f>Table1[[#This Row],[Quantity]]*(Table1[[#This Row],[Saleprice]]-Table1[[#This Row],[Costprice]])</f>
        <v>141.42240000000015</v>
      </c>
      <c r="R749">
        <f t="shared" si="57"/>
        <v>2022</v>
      </c>
      <c r="S749">
        <f t="shared" si="58"/>
        <v>11</v>
      </c>
      <c r="T749" t="str">
        <f t="shared" si="59"/>
        <v>November</v>
      </c>
    </row>
    <row r="750" spans="1:20" x14ac:dyDescent="0.3">
      <c r="A750" s="3">
        <v>44880</v>
      </c>
      <c r="B750">
        <v>107</v>
      </c>
      <c r="C750" s="3">
        <f>_xlfn.XLOOKUP(B750,Stores!A:A,Stores!E:E)</f>
        <v>44702</v>
      </c>
      <c r="D750">
        <v>215</v>
      </c>
      <c r="E750" s="3">
        <f>_xlfn.XLOOKUP(D750,SalesReps!A:A,SalesReps!D:D)</f>
        <v>44878</v>
      </c>
      <c r="F750" s="3" t="str">
        <f>_xlfn.XLOOKUP(Table1[[#This Row],[RepID]],SalesReps!A:A,SalesReps!E:E)</f>
        <v>Active</v>
      </c>
      <c r="G750">
        <v>305</v>
      </c>
      <c r="H750" t="str">
        <f>_xlfn.XLOOKUP(Table1[[#This Row],[ProductID]],Products!A:A,Products!B:B)</f>
        <v>Electronics</v>
      </c>
      <c r="I750" t="str">
        <f>_xlfn.XLOOKUP(Table1[[#This Row],[ProductID]],Products!A:A,Products!C:C)</f>
        <v>Accessories</v>
      </c>
      <c r="J750">
        <v>7</v>
      </c>
      <c r="K750" s="5">
        <f>_xlfn.XLOOKUP(Table1[[#This Row],[ProductID]],Products!A:A,Products!E:E)</f>
        <v>275.32</v>
      </c>
      <c r="L750" s="5">
        <v>286.48</v>
      </c>
      <c r="M750" s="6">
        <v>0.1</v>
      </c>
      <c r="N750" t="s">
        <v>8</v>
      </c>
      <c r="O750" s="5">
        <f t="shared" si="55"/>
        <v>257.83200000000005</v>
      </c>
      <c r="P750" s="5">
        <f t="shared" si="56"/>
        <v>1804.8240000000003</v>
      </c>
      <c r="Q750" s="5">
        <f>Table1[[#This Row],[Quantity]]*(Table1[[#This Row],[Saleprice]]-Table1[[#This Row],[Costprice]])</f>
        <v>-122.4159999999996</v>
      </c>
      <c r="R750">
        <f t="shared" si="57"/>
        <v>2022</v>
      </c>
      <c r="S750">
        <f t="shared" si="58"/>
        <v>11</v>
      </c>
      <c r="T750" t="str">
        <f t="shared" si="59"/>
        <v>November</v>
      </c>
    </row>
    <row r="751" spans="1:20" x14ac:dyDescent="0.3">
      <c r="A751" s="3">
        <v>44881</v>
      </c>
      <c r="B751">
        <v>107</v>
      </c>
      <c r="C751" s="3">
        <f>_xlfn.XLOOKUP(B751,Stores!A:A,Stores!E:E)</f>
        <v>44702</v>
      </c>
      <c r="D751">
        <v>215</v>
      </c>
      <c r="E751" s="3">
        <f>_xlfn.XLOOKUP(D751,SalesReps!A:A,SalesReps!D:D)</f>
        <v>44878</v>
      </c>
      <c r="F751" s="3" t="str">
        <f>_xlfn.XLOOKUP(Table1[[#This Row],[RepID]],SalesReps!A:A,SalesReps!E:E)</f>
        <v>Active</v>
      </c>
      <c r="G751">
        <v>302</v>
      </c>
      <c r="H751" t="str">
        <f>_xlfn.XLOOKUP(Table1[[#This Row],[ProductID]],Products!A:A,Products!B:B)</f>
        <v>Toys</v>
      </c>
      <c r="I751" t="str">
        <f>_xlfn.XLOOKUP(Table1[[#This Row],[ProductID]],Products!A:A,Products!C:C)</f>
        <v>Outdoor</v>
      </c>
      <c r="J751">
        <v>3</v>
      </c>
      <c r="K751" s="5">
        <f>_xlfn.XLOOKUP(Table1[[#This Row],[ProductID]],Products!A:A,Products!E:E)</f>
        <v>393.46</v>
      </c>
      <c r="L751" s="5">
        <v>460.31</v>
      </c>
      <c r="M751" s="6">
        <v>0.23</v>
      </c>
      <c r="N751" t="s">
        <v>8</v>
      </c>
      <c r="O751" s="5">
        <f t="shared" si="55"/>
        <v>354.43869999999998</v>
      </c>
      <c r="P751" s="5">
        <f t="shared" si="56"/>
        <v>1063.3161</v>
      </c>
      <c r="Q751" s="5">
        <f>Table1[[#This Row],[Quantity]]*(Table1[[#This Row],[Saleprice]]-Table1[[#This Row],[Costprice]])</f>
        <v>-117.06389999999999</v>
      </c>
      <c r="R751">
        <f t="shared" si="57"/>
        <v>2022</v>
      </c>
      <c r="S751">
        <f t="shared" si="58"/>
        <v>11</v>
      </c>
      <c r="T751" t="str">
        <f t="shared" si="59"/>
        <v>November</v>
      </c>
    </row>
    <row r="752" spans="1:20" x14ac:dyDescent="0.3">
      <c r="A752" s="3">
        <v>44883</v>
      </c>
      <c r="B752">
        <v>102</v>
      </c>
      <c r="C752" s="3">
        <f>_xlfn.XLOOKUP(B752,Stores!A:A,Stores!E:E)</f>
        <v>44875</v>
      </c>
      <c r="D752">
        <v>219</v>
      </c>
      <c r="E752" s="3">
        <f>_xlfn.XLOOKUP(D752,SalesReps!A:A,SalesReps!D:D)</f>
        <v>44883</v>
      </c>
      <c r="F752" s="3" t="str">
        <f>_xlfn.XLOOKUP(Table1[[#This Row],[RepID]],SalesReps!A:A,SalesReps!E:E)</f>
        <v>Active</v>
      </c>
      <c r="G752">
        <v>306</v>
      </c>
      <c r="H752" t="str">
        <f>_xlfn.XLOOKUP(Table1[[#This Row],[ProductID]],Products!A:A,Products!B:B)</f>
        <v>Clothing</v>
      </c>
      <c r="I752" t="str">
        <f>_xlfn.XLOOKUP(Table1[[#This Row],[ProductID]],Products!A:A,Products!C:C)</f>
        <v>Men</v>
      </c>
      <c r="J752">
        <v>4</v>
      </c>
      <c r="K752" s="5">
        <f>_xlfn.XLOOKUP(Table1[[#This Row],[ProductID]],Products!A:A,Products!E:E)</f>
        <v>185.69</v>
      </c>
      <c r="L752" s="5">
        <v>193.83</v>
      </c>
      <c r="M752" s="6">
        <v>0.12</v>
      </c>
      <c r="N752" t="s">
        <v>8</v>
      </c>
      <c r="O752" s="5">
        <f t="shared" si="55"/>
        <v>170.57040000000001</v>
      </c>
      <c r="P752" s="5">
        <f t="shared" si="56"/>
        <v>682.28160000000003</v>
      </c>
      <c r="Q752" s="5">
        <f>Table1[[#This Row],[Quantity]]*(Table1[[#This Row],[Saleprice]]-Table1[[#This Row],[Costprice]])</f>
        <v>-60.478399999999965</v>
      </c>
      <c r="R752">
        <f t="shared" si="57"/>
        <v>2022</v>
      </c>
      <c r="S752">
        <f t="shared" si="58"/>
        <v>11</v>
      </c>
      <c r="T752" t="str">
        <f t="shared" si="59"/>
        <v>November</v>
      </c>
    </row>
    <row r="753" spans="1:20" x14ac:dyDescent="0.3">
      <c r="A753" s="3">
        <v>44883</v>
      </c>
      <c r="B753">
        <v>107</v>
      </c>
      <c r="C753" s="3">
        <f>_xlfn.XLOOKUP(B753,Stores!A:A,Stores!E:E)</f>
        <v>44702</v>
      </c>
      <c r="D753">
        <v>215</v>
      </c>
      <c r="E753" s="3">
        <f>_xlfn.XLOOKUP(D753,SalesReps!A:A,SalesReps!D:D)</f>
        <v>44878</v>
      </c>
      <c r="F753" s="3" t="str">
        <f>_xlfn.XLOOKUP(Table1[[#This Row],[RepID]],SalesReps!A:A,SalesReps!E:E)</f>
        <v>Active</v>
      </c>
      <c r="G753">
        <v>319</v>
      </c>
      <c r="H753" t="str">
        <f>_xlfn.XLOOKUP(Table1[[#This Row],[ProductID]],Products!A:A,Products!B:B)</f>
        <v>Toys</v>
      </c>
      <c r="I753" t="str">
        <f>_xlfn.XLOOKUP(Table1[[#This Row],[ProductID]],Products!A:A,Products!C:C)</f>
        <v>Board Games</v>
      </c>
      <c r="J753">
        <v>6</v>
      </c>
      <c r="K753" s="5">
        <f>_xlfn.XLOOKUP(Table1[[#This Row],[ProductID]],Products!A:A,Products!E:E)</f>
        <v>81.069999999999993</v>
      </c>
      <c r="L753" s="5">
        <v>106.28</v>
      </c>
      <c r="M753" s="6">
        <v>0.24</v>
      </c>
      <c r="N753" t="s">
        <v>8</v>
      </c>
      <c r="O753" s="5">
        <f t="shared" si="55"/>
        <v>80.772800000000004</v>
      </c>
      <c r="P753" s="5">
        <f t="shared" si="56"/>
        <v>484.63679999999999</v>
      </c>
      <c r="Q753" s="5">
        <f>Table1[[#This Row],[Quantity]]*(Table1[[#This Row],[Saleprice]]-Table1[[#This Row],[Costprice]])</f>
        <v>-1.7831999999999368</v>
      </c>
      <c r="R753">
        <f t="shared" si="57"/>
        <v>2022</v>
      </c>
      <c r="S753">
        <f t="shared" si="58"/>
        <v>11</v>
      </c>
      <c r="T753" t="str">
        <f t="shared" si="59"/>
        <v>November</v>
      </c>
    </row>
    <row r="754" spans="1:20" x14ac:dyDescent="0.3">
      <c r="A754" s="3">
        <v>44883</v>
      </c>
      <c r="B754">
        <v>107</v>
      </c>
      <c r="C754" s="3">
        <f>_xlfn.XLOOKUP(B754,Stores!A:A,Stores!E:E)</f>
        <v>44702</v>
      </c>
      <c r="D754">
        <v>215</v>
      </c>
      <c r="E754" s="3">
        <f>_xlfn.XLOOKUP(D754,SalesReps!A:A,SalesReps!D:D)</f>
        <v>44878</v>
      </c>
      <c r="F754" s="3" t="str">
        <f>_xlfn.XLOOKUP(Table1[[#This Row],[RepID]],SalesReps!A:A,SalesReps!E:E)</f>
        <v>Active</v>
      </c>
      <c r="G754">
        <v>314</v>
      </c>
      <c r="H754" t="str">
        <f>_xlfn.XLOOKUP(Table1[[#This Row],[ProductID]],Products!A:A,Products!B:B)</f>
        <v>Clothing</v>
      </c>
      <c r="I754" t="str">
        <f>_xlfn.XLOOKUP(Table1[[#This Row],[ProductID]],Products!A:A,Products!C:C)</f>
        <v>Kids</v>
      </c>
      <c r="J754">
        <v>4</v>
      </c>
      <c r="K754" s="5">
        <f>_xlfn.XLOOKUP(Table1[[#This Row],[ProductID]],Products!A:A,Products!E:E)</f>
        <v>276.47000000000003</v>
      </c>
      <c r="L754" s="5">
        <v>323.49</v>
      </c>
      <c r="M754" s="6">
        <v>0.1</v>
      </c>
      <c r="N754" t="s">
        <v>8</v>
      </c>
      <c r="O754" s="5">
        <f t="shared" si="55"/>
        <v>291.14100000000002</v>
      </c>
      <c r="P754" s="5">
        <f t="shared" si="56"/>
        <v>1164.5640000000001</v>
      </c>
      <c r="Q754" s="5">
        <f>Table1[[#This Row],[Quantity]]*(Table1[[#This Row],[Saleprice]]-Table1[[#This Row],[Costprice]])</f>
        <v>58.683999999999969</v>
      </c>
      <c r="R754">
        <f t="shared" si="57"/>
        <v>2022</v>
      </c>
      <c r="S754">
        <f t="shared" si="58"/>
        <v>11</v>
      </c>
      <c r="T754" t="str">
        <f t="shared" si="59"/>
        <v>November</v>
      </c>
    </row>
    <row r="755" spans="1:20" x14ac:dyDescent="0.3">
      <c r="A755" s="3">
        <v>44884</v>
      </c>
      <c r="B755">
        <v>107</v>
      </c>
      <c r="C755" s="3">
        <f>_xlfn.XLOOKUP(B755,Stores!A:A,Stores!E:E)</f>
        <v>44702</v>
      </c>
      <c r="D755">
        <v>215</v>
      </c>
      <c r="E755" s="3">
        <f>_xlfn.XLOOKUP(D755,SalesReps!A:A,SalesReps!D:D)</f>
        <v>44878</v>
      </c>
      <c r="F755" s="3" t="str">
        <f>_xlfn.XLOOKUP(Table1[[#This Row],[RepID]],SalesReps!A:A,SalesReps!E:E)</f>
        <v>Active</v>
      </c>
      <c r="G755">
        <v>302</v>
      </c>
      <c r="H755" t="str">
        <f>_xlfn.XLOOKUP(Table1[[#This Row],[ProductID]],Products!A:A,Products!B:B)</f>
        <v>Toys</v>
      </c>
      <c r="I755" t="str">
        <f>_xlfn.XLOOKUP(Table1[[#This Row],[ProductID]],Products!A:A,Products!C:C)</f>
        <v>Outdoor</v>
      </c>
      <c r="J755">
        <v>7</v>
      </c>
      <c r="K755" s="5">
        <f>_xlfn.XLOOKUP(Table1[[#This Row],[ProductID]],Products!A:A,Products!E:E)</f>
        <v>393.46</v>
      </c>
      <c r="L755" s="5">
        <v>460.31</v>
      </c>
      <c r="M755" s="6">
        <v>0.23</v>
      </c>
      <c r="N755" t="s">
        <v>8</v>
      </c>
      <c r="O755" s="5">
        <f t="shared" si="55"/>
        <v>354.43869999999998</v>
      </c>
      <c r="P755" s="5">
        <f t="shared" si="56"/>
        <v>2481.0708999999997</v>
      </c>
      <c r="Q755" s="5">
        <f>Table1[[#This Row],[Quantity]]*(Table1[[#This Row],[Saleprice]]-Table1[[#This Row],[Costprice]])</f>
        <v>-273.14909999999998</v>
      </c>
      <c r="R755">
        <f t="shared" si="57"/>
        <v>2022</v>
      </c>
      <c r="S755">
        <f t="shared" si="58"/>
        <v>11</v>
      </c>
      <c r="T755" t="str">
        <f t="shared" si="59"/>
        <v>November</v>
      </c>
    </row>
    <row r="756" spans="1:20" x14ac:dyDescent="0.3">
      <c r="A756" s="3">
        <v>44884</v>
      </c>
      <c r="B756">
        <v>102</v>
      </c>
      <c r="C756" s="3">
        <f>_xlfn.XLOOKUP(B756,Stores!A:A,Stores!E:E)</f>
        <v>44875</v>
      </c>
      <c r="D756">
        <v>219</v>
      </c>
      <c r="E756" s="3">
        <f>_xlfn.XLOOKUP(D756,SalesReps!A:A,SalesReps!D:D)</f>
        <v>44883</v>
      </c>
      <c r="F756" s="3" t="str">
        <f>_xlfn.XLOOKUP(Table1[[#This Row],[RepID]],SalesReps!A:A,SalesReps!E:E)</f>
        <v>Active</v>
      </c>
      <c r="G756">
        <v>316</v>
      </c>
      <c r="H756" t="str">
        <f>_xlfn.XLOOKUP(Table1[[#This Row],[ProductID]],Products!A:A,Products!B:B)</f>
        <v>Home &amp; Kitchen</v>
      </c>
      <c r="I756" t="str">
        <f>_xlfn.XLOOKUP(Table1[[#This Row],[ProductID]],Products!A:A,Products!C:C)</f>
        <v>Furniture</v>
      </c>
      <c r="J756">
        <v>5</v>
      </c>
      <c r="K756" s="5">
        <f>_xlfn.XLOOKUP(Table1[[#This Row],[ProductID]],Products!A:A,Products!E:E)</f>
        <v>334.95</v>
      </c>
      <c r="L756" s="5">
        <v>341.4</v>
      </c>
      <c r="M756" s="6">
        <v>0.24</v>
      </c>
      <c r="N756" t="s">
        <v>8</v>
      </c>
      <c r="O756" s="5">
        <f t="shared" si="55"/>
        <v>259.464</v>
      </c>
      <c r="P756" s="5">
        <f t="shared" si="56"/>
        <v>1297.32</v>
      </c>
      <c r="Q756" s="5">
        <f>Table1[[#This Row],[Quantity]]*(Table1[[#This Row],[Saleprice]]-Table1[[#This Row],[Costprice]])</f>
        <v>-377.42999999999995</v>
      </c>
      <c r="R756">
        <f t="shared" si="57"/>
        <v>2022</v>
      </c>
      <c r="S756">
        <f t="shared" si="58"/>
        <v>11</v>
      </c>
      <c r="T756" t="str">
        <f t="shared" si="59"/>
        <v>November</v>
      </c>
    </row>
    <row r="757" spans="1:20" x14ac:dyDescent="0.3">
      <c r="A757" s="3">
        <v>44886</v>
      </c>
      <c r="B757">
        <v>102</v>
      </c>
      <c r="C757" s="3">
        <f>_xlfn.XLOOKUP(B757,Stores!A:A,Stores!E:E)</f>
        <v>44875</v>
      </c>
      <c r="D757">
        <v>219</v>
      </c>
      <c r="E757" s="3">
        <f>_xlfn.XLOOKUP(D757,SalesReps!A:A,SalesReps!D:D)</f>
        <v>44883</v>
      </c>
      <c r="F757" s="3" t="str">
        <f>_xlfn.XLOOKUP(Table1[[#This Row],[RepID]],SalesReps!A:A,SalesReps!E:E)</f>
        <v>Active</v>
      </c>
      <c r="G757">
        <v>310</v>
      </c>
      <c r="H757" t="str">
        <f>_xlfn.XLOOKUP(Table1[[#This Row],[ProductID]],Products!A:A,Products!B:B)</f>
        <v>Home &amp; Kitchen</v>
      </c>
      <c r="I757" t="str">
        <f>_xlfn.XLOOKUP(Table1[[#This Row],[ProductID]],Products!A:A,Products!C:C)</f>
        <v>Furniture</v>
      </c>
      <c r="J757">
        <v>5</v>
      </c>
      <c r="K757" s="5">
        <f>_xlfn.XLOOKUP(Table1[[#This Row],[ProductID]],Products!A:A,Products!E:E)</f>
        <v>160.31</v>
      </c>
      <c r="L757" s="5">
        <v>251.39</v>
      </c>
      <c r="M757" s="6">
        <v>0.14000000000000001</v>
      </c>
      <c r="N757" t="s">
        <v>8</v>
      </c>
      <c r="O757" s="5">
        <f t="shared" si="55"/>
        <v>216.19539999999998</v>
      </c>
      <c r="P757" s="5">
        <f t="shared" si="56"/>
        <v>1080.9769999999999</v>
      </c>
      <c r="Q757" s="5">
        <f>Table1[[#This Row],[Quantity]]*(Table1[[#This Row],[Saleprice]]-Table1[[#This Row],[Costprice]])</f>
        <v>279.42699999999991</v>
      </c>
      <c r="R757">
        <f t="shared" si="57"/>
        <v>2022</v>
      </c>
      <c r="S757">
        <f t="shared" si="58"/>
        <v>11</v>
      </c>
      <c r="T757" t="str">
        <f t="shared" si="59"/>
        <v>November</v>
      </c>
    </row>
    <row r="758" spans="1:20" x14ac:dyDescent="0.3">
      <c r="A758" s="3">
        <v>44886</v>
      </c>
      <c r="B758">
        <v>102</v>
      </c>
      <c r="C758" s="3">
        <f>_xlfn.XLOOKUP(B758,Stores!A:A,Stores!E:E)</f>
        <v>44875</v>
      </c>
      <c r="D758">
        <v>219</v>
      </c>
      <c r="E758" s="3">
        <f>_xlfn.XLOOKUP(D758,SalesReps!A:A,SalesReps!D:D)</f>
        <v>44883</v>
      </c>
      <c r="F758" s="3" t="str">
        <f>_xlfn.XLOOKUP(Table1[[#This Row],[RepID]],SalesReps!A:A,SalesReps!E:E)</f>
        <v>Active</v>
      </c>
      <c r="G758">
        <v>317</v>
      </c>
      <c r="H758" t="str">
        <f>_xlfn.XLOOKUP(Table1[[#This Row],[ProductID]],Products!A:A,Products!B:B)</f>
        <v>Toys</v>
      </c>
      <c r="I758" t="str">
        <f>_xlfn.XLOOKUP(Table1[[#This Row],[ProductID]],Products!A:A,Products!C:C)</f>
        <v>Educational</v>
      </c>
      <c r="J758">
        <v>6</v>
      </c>
      <c r="K758" s="5">
        <f>_xlfn.XLOOKUP(Table1[[#This Row],[ProductID]],Products!A:A,Products!E:E)</f>
        <v>77.61</v>
      </c>
      <c r="L758" s="5">
        <v>108.64</v>
      </c>
      <c r="M758" s="6">
        <v>0.09</v>
      </c>
      <c r="N758" t="s">
        <v>8</v>
      </c>
      <c r="O758" s="5">
        <f t="shared" si="55"/>
        <v>98.862400000000008</v>
      </c>
      <c r="P758" s="5">
        <f t="shared" si="56"/>
        <v>593.17440000000011</v>
      </c>
      <c r="Q758" s="5">
        <f>Table1[[#This Row],[Quantity]]*(Table1[[#This Row],[Saleprice]]-Table1[[#This Row],[Costprice]])</f>
        <v>127.51440000000005</v>
      </c>
      <c r="R758">
        <f t="shared" si="57"/>
        <v>2022</v>
      </c>
      <c r="S758">
        <f t="shared" si="58"/>
        <v>11</v>
      </c>
      <c r="T758" t="str">
        <f t="shared" si="59"/>
        <v>November</v>
      </c>
    </row>
    <row r="759" spans="1:20" x14ac:dyDescent="0.3">
      <c r="A759" s="3">
        <v>44887</v>
      </c>
      <c r="B759">
        <v>107</v>
      </c>
      <c r="C759" s="3">
        <f>_xlfn.XLOOKUP(B759,Stores!A:A,Stores!E:E)</f>
        <v>44702</v>
      </c>
      <c r="D759">
        <v>215</v>
      </c>
      <c r="E759" s="3">
        <f>_xlfn.XLOOKUP(D759,SalesReps!A:A,SalesReps!D:D)</f>
        <v>44878</v>
      </c>
      <c r="F759" s="3" t="str">
        <f>_xlfn.XLOOKUP(Table1[[#This Row],[RepID]],SalesReps!A:A,SalesReps!E:E)</f>
        <v>Active</v>
      </c>
      <c r="G759">
        <v>302</v>
      </c>
      <c r="H759" t="str">
        <f>_xlfn.XLOOKUP(Table1[[#This Row],[ProductID]],Products!A:A,Products!B:B)</f>
        <v>Toys</v>
      </c>
      <c r="I759" t="str">
        <f>_xlfn.XLOOKUP(Table1[[#This Row],[ProductID]],Products!A:A,Products!C:C)</f>
        <v>Outdoor</v>
      </c>
      <c r="J759">
        <v>5</v>
      </c>
      <c r="K759" s="5">
        <f>_xlfn.XLOOKUP(Table1[[#This Row],[ProductID]],Products!A:A,Products!E:E)</f>
        <v>393.46</v>
      </c>
      <c r="L759" s="5">
        <v>460.31</v>
      </c>
      <c r="M759" s="6">
        <v>0.23</v>
      </c>
      <c r="N759" t="s">
        <v>8</v>
      </c>
      <c r="O759" s="5">
        <f t="shared" si="55"/>
        <v>354.43869999999998</v>
      </c>
      <c r="P759" s="5">
        <f t="shared" si="56"/>
        <v>1772.1934999999999</v>
      </c>
      <c r="Q759" s="5">
        <f>Table1[[#This Row],[Quantity]]*(Table1[[#This Row],[Saleprice]]-Table1[[#This Row],[Costprice]])</f>
        <v>-195.10649999999998</v>
      </c>
      <c r="R759">
        <f t="shared" si="57"/>
        <v>2022</v>
      </c>
      <c r="S759">
        <f t="shared" si="58"/>
        <v>11</v>
      </c>
      <c r="T759" t="str">
        <f t="shared" si="59"/>
        <v>November</v>
      </c>
    </row>
    <row r="760" spans="1:20" x14ac:dyDescent="0.3">
      <c r="A760" s="3">
        <v>44887</v>
      </c>
      <c r="B760">
        <v>102</v>
      </c>
      <c r="C760" s="3">
        <f>_xlfn.XLOOKUP(B760,Stores!A:A,Stores!E:E)</f>
        <v>44875</v>
      </c>
      <c r="D760">
        <v>219</v>
      </c>
      <c r="E760" s="3">
        <f>_xlfn.XLOOKUP(D760,SalesReps!A:A,SalesReps!D:D)</f>
        <v>44883</v>
      </c>
      <c r="F760" s="3" t="str">
        <f>_xlfn.XLOOKUP(Table1[[#This Row],[RepID]],SalesReps!A:A,SalesReps!E:E)</f>
        <v>Active</v>
      </c>
      <c r="G760">
        <v>318</v>
      </c>
      <c r="H760" t="str">
        <f>_xlfn.XLOOKUP(Table1[[#This Row],[ProductID]],Products!A:A,Products!B:B)</f>
        <v>Electronics</v>
      </c>
      <c r="I760" t="str">
        <f>_xlfn.XLOOKUP(Table1[[#This Row],[ProductID]],Products!A:A,Products!C:C)</f>
        <v>Mobiles</v>
      </c>
      <c r="J760">
        <v>1</v>
      </c>
      <c r="K760" s="5">
        <f>_xlfn.XLOOKUP(Table1[[#This Row],[ProductID]],Products!A:A,Products!E:E)</f>
        <v>162.51</v>
      </c>
      <c r="L760" s="5">
        <v>221.52</v>
      </c>
      <c r="M760" s="6">
        <v>0.17</v>
      </c>
      <c r="N760" t="s">
        <v>8</v>
      </c>
      <c r="O760" s="5">
        <f t="shared" si="55"/>
        <v>183.86160000000001</v>
      </c>
      <c r="P760" s="5">
        <f t="shared" si="56"/>
        <v>183.86160000000001</v>
      </c>
      <c r="Q760" s="5">
        <f>Table1[[#This Row],[Quantity]]*(Table1[[#This Row],[Saleprice]]-Table1[[#This Row],[Costprice]])</f>
        <v>21.351600000000019</v>
      </c>
      <c r="R760">
        <f t="shared" si="57"/>
        <v>2022</v>
      </c>
      <c r="S760">
        <f t="shared" si="58"/>
        <v>11</v>
      </c>
      <c r="T760" t="str">
        <f t="shared" si="59"/>
        <v>November</v>
      </c>
    </row>
    <row r="761" spans="1:20" x14ac:dyDescent="0.3">
      <c r="A761" s="3">
        <v>44887</v>
      </c>
      <c r="B761">
        <v>107</v>
      </c>
      <c r="C761" s="3">
        <f>_xlfn.XLOOKUP(B761,Stores!A:A,Stores!E:E)</f>
        <v>44702</v>
      </c>
      <c r="D761">
        <v>215</v>
      </c>
      <c r="E761" s="3">
        <f>_xlfn.XLOOKUP(D761,SalesReps!A:A,SalesReps!D:D)</f>
        <v>44878</v>
      </c>
      <c r="F761" s="3" t="str">
        <f>_xlfn.XLOOKUP(Table1[[#This Row],[RepID]],SalesReps!A:A,SalesReps!E:E)</f>
        <v>Active</v>
      </c>
      <c r="G761">
        <v>312</v>
      </c>
      <c r="H761" t="str">
        <f>_xlfn.XLOOKUP(Table1[[#This Row],[ProductID]],Products!A:A,Products!B:B)</f>
        <v>Toys</v>
      </c>
      <c r="I761" t="str">
        <f>_xlfn.XLOOKUP(Table1[[#This Row],[ProductID]],Products!A:A,Products!C:C)</f>
        <v>Board Games</v>
      </c>
      <c r="J761">
        <v>3</v>
      </c>
      <c r="K761" s="5">
        <f>_xlfn.XLOOKUP(Table1[[#This Row],[ProductID]],Products!A:A,Products!E:E)</f>
        <v>100.05</v>
      </c>
      <c r="L761" s="5">
        <v>142.74</v>
      </c>
      <c r="M761" s="6">
        <v>0.06</v>
      </c>
      <c r="N761" t="s">
        <v>8</v>
      </c>
      <c r="O761" s="5">
        <f t="shared" si="55"/>
        <v>134.1756</v>
      </c>
      <c r="P761" s="5">
        <f t="shared" si="56"/>
        <v>402.52679999999998</v>
      </c>
      <c r="Q761" s="5">
        <f>Table1[[#This Row],[Quantity]]*(Table1[[#This Row],[Saleprice]]-Table1[[#This Row],[Costprice]])</f>
        <v>102.37680000000002</v>
      </c>
      <c r="R761">
        <f t="shared" si="57"/>
        <v>2022</v>
      </c>
      <c r="S761">
        <f t="shared" si="58"/>
        <v>11</v>
      </c>
      <c r="T761" t="str">
        <f t="shared" si="59"/>
        <v>November</v>
      </c>
    </row>
    <row r="762" spans="1:20" x14ac:dyDescent="0.3">
      <c r="A762" s="3">
        <v>44888</v>
      </c>
      <c r="B762">
        <v>102</v>
      </c>
      <c r="C762" s="3">
        <f>_xlfn.XLOOKUP(B762,Stores!A:A,Stores!E:E)</f>
        <v>44875</v>
      </c>
      <c r="D762">
        <v>219</v>
      </c>
      <c r="E762" s="3">
        <f>_xlfn.XLOOKUP(D762,SalesReps!A:A,SalesReps!D:D)</f>
        <v>44883</v>
      </c>
      <c r="F762" s="3" t="str">
        <f>_xlfn.XLOOKUP(Table1[[#This Row],[RepID]],SalesReps!A:A,SalesReps!E:E)</f>
        <v>Active</v>
      </c>
      <c r="G762">
        <v>316</v>
      </c>
      <c r="H762" t="str">
        <f>_xlfn.XLOOKUP(Table1[[#This Row],[ProductID]],Products!A:A,Products!B:B)</f>
        <v>Home &amp; Kitchen</v>
      </c>
      <c r="I762" t="str">
        <f>_xlfn.XLOOKUP(Table1[[#This Row],[ProductID]],Products!A:A,Products!C:C)</f>
        <v>Furniture</v>
      </c>
      <c r="J762">
        <v>1</v>
      </c>
      <c r="K762" s="5">
        <f>_xlfn.XLOOKUP(Table1[[#This Row],[ProductID]],Products!A:A,Products!E:E)</f>
        <v>334.95</v>
      </c>
      <c r="L762" s="5">
        <v>341.4</v>
      </c>
      <c r="M762" s="6">
        <v>0.24</v>
      </c>
      <c r="N762" t="s">
        <v>8</v>
      </c>
      <c r="O762" s="5">
        <f t="shared" si="55"/>
        <v>259.464</v>
      </c>
      <c r="P762" s="5">
        <f t="shared" si="56"/>
        <v>259.464</v>
      </c>
      <c r="Q762" s="5">
        <f>Table1[[#This Row],[Quantity]]*(Table1[[#This Row],[Saleprice]]-Table1[[#This Row],[Costprice]])</f>
        <v>-75.48599999999999</v>
      </c>
      <c r="R762">
        <f t="shared" si="57"/>
        <v>2022</v>
      </c>
      <c r="S762">
        <f t="shared" si="58"/>
        <v>11</v>
      </c>
      <c r="T762" t="str">
        <f t="shared" si="59"/>
        <v>November</v>
      </c>
    </row>
    <row r="763" spans="1:20" x14ac:dyDescent="0.3">
      <c r="A763" s="3">
        <v>44888</v>
      </c>
      <c r="B763">
        <v>102</v>
      </c>
      <c r="C763" s="3">
        <f>_xlfn.XLOOKUP(B763,Stores!A:A,Stores!E:E)</f>
        <v>44875</v>
      </c>
      <c r="D763">
        <v>219</v>
      </c>
      <c r="E763" s="3">
        <f>_xlfn.XLOOKUP(D763,SalesReps!A:A,SalesReps!D:D)</f>
        <v>44883</v>
      </c>
      <c r="F763" s="3" t="str">
        <f>_xlfn.XLOOKUP(Table1[[#This Row],[RepID]],SalesReps!A:A,SalesReps!E:E)</f>
        <v>Active</v>
      </c>
      <c r="G763">
        <v>304</v>
      </c>
      <c r="H763" t="str">
        <f>_xlfn.XLOOKUP(Table1[[#This Row],[ProductID]],Products!A:A,Products!B:B)</f>
        <v>Home &amp; Kitchen</v>
      </c>
      <c r="I763" t="str">
        <f>_xlfn.XLOOKUP(Table1[[#This Row],[ProductID]],Products!A:A,Products!C:C)</f>
        <v>Furniture</v>
      </c>
      <c r="J763">
        <v>3</v>
      </c>
      <c r="K763" s="5">
        <f>_xlfn.XLOOKUP(Table1[[#This Row],[ProductID]],Products!A:A,Products!E:E)</f>
        <v>345.38</v>
      </c>
      <c r="L763" s="5">
        <v>439.95</v>
      </c>
      <c r="M763" s="6">
        <v>0.17</v>
      </c>
      <c r="N763" t="s">
        <v>8</v>
      </c>
      <c r="O763" s="5">
        <f t="shared" si="55"/>
        <v>365.15849999999995</v>
      </c>
      <c r="P763" s="5">
        <f t="shared" si="56"/>
        <v>1095.4754999999998</v>
      </c>
      <c r="Q763" s="5">
        <f>Table1[[#This Row],[Quantity]]*(Table1[[#This Row],[Saleprice]]-Table1[[#This Row],[Costprice]])</f>
        <v>59.335499999999854</v>
      </c>
      <c r="R763">
        <f t="shared" si="57"/>
        <v>2022</v>
      </c>
      <c r="S763">
        <f t="shared" si="58"/>
        <v>11</v>
      </c>
      <c r="T763" t="str">
        <f t="shared" si="59"/>
        <v>November</v>
      </c>
    </row>
    <row r="764" spans="1:20" x14ac:dyDescent="0.3">
      <c r="A764" s="3">
        <v>44889</v>
      </c>
      <c r="B764">
        <v>102</v>
      </c>
      <c r="C764" s="3">
        <f>_xlfn.XLOOKUP(B764,Stores!A:A,Stores!E:E)</f>
        <v>44875</v>
      </c>
      <c r="D764">
        <v>219</v>
      </c>
      <c r="E764" s="3">
        <f>_xlfn.XLOOKUP(D764,SalesReps!A:A,SalesReps!D:D)</f>
        <v>44883</v>
      </c>
      <c r="F764" s="3" t="str">
        <f>_xlfn.XLOOKUP(Table1[[#This Row],[RepID]],SalesReps!A:A,SalesReps!E:E)</f>
        <v>Active</v>
      </c>
      <c r="G764">
        <v>308</v>
      </c>
      <c r="H764" t="str">
        <f>_xlfn.XLOOKUP(Table1[[#This Row],[ProductID]],Products!A:A,Products!B:B)</f>
        <v>Home &amp; Kitchen</v>
      </c>
      <c r="I764" t="str">
        <f>_xlfn.XLOOKUP(Table1[[#This Row],[ProductID]],Products!A:A,Products!C:C)</f>
        <v>Furniture</v>
      </c>
      <c r="J764">
        <v>1</v>
      </c>
      <c r="K764" s="5">
        <f>_xlfn.XLOOKUP(Table1[[#This Row],[ProductID]],Products!A:A,Products!E:E)</f>
        <v>377.46</v>
      </c>
      <c r="L764" s="5">
        <v>407.24</v>
      </c>
      <c r="M764" s="6">
        <v>0.25</v>
      </c>
      <c r="N764" t="s">
        <v>8</v>
      </c>
      <c r="O764" s="5">
        <f t="shared" si="55"/>
        <v>305.43</v>
      </c>
      <c r="P764" s="5">
        <f t="shared" si="56"/>
        <v>305.43</v>
      </c>
      <c r="Q764" s="5">
        <f>Table1[[#This Row],[Quantity]]*(Table1[[#This Row],[Saleprice]]-Table1[[#This Row],[Costprice]])</f>
        <v>-72.029999999999973</v>
      </c>
      <c r="R764">
        <f t="shared" si="57"/>
        <v>2022</v>
      </c>
      <c r="S764">
        <f t="shared" si="58"/>
        <v>11</v>
      </c>
      <c r="T764" t="str">
        <f t="shared" si="59"/>
        <v>November</v>
      </c>
    </row>
    <row r="765" spans="1:20" x14ac:dyDescent="0.3">
      <c r="A765" s="3">
        <v>44889</v>
      </c>
      <c r="B765">
        <v>102</v>
      </c>
      <c r="C765" s="3">
        <f>_xlfn.XLOOKUP(B765,Stores!A:A,Stores!E:E)</f>
        <v>44875</v>
      </c>
      <c r="D765">
        <v>219</v>
      </c>
      <c r="E765" s="3">
        <f>_xlfn.XLOOKUP(D765,SalesReps!A:A,SalesReps!D:D)</f>
        <v>44883</v>
      </c>
      <c r="F765" s="3" t="str">
        <f>_xlfn.XLOOKUP(Table1[[#This Row],[RepID]],SalesReps!A:A,SalesReps!E:E)</f>
        <v>Active</v>
      </c>
      <c r="G765">
        <v>320</v>
      </c>
      <c r="H765" t="str">
        <f>_xlfn.XLOOKUP(Table1[[#This Row],[ProductID]],Products!A:A,Products!B:B)</f>
        <v>Toys</v>
      </c>
      <c r="I765" t="str">
        <f>_xlfn.XLOOKUP(Table1[[#This Row],[ProductID]],Products!A:A,Products!C:C)</f>
        <v>Outdoor</v>
      </c>
      <c r="J765">
        <v>2</v>
      </c>
      <c r="K765" s="5">
        <f>_xlfn.XLOOKUP(Table1[[#This Row],[ProductID]],Products!A:A,Products!E:E)</f>
        <v>304.58999999999997</v>
      </c>
      <c r="L765" s="5">
        <v>376.64</v>
      </c>
      <c r="M765" s="6">
        <v>0.24</v>
      </c>
      <c r="N765" t="s">
        <v>8</v>
      </c>
      <c r="O765" s="5">
        <f t="shared" si="55"/>
        <v>286.24639999999999</v>
      </c>
      <c r="P765" s="5">
        <f t="shared" si="56"/>
        <v>572.49279999999999</v>
      </c>
      <c r="Q765" s="5">
        <f>Table1[[#This Row],[Quantity]]*(Table1[[#This Row],[Saleprice]]-Table1[[#This Row],[Costprice]])</f>
        <v>-36.687199999999962</v>
      </c>
      <c r="R765">
        <f t="shared" si="57"/>
        <v>2022</v>
      </c>
      <c r="S765">
        <f t="shared" si="58"/>
        <v>11</v>
      </c>
      <c r="T765" t="str">
        <f t="shared" si="59"/>
        <v>November</v>
      </c>
    </row>
    <row r="766" spans="1:20" x14ac:dyDescent="0.3">
      <c r="A766" s="3">
        <v>44890</v>
      </c>
      <c r="B766">
        <v>102</v>
      </c>
      <c r="C766" s="3">
        <f>_xlfn.XLOOKUP(B766,Stores!A:A,Stores!E:E)</f>
        <v>44875</v>
      </c>
      <c r="D766">
        <v>219</v>
      </c>
      <c r="E766" s="3">
        <f>_xlfn.XLOOKUP(D766,SalesReps!A:A,SalesReps!D:D)</f>
        <v>44883</v>
      </c>
      <c r="F766" s="3" t="str">
        <f>_xlfn.XLOOKUP(Table1[[#This Row],[RepID]],SalesReps!A:A,SalesReps!E:E)</f>
        <v>Active</v>
      </c>
      <c r="G766">
        <v>317</v>
      </c>
      <c r="H766" t="str">
        <f>_xlfn.XLOOKUP(Table1[[#This Row],[ProductID]],Products!A:A,Products!B:B)</f>
        <v>Toys</v>
      </c>
      <c r="I766" t="str">
        <f>_xlfn.XLOOKUP(Table1[[#This Row],[ProductID]],Products!A:A,Products!C:C)</f>
        <v>Educational</v>
      </c>
      <c r="J766">
        <v>3</v>
      </c>
      <c r="K766" s="5">
        <f>_xlfn.XLOOKUP(Table1[[#This Row],[ProductID]],Products!A:A,Products!E:E)</f>
        <v>77.61</v>
      </c>
      <c r="L766" s="5">
        <v>108.64</v>
      </c>
      <c r="M766" s="6">
        <v>0.09</v>
      </c>
      <c r="N766" t="s">
        <v>8</v>
      </c>
      <c r="O766" s="5">
        <f t="shared" si="55"/>
        <v>98.862400000000008</v>
      </c>
      <c r="P766" s="5">
        <f t="shared" si="56"/>
        <v>296.58720000000005</v>
      </c>
      <c r="Q766" s="5">
        <f>Table1[[#This Row],[Quantity]]*(Table1[[#This Row],[Saleprice]]-Table1[[#This Row],[Costprice]])</f>
        <v>63.757200000000026</v>
      </c>
      <c r="R766">
        <f t="shared" si="57"/>
        <v>2022</v>
      </c>
      <c r="S766">
        <f t="shared" si="58"/>
        <v>11</v>
      </c>
      <c r="T766" t="str">
        <f t="shared" si="59"/>
        <v>November</v>
      </c>
    </row>
    <row r="767" spans="1:20" x14ac:dyDescent="0.3">
      <c r="A767" s="3">
        <v>44891</v>
      </c>
      <c r="B767">
        <v>102</v>
      </c>
      <c r="C767" s="3">
        <f>_xlfn.XLOOKUP(B767,Stores!A:A,Stores!E:E)</f>
        <v>44875</v>
      </c>
      <c r="D767">
        <v>219</v>
      </c>
      <c r="E767" s="3">
        <f>_xlfn.XLOOKUP(D767,SalesReps!A:A,SalesReps!D:D)</f>
        <v>44883</v>
      </c>
      <c r="F767" s="3" t="str">
        <f>_xlfn.XLOOKUP(Table1[[#This Row],[RepID]],SalesReps!A:A,SalesReps!E:E)</f>
        <v>Active</v>
      </c>
      <c r="G767">
        <v>310</v>
      </c>
      <c r="H767" t="str">
        <f>_xlfn.XLOOKUP(Table1[[#This Row],[ProductID]],Products!A:A,Products!B:B)</f>
        <v>Home &amp; Kitchen</v>
      </c>
      <c r="I767" t="str">
        <f>_xlfn.XLOOKUP(Table1[[#This Row],[ProductID]],Products!A:A,Products!C:C)</f>
        <v>Furniture</v>
      </c>
      <c r="J767">
        <v>8</v>
      </c>
      <c r="K767" s="5">
        <f>_xlfn.XLOOKUP(Table1[[#This Row],[ProductID]],Products!A:A,Products!E:E)</f>
        <v>160.31</v>
      </c>
      <c r="L767" s="5">
        <v>251.39</v>
      </c>
      <c r="M767" s="6">
        <v>0.14000000000000001</v>
      </c>
      <c r="N767" t="s">
        <v>8</v>
      </c>
      <c r="O767" s="5">
        <f t="shared" si="55"/>
        <v>216.19539999999998</v>
      </c>
      <c r="P767" s="5">
        <f t="shared" si="56"/>
        <v>1729.5631999999998</v>
      </c>
      <c r="Q767" s="5">
        <f>Table1[[#This Row],[Quantity]]*(Table1[[#This Row],[Saleprice]]-Table1[[#This Row],[Costprice]])</f>
        <v>447.08319999999981</v>
      </c>
      <c r="R767">
        <f t="shared" si="57"/>
        <v>2022</v>
      </c>
      <c r="S767">
        <f t="shared" si="58"/>
        <v>11</v>
      </c>
      <c r="T767" t="str">
        <f t="shared" si="59"/>
        <v>November</v>
      </c>
    </row>
    <row r="768" spans="1:20" x14ac:dyDescent="0.3">
      <c r="A768" s="3">
        <v>44892</v>
      </c>
      <c r="B768">
        <v>102</v>
      </c>
      <c r="C768" s="3">
        <f>_xlfn.XLOOKUP(B768,Stores!A:A,Stores!E:E)</f>
        <v>44875</v>
      </c>
      <c r="D768">
        <v>219</v>
      </c>
      <c r="E768" s="3">
        <f>_xlfn.XLOOKUP(D768,SalesReps!A:A,SalesReps!D:D)</f>
        <v>44883</v>
      </c>
      <c r="F768" s="3" t="str">
        <f>_xlfn.XLOOKUP(Table1[[#This Row],[RepID]],SalesReps!A:A,SalesReps!E:E)</f>
        <v>Active</v>
      </c>
      <c r="G768">
        <v>307</v>
      </c>
      <c r="H768" t="str">
        <f>_xlfn.XLOOKUP(Table1[[#This Row],[ProductID]],Products!A:A,Products!B:B)</f>
        <v>Toys</v>
      </c>
      <c r="I768" t="str">
        <f>_xlfn.XLOOKUP(Table1[[#This Row],[ProductID]],Products!A:A,Products!C:C)</f>
        <v>Outdoor</v>
      </c>
      <c r="J768">
        <v>2</v>
      </c>
      <c r="K768" s="5">
        <f>_xlfn.XLOOKUP(Table1[[#This Row],[ProductID]],Products!A:A,Products!E:E)</f>
        <v>15.17</v>
      </c>
      <c r="L768" s="5">
        <v>101.71</v>
      </c>
      <c r="M768" s="6">
        <v>0.12</v>
      </c>
      <c r="N768" t="s">
        <v>8</v>
      </c>
      <c r="O768" s="5">
        <f t="shared" si="55"/>
        <v>89.504799999999989</v>
      </c>
      <c r="P768" s="5">
        <f t="shared" si="56"/>
        <v>179.00959999999998</v>
      </c>
      <c r="Q768" s="5">
        <f>Table1[[#This Row],[Quantity]]*(Table1[[#This Row],[Saleprice]]-Table1[[#This Row],[Costprice]])</f>
        <v>148.66959999999997</v>
      </c>
      <c r="R768">
        <f t="shared" si="57"/>
        <v>2022</v>
      </c>
      <c r="S768">
        <f t="shared" si="58"/>
        <v>11</v>
      </c>
      <c r="T768" t="str">
        <f t="shared" si="59"/>
        <v>November</v>
      </c>
    </row>
    <row r="769" spans="1:20" x14ac:dyDescent="0.3">
      <c r="A769" s="3">
        <v>44892</v>
      </c>
      <c r="B769">
        <v>102</v>
      </c>
      <c r="C769" s="3">
        <f>_xlfn.XLOOKUP(B769,Stores!A:A,Stores!E:E)</f>
        <v>44875</v>
      </c>
      <c r="D769">
        <v>219</v>
      </c>
      <c r="E769" s="3">
        <f>_xlfn.XLOOKUP(D769,SalesReps!A:A,SalesReps!D:D)</f>
        <v>44883</v>
      </c>
      <c r="F769" s="3" t="str">
        <f>_xlfn.XLOOKUP(Table1[[#This Row],[RepID]],SalesReps!A:A,SalesReps!E:E)</f>
        <v>Active</v>
      </c>
      <c r="G769">
        <v>307</v>
      </c>
      <c r="H769" t="str">
        <f>_xlfn.XLOOKUP(Table1[[#This Row],[ProductID]],Products!A:A,Products!B:B)</f>
        <v>Toys</v>
      </c>
      <c r="I769" t="str">
        <f>_xlfn.XLOOKUP(Table1[[#This Row],[ProductID]],Products!A:A,Products!C:C)</f>
        <v>Outdoor</v>
      </c>
      <c r="J769">
        <v>9</v>
      </c>
      <c r="K769" s="5">
        <f>_xlfn.XLOOKUP(Table1[[#This Row],[ProductID]],Products!A:A,Products!E:E)</f>
        <v>15.17</v>
      </c>
      <c r="L769" s="5">
        <v>101.71</v>
      </c>
      <c r="M769" s="6">
        <v>0.12</v>
      </c>
      <c r="N769" t="s">
        <v>8</v>
      </c>
      <c r="O769" s="5">
        <f t="shared" si="55"/>
        <v>89.504799999999989</v>
      </c>
      <c r="P769" s="5">
        <f t="shared" si="56"/>
        <v>805.54319999999984</v>
      </c>
      <c r="Q769" s="5">
        <f>Table1[[#This Row],[Quantity]]*(Table1[[#This Row],[Saleprice]]-Table1[[#This Row],[Costprice]])</f>
        <v>669.01319999999987</v>
      </c>
      <c r="R769">
        <f t="shared" si="57"/>
        <v>2022</v>
      </c>
      <c r="S769">
        <f t="shared" si="58"/>
        <v>11</v>
      </c>
      <c r="T769" t="str">
        <f t="shared" si="59"/>
        <v>November</v>
      </c>
    </row>
    <row r="770" spans="1:20" x14ac:dyDescent="0.3">
      <c r="A770" s="3">
        <v>44892</v>
      </c>
      <c r="B770">
        <v>102</v>
      </c>
      <c r="C770" s="3">
        <f>_xlfn.XLOOKUP(B770,Stores!A:A,Stores!E:E)</f>
        <v>44875</v>
      </c>
      <c r="D770">
        <v>219</v>
      </c>
      <c r="E770" s="3">
        <f>_xlfn.XLOOKUP(D770,SalesReps!A:A,SalesReps!D:D)</f>
        <v>44883</v>
      </c>
      <c r="F770" s="3" t="str">
        <f>_xlfn.XLOOKUP(Table1[[#This Row],[RepID]],SalesReps!A:A,SalesReps!E:E)</f>
        <v>Active</v>
      </c>
      <c r="G770">
        <v>310</v>
      </c>
      <c r="H770" t="str">
        <f>_xlfn.XLOOKUP(Table1[[#This Row],[ProductID]],Products!A:A,Products!B:B)</f>
        <v>Home &amp; Kitchen</v>
      </c>
      <c r="I770" t="str">
        <f>_xlfn.XLOOKUP(Table1[[#This Row],[ProductID]],Products!A:A,Products!C:C)</f>
        <v>Furniture</v>
      </c>
      <c r="J770">
        <v>1</v>
      </c>
      <c r="K770" s="5">
        <f>_xlfn.XLOOKUP(Table1[[#This Row],[ProductID]],Products!A:A,Products!E:E)</f>
        <v>160.31</v>
      </c>
      <c r="L770" s="5">
        <v>251.39</v>
      </c>
      <c r="M770" s="6">
        <v>0.14000000000000001</v>
      </c>
      <c r="N770" t="s">
        <v>8</v>
      </c>
      <c r="O770" s="5">
        <f t="shared" ref="O770:O833" si="60">L770*(1-M770)</f>
        <v>216.19539999999998</v>
      </c>
      <c r="P770" s="5">
        <f t="shared" ref="P770:P833" si="61">O770*J770</f>
        <v>216.19539999999998</v>
      </c>
      <c r="Q770" s="5">
        <f>Table1[[#This Row],[Quantity]]*(Table1[[#This Row],[Saleprice]]-Table1[[#This Row],[Costprice]])</f>
        <v>55.885399999999976</v>
      </c>
      <c r="R770">
        <f t="shared" ref="R770:R833" si="62">YEAR(A770)</f>
        <v>2022</v>
      </c>
      <c r="S770">
        <f t="shared" ref="S770:S833" si="63">MONTH(A770)</f>
        <v>11</v>
      </c>
      <c r="T770" t="str">
        <f t="shared" ref="T770:T833" si="64">TEXT(A770,"MMMM")</f>
        <v>November</v>
      </c>
    </row>
    <row r="771" spans="1:20" x14ac:dyDescent="0.3">
      <c r="A771" s="3">
        <v>44893</v>
      </c>
      <c r="B771">
        <v>102</v>
      </c>
      <c r="C771" s="3">
        <f>_xlfn.XLOOKUP(B771,Stores!A:A,Stores!E:E)</f>
        <v>44875</v>
      </c>
      <c r="D771">
        <v>219</v>
      </c>
      <c r="E771" s="3">
        <f>_xlfn.XLOOKUP(D771,SalesReps!A:A,SalesReps!D:D)</f>
        <v>44883</v>
      </c>
      <c r="F771" s="3" t="str">
        <f>_xlfn.XLOOKUP(Table1[[#This Row],[RepID]],SalesReps!A:A,SalesReps!E:E)</f>
        <v>Active</v>
      </c>
      <c r="G771">
        <v>310</v>
      </c>
      <c r="H771" t="str">
        <f>_xlfn.XLOOKUP(Table1[[#This Row],[ProductID]],Products!A:A,Products!B:B)</f>
        <v>Home &amp; Kitchen</v>
      </c>
      <c r="I771" t="str">
        <f>_xlfn.XLOOKUP(Table1[[#This Row],[ProductID]],Products!A:A,Products!C:C)</f>
        <v>Furniture</v>
      </c>
      <c r="J771">
        <v>7</v>
      </c>
      <c r="K771" s="5">
        <f>_xlfn.XLOOKUP(Table1[[#This Row],[ProductID]],Products!A:A,Products!E:E)</f>
        <v>160.31</v>
      </c>
      <c r="L771" s="5">
        <v>251.39</v>
      </c>
      <c r="M771" s="6">
        <v>0.14000000000000001</v>
      </c>
      <c r="N771" t="s">
        <v>8</v>
      </c>
      <c r="O771" s="5">
        <f t="shared" si="60"/>
        <v>216.19539999999998</v>
      </c>
      <c r="P771" s="5">
        <f t="shared" si="61"/>
        <v>1513.3677999999998</v>
      </c>
      <c r="Q771" s="5">
        <f>Table1[[#This Row],[Quantity]]*(Table1[[#This Row],[Saleprice]]-Table1[[#This Row],[Costprice]])</f>
        <v>391.1977999999998</v>
      </c>
      <c r="R771">
        <f t="shared" si="62"/>
        <v>2022</v>
      </c>
      <c r="S771">
        <f t="shared" si="63"/>
        <v>11</v>
      </c>
      <c r="T771" t="str">
        <f t="shared" si="64"/>
        <v>November</v>
      </c>
    </row>
    <row r="772" spans="1:20" x14ac:dyDescent="0.3">
      <c r="A772" s="3">
        <v>44893</v>
      </c>
      <c r="B772">
        <v>102</v>
      </c>
      <c r="C772" s="3">
        <f>_xlfn.XLOOKUP(B772,Stores!A:A,Stores!E:E)</f>
        <v>44875</v>
      </c>
      <c r="D772">
        <v>219</v>
      </c>
      <c r="E772" s="3">
        <f>_xlfn.XLOOKUP(D772,SalesReps!A:A,SalesReps!D:D)</f>
        <v>44883</v>
      </c>
      <c r="F772" s="3" t="str">
        <f>_xlfn.XLOOKUP(Table1[[#This Row],[RepID]],SalesReps!A:A,SalesReps!E:E)</f>
        <v>Active</v>
      </c>
      <c r="G772">
        <v>302</v>
      </c>
      <c r="H772" t="str">
        <f>_xlfn.XLOOKUP(Table1[[#This Row],[ProductID]],Products!A:A,Products!B:B)</f>
        <v>Toys</v>
      </c>
      <c r="I772" t="str">
        <f>_xlfn.XLOOKUP(Table1[[#This Row],[ProductID]],Products!A:A,Products!C:C)</f>
        <v>Outdoor</v>
      </c>
      <c r="J772">
        <v>5</v>
      </c>
      <c r="K772" s="5">
        <f>_xlfn.XLOOKUP(Table1[[#This Row],[ProductID]],Products!A:A,Products!E:E)</f>
        <v>393.46</v>
      </c>
      <c r="L772" s="5">
        <v>399.95</v>
      </c>
      <c r="M772" s="6">
        <v>0.13</v>
      </c>
      <c r="N772" t="s">
        <v>8</v>
      </c>
      <c r="O772" s="5">
        <f t="shared" si="60"/>
        <v>347.95650000000001</v>
      </c>
      <c r="P772" s="5">
        <f t="shared" si="61"/>
        <v>1739.7825</v>
      </c>
      <c r="Q772" s="5">
        <f>Table1[[#This Row],[Quantity]]*(Table1[[#This Row],[Saleprice]]-Table1[[#This Row],[Costprice]])</f>
        <v>-227.51749999999987</v>
      </c>
      <c r="R772">
        <f t="shared" si="62"/>
        <v>2022</v>
      </c>
      <c r="S772">
        <f t="shared" si="63"/>
        <v>11</v>
      </c>
      <c r="T772" t="str">
        <f t="shared" si="64"/>
        <v>November</v>
      </c>
    </row>
    <row r="773" spans="1:20" x14ac:dyDescent="0.3">
      <c r="A773" s="3">
        <v>44893</v>
      </c>
      <c r="B773">
        <v>107</v>
      </c>
      <c r="C773" s="3">
        <f>_xlfn.XLOOKUP(B773,Stores!A:A,Stores!E:E)</f>
        <v>44702</v>
      </c>
      <c r="D773">
        <v>215</v>
      </c>
      <c r="E773" s="3">
        <f>_xlfn.XLOOKUP(D773,SalesReps!A:A,SalesReps!D:D)</f>
        <v>44878</v>
      </c>
      <c r="F773" s="3" t="str">
        <f>_xlfn.XLOOKUP(Table1[[#This Row],[RepID]],SalesReps!A:A,SalesReps!E:E)</f>
        <v>Active</v>
      </c>
      <c r="G773">
        <v>302</v>
      </c>
      <c r="H773" t="str">
        <f>_xlfn.XLOOKUP(Table1[[#This Row],[ProductID]],Products!A:A,Products!B:B)</f>
        <v>Toys</v>
      </c>
      <c r="I773" t="str">
        <f>_xlfn.XLOOKUP(Table1[[#This Row],[ProductID]],Products!A:A,Products!C:C)</f>
        <v>Outdoor</v>
      </c>
      <c r="J773">
        <v>7</v>
      </c>
      <c r="K773" s="5">
        <f>_xlfn.XLOOKUP(Table1[[#This Row],[ProductID]],Products!A:A,Products!E:E)</f>
        <v>393.46</v>
      </c>
      <c r="L773" s="5">
        <v>460.31</v>
      </c>
      <c r="M773" s="6">
        <v>0.23</v>
      </c>
      <c r="N773" t="s">
        <v>8</v>
      </c>
      <c r="O773" s="5">
        <f t="shared" si="60"/>
        <v>354.43869999999998</v>
      </c>
      <c r="P773" s="5">
        <f t="shared" si="61"/>
        <v>2481.0708999999997</v>
      </c>
      <c r="Q773" s="5">
        <f>Table1[[#This Row],[Quantity]]*(Table1[[#This Row],[Saleprice]]-Table1[[#This Row],[Costprice]])</f>
        <v>-273.14909999999998</v>
      </c>
      <c r="R773">
        <f t="shared" si="62"/>
        <v>2022</v>
      </c>
      <c r="S773">
        <f t="shared" si="63"/>
        <v>11</v>
      </c>
      <c r="T773" t="str">
        <f t="shared" si="64"/>
        <v>November</v>
      </c>
    </row>
    <row r="774" spans="1:20" x14ac:dyDescent="0.3">
      <c r="A774" s="3">
        <v>44894</v>
      </c>
      <c r="B774">
        <v>107</v>
      </c>
      <c r="C774" s="3">
        <f>_xlfn.XLOOKUP(B774,Stores!A:A,Stores!E:E)</f>
        <v>44702</v>
      </c>
      <c r="D774">
        <v>215</v>
      </c>
      <c r="E774" s="3">
        <f>_xlfn.XLOOKUP(D774,SalesReps!A:A,SalesReps!D:D)</f>
        <v>44878</v>
      </c>
      <c r="F774" s="3" t="str">
        <f>_xlfn.XLOOKUP(Table1[[#This Row],[RepID]],SalesReps!A:A,SalesReps!E:E)</f>
        <v>Active</v>
      </c>
      <c r="G774">
        <v>306</v>
      </c>
      <c r="H774" t="str">
        <f>_xlfn.XLOOKUP(Table1[[#This Row],[ProductID]],Products!A:A,Products!B:B)</f>
        <v>Clothing</v>
      </c>
      <c r="I774" t="str">
        <f>_xlfn.XLOOKUP(Table1[[#This Row],[ProductID]],Products!A:A,Products!C:C)</f>
        <v>Men</v>
      </c>
      <c r="J774">
        <v>6</v>
      </c>
      <c r="K774" s="5">
        <f>_xlfn.XLOOKUP(Table1[[#This Row],[ProductID]],Products!A:A,Products!E:E)</f>
        <v>185.69</v>
      </c>
      <c r="L774" s="5">
        <v>213.7</v>
      </c>
      <c r="M774" s="6">
        <v>0.21</v>
      </c>
      <c r="N774" t="s">
        <v>8</v>
      </c>
      <c r="O774" s="5">
        <f t="shared" si="60"/>
        <v>168.82300000000001</v>
      </c>
      <c r="P774" s="5">
        <f t="shared" si="61"/>
        <v>1012.9380000000001</v>
      </c>
      <c r="Q774" s="5">
        <f>Table1[[#This Row],[Quantity]]*(Table1[[#This Row],[Saleprice]]-Table1[[#This Row],[Costprice]])</f>
        <v>-101.20199999999994</v>
      </c>
      <c r="R774">
        <f t="shared" si="62"/>
        <v>2022</v>
      </c>
      <c r="S774">
        <f t="shared" si="63"/>
        <v>11</v>
      </c>
      <c r="T774" t="str">
        <f t="shared" si="64"/>
        <v>November</v>
      </c>
    </row>
    <row r="775" spans="1:20" x14ac:dyDescent="0.3">
      <c r="A775" s="3">
        <v>44894</v>
      </c>
      <c r="B775">
        <v>102</v>
      </c>
      <c r="C775" s="3">
        <f>_xlfn.XLOOKUP(B775,Stores!A:A,Stores!E:E)</f>
        <v>44875</v>
      </c>
      <c r="D775">
        <v>219</v>
      </c>
      <c r="E775" s="3">
        <f>_xlfn.XLOOKUP(D775,SalesReps!A:A,SalesReps!D:D)</f>
        <v>44883</v>
      </c>
      <c r="F775" s="3" t="str">
        <f>_xlfn.XLOOKUP(Table1[[#This Row],[RepID]],SalesReps!A:A,SalesReps!E:E)</f>
        <v>Active</v>
      </c>
      <c r="G775">
        <v>305</v>
      </c>
      <c r="H775" t="str">
        <f>_xlfn.XLOOKUP(Table1[[#This Row],[ProductID]],Products!A:A,Products!B:B)</f>
        <v>Electronics</v>
      </c>
      <c r="I775" t="str">
        <f>_xlfn.XLOOKUP(Table1[[#This Row],[ProductID]],Products!A:A,Products!C:C)</f>
        <v>Accessories</v>
      </c>
      <c r="J775">
        <v>3</v>
      </c>
      <c r="K775" s="5">
        <f>_xlfn.XLOOKUP(Table1[[#This Row],[ProductID]],Products!A:A,Products!E:E)</f>
        <v>275.32</v>
      </c>
      <c r="L775" s="5">
        <v>295.95999999999998</v>
      </c>
      <c r="M775" s="6">
        <v>0.16</v>
      </c>
      <c r="N775" t="s">
        <v>8</v>
      </c>
      <c r="O775" s="5">
        <f t="shared" si="60"/>
        <v>248.60639999999998</v>
      </c>
      <c r="P775" s="5">
        <f t="shared" si="61"/>
        <v>745.81919999999991</v>
      </c>
      <c r="Q775" s="5">
        <f>Table1[[#This Row],[Quantity]]*(Table1[[#This Row],[Saleprice]]-Table1[[#This Row],[Costprice]])</f>
        <v>-80.140800000000041</v>
      </c>
      <c r="R775">
        <f t="shared" si="62"/>
        <v>2022</v>
      </c>
      <c r="S775">
        <f t="shared" si="63"/>
        <v>11</v>
      </c>
      <c r="T775" t="str">
        <f t="shared" si="64"/>
        <v>November</v>
      </c>
    </row>
    <row r="776" spans="1:20" x14ac:dyDescent="0.3">
      <c r="A776" s="3">
        <v>44895</v>
      </c>
      <c r="B776">
        <v>102</v>
      </c>
      <c r="C776" s="3">
        <f>_xlfn.XLOOKUP(B776,Stores!A:A,Stores!E:E)</f>
        <v>44875</v>
      </c>
      <c r="D776">
        <v>219</v>
      </c>
      <c r="E776" s="3">
        <f>_xlfn.XLOOKUP(D776,SalesReps!A:A,SalesReps!D:D)</f>
        <v>44883</v>
      </c>
      <c r="F776" s="3" t="str">
        <f>_xlfn.XLOOKUP(Table1[[#This Row],[RepID]],SalesReps!A:A,SalesReps!E:E)</f>
        <v>Active</v>
      </c>
      <c r="G776">
        <v>305</v>
      </c>
      <c r="H776" t="str">
        <f>_xlfn.XLOOKUP(Table1[[#This Row],[ProductID]],Products!A:A,Products!B:B)</f>
        <v>Electronics</v>
      </c>
      <c r="I776" t="str">
        <f>_xlfn.XLOOKUP(Table1[[#This Row],[ProductID]],Products!A:A,Products!C:C)</f>
        <v>Accessories</v>
      </c>
      <c r="J776">
        <v>9</v>
      </c>
      <c r="K776" s="5">
        <f>_xlfn.XLOOKUP(Table1[[#This Row],[ProductID]],Products!A:A,Products!E:E)</f>
        <v>275.32</v>
      </c>
      <c r="L776" s="5">
        <v>295.95999999999998</v>
      </c>
      <c r="M776" s="6">
        <v>0.16</v>
      </c>
      <c r="N776" t="s">
        <v>8</v>
      </c>
      <c r="O776" s="5">
        <f t="shared" si="60"/>
        <v>248.60639999999998</v>
      </c>
      <c r="P776" s="5">
        <f t="shared" si="61"/>
        <v>2237.4575999999997</v>
      </c>
      <c r="Q776" s="5">
        <f>Table1[[#This Row],[Quantity]]*(Table1[[#This Row],[Saleprice]]-Table1[[#This Row],[Costprice]])</f>
        <v>-240.42240000000012</v>
      </c>
      <c r="R776">
        <f t="shared" si="62"/>
        <v>2022</v>
      </c>
      <c r="S776">
        <f t="shared" si="63"/>
        <v>11</v>
      </c>
      <c r="T776" t="str">
        <f t="shared" si="64"/>
        <v>November</v>
      </c>
    </row>
    <row r="777" spans="1:20" x14ac:dyDescent="0.3">
      <c r="A777" s="3">
        <v>44895</v>
      </c>
      <c r="B777">
        <v>102</v>
      </c>
      <c r="C777" s="3">
        <f>_xlfn.XLOOKUP(B777,Stores!A:A,Stores!E:E)</f>
        <v>44875</v>
      </c>
      <c r="D777">
        <v>219</v>
      </c>
      <c r="E777" s="3">
        <f>_xlfn.XLOOKUP(D777,SalesReps!A:A,SalesReps!D:D)</f>
        <v>44883</v>
      </c>
      <c r="F777" s="3" t="str">
        <f>_xlfn.XLOOKUP(Table1[[#This Row],[RepID]],SalesReps!A:A,SalesReps!E:E)</f>
        <v>Active</v>
      </c>
      <c r="G777">
        <v>303</v>
      </c>
      <c r="H777" t="str">
        <f>_xlfn.XLOOKUP(Table1[[#This Row],[ProductID]],Products!A:A,Products!B:B)</f>
        <v>Home &amp; Kitchen</v>
      </c>
      <c r="I777" t="str">
        <f>_xlfn.XLOOKUP(Table1[[#This Row],[ProductID]],Products!A:A,Products!C:C)</f>
        <v>Furniture</v>
      </c>
      <c r="J777">
        <v>7</v>
      </c>
      <c r="K777" s="5">
        <f>_xlfn.XLOOKUP(Table1[[#This Row],[ProductID]],Products!A:A,Products!E:E)</f>
        <v>192.04</v>
      </c>
      <c r="L777" s="5">
        <v>250.36</v>
      </c>
      <c r="M777" s="6">
        <v>0.13</v>
      </c>
      <c r="N777" t="s">
        <v>8</v>
      </c>
      <c r="O777" s="5">
        <f t="shared" si="60"/>
        <v>217.81320000000002</v>
      </c>
      <c r="P777" s="5">
        <f t="shared" si="61"/>
        <v>1524.6924000000001</v>
      </c>
      <c r="Q777" s="5">
        <f>Table1[[#This Row],[Quantity]]*(Table1[[#This Row],[Saleprice]]-Table1[[#This Row],[Costprice]])</f>
        <v>180.41240000000022</v>
      </c>
      <c r="R777">
        <f t="shared" si="62"/>
        <v>2022</v>
      </c>
      <c r="S777">
        <f t="shared" si="63"/>
        <v>11</v>
      </c>
      <c r="T777" t="str">
        <f t="shared" si="64"/>
        <v>November</v>
      </c>
    </row>
    <row r="778" spans="1:20" x14ac:dyDescent="0.3">
      <c r="A778" s="3">
        <v>44896</v>
      </c>
      <c r="B778">
        <v>110</v>
      </c>
      <c r="C778" s="3">
        <f>_xlfn.XLOOKUP(B778,Stores!A:A,Stores!E:E)</f>
        <v>44174</v>
      </c>
      <c r="D778">
        <v>217</v>
      </c>
      <c r="E778" s="3">
        <f>_xlfn.XLOOKUP(D778,SalesReps!A:A,SalesReps!D:D)</f>
        <v>44896</v>
      </c>
      <c r="F778" s="3" t="str">
        <f>_xlfn.XLOOKUP(Table1[[#This Row],[RepID]],SalesReps!A:A,SalesReps!E:E)</f>
        <v>Left</v>
      </c>
      <c r="G778">
        <v>318</v>
      </c>
      <c r="H778" t="str">
        <f>_xlfn.XLOOKUP(Table1[[#This Row],[ProductID]],Products!A:A,Products!B:B)</f>
        <v>Electronics</v>
      </c>
      <c r="I778" t="str">
        <f>_xlfn.XLOOKUP(Table1[[#This Row],[ProductID]],Products!A:A,Products!C:C)</f>
        <v>Mobiles</v>
      </c>
      <c r="J778">
        <v>6</v>
      </c>
      <c r="K778" s="5">
        <f>_xlfn.XLOOKUP(Table1[[#This Row],[ProductID]],Products!A:A,Products!E:E)</f>
        <v>162.51</v>
      </c>
      <c r="L778" s="5">
        <v>195.79</v>
      </c>
      <c r="M778" s="6">
        <v>7.0000000000000007E-2</v>
      </c>
      <c r="N778" t="s">
        <v>8</v>
      </c>
      <c r="O778" s="5">
        <f t="shared" si="60"/>
        <v>182.08469999999997</v>
      </c>
      <c r="P778" s="5">
        <f t="shared" si="61"/>
        <v>1092.5081999999998</v>
      </c>
      <c r="Q778" s="5">
        <f>Table1[[#This Row],[Quantity]]*(Table1[[#This Row],[Saleprice]]-Table1[[#This Row],[Costprice]])</f>
        <v>117.44819999999987</v>
      </c>
      <c r="R778">
        <f t="shared" si="62"/>
        <v>2022</v>
      </c>
      <c r="S778">
        <f t="shared" si="63"/>
        <v>12</v>
      </c>
      <c r="T778" t="str">
        <f t="shared" si="64"/>
        <v>December</v>
      </c>
    </row>
    <row r="779" spans="1:20" x14ac:dyDescent="0.3">
      <c r="A779" s="3">
        <v>44896</v>
      </c>
      <c r="B779">
        <v>110</v>
      </c>
      <c r="C779" s="3">
        <f>_xlfn.XLOOKUP(B779,Stores!A:A,Stores!E:E)</f>
        <v>44174</v>
      </c>
      <c r="D779">
        <v>217</v>
      </c>
      <c r="E779" s="3">
        <f>_xlfn.XLOOKUP(D779,SalesReps!A:A,SalesReps!D:D)</f>
        <v>44896</v>
      </c>
      <c r="F779" s="3" t="str">
        <f>_xlfn.XLOOKUP(Table1[[#This Row],[RepID]],SalesReps!A:A,SalesReps!E:E)</f>
        <v>Left</v>
      </c>
      <c r="G779">
        <v>305</v>
      </c>
      <c r="H779" t="str">
        <f>_xlfn.XLOOKUP(Table1[[#This Row],[ProductID]],Products!A:A,Products!B:B)</f>
        <v>Electronics</v>
      </c>
      <c r="I779" t="str">
        <f>_xlfn.XLOOKUP(Table1[[#This Row],[ProductID]],Products!A:A,Products!C:C)</f>
        <v>Accessories</v>
      </c>
      <c r="J779">
        <v>1</v>
      </c>
      <c r="K779" s="5">
        <f>_xlfn.XLOOKUP(Table1[[#This Row],[ProductID]],Products!A:A,Products!E:E)</f>
        <v>275.32</v>
      </c>
      <c r="L779" s="5">
        <v>375.11</v>
      </c>
      <c r="M779" s="6">
        <v>0.1</v>
      </c>
      <c r="N779" t="s">
        <v>8</v>
      </c>
      <c r="O779" s="5">
        <f t="shared" si="60"/>
        <v>337.59900000000005</v>
      </c>
      <c r="P779" s="5">
        <f t="shared" si="61"/>
        <v>337.59900000000005</v>
      </c>
      <c r="Q779" s="5">
        <f>Table1[[#This Row],[Quantity]]*(Table1[[#This Row],[Saleprice]]-Table1[[#This Row],[Costprice]])</f>
        <v>62.279000000000053</v>
      </c>
      <c r="R779">
        <f t="shared" si="62"/>
        <v>2022</v>
      </c>
      <c r="S779">
        <f t="shared" si="63"/>
        <v>12</v>
      </c>
      <c r="T779" t="str">
        <f t="shared" si="64"/>
        <v>December</v>
      </c>
    </row>
    <row r="780" spans="1:20" x14ac:dyDescent="0.3">
      <c r="A780" s="3">
        <v>44896</v>
      </c>
      <c r="B780">
        <v>110</v>
      </c>
      <c r="C780" s="3">
        <f>_xlfn.XLOOKUP(B780,Stores!A:A,Stores!E:E)</f>
        <v>44174</v>
      </c>
      <c r="D780">
        <v>217</v>
      </c>
      <c r="E780" s="3">
        <f>_xlfn.XLOOKUP(D780,SalesReps!A:A,SalesReps!D:D)</f>
        <v>44896</v>
      </c>
      <c r="F780" s="3" t="str">
        <f>_xlfn.XLOOKUP(Table1[[#This Row],[RepID]],SalesReps!A:A,SalesReps!E:E)</f>
        <v>Left</v>
      </c>
      <c r="G780">
        <v>312</v>
      </c>
      <c r="H780" t="str">
        <f>_xlfn.XLOOKUP(Table1[[#This Row],[ProductID]],Products!A:A,Products!B:B)</f>
        <v>Toys</v>
      </c>
      <c r="I780" t="str">
        <f>_xlfn.XLOOKUP(Table1[[#This Row],[ProductID]],Products!A:A,Products!C:C)</f>
        <v>Board Games</v>
      </c>
      <c r="J780">
        <v>9</v>
      </c>
      <c r="K780" s="5">
        <f>_xlfn.XLOOKUP(Table1[[#This Row],[ProductID]],Products!A:A,Products!E:E)</f>
        <v>100.05</v>
      </c>
      <c r="L780" s="5">
        <v>168.89</v>
      </c>
      <c r="M780" s="6">
        <v>0.12</v>
      </c>
      <c r="N780" t="s">
        <v>8</v>
      </c>
      <c r="O780" s="5">
        <f t="shared" si="60"/>
        <v>148.6232</v>
      </c>
      <c r="P780" s="5">
        <f t="shared" si="61"/>
        <v>1337.6088</v>
      </c>
      <c r="Q780" s="5">
        <f>Table1[[#This Row],[Quantity]]*(Table1[[#This Row],[Saleprice]]-Table1[[#This Row],[Costprice]])</f>
        <v>437.15879999999999</v>
      </c>
      <c r="R780">
        <f t="shared" si="62"/>
        <v>2022</v>
      </c>
      <c r="S780">
        <f t="shared" si="63"/>
        <v>12</v>
      </c>
      <c r="T780" t="str">
        <f t="shared" si="64"/>
        <v>December</v>
      </c>
    </row>
    <row r="781" spans="1:20" x14ac:dyDescent="0.3">
      <c r="A781" s="3">
        <v>44896</v>
      </c>
      <c r="B781">
        <v>107</v>
      </c>
      <c r="C781" s="3">
        <f>_xlfn.XLOOKUP(B781,Stores!A:A,Stores!E:E)</f>
        <v>44702</v>
      </c>
      <c r="D781">
        <v>215</v>
      </c>
      <c r="E781" s="3">
        <f>_xlfn.XLOOKUP(D781,SalesReps!A:A,SalesReps!D:D)</f>
        <v>44878</v>
      </c>
      <c r="F781" s="3" t="str">
        <f>_xlfn.XLOOKUP(Table1[[#This Row],[RepID]],SalesReps!A:A,SalesReps!E:E)</f>
        <v>Active</v>
      </c>
      <c r="G781">
        <v>320</v>
      </c>
      <c r="H781" t="str">
        <f>_xlfn.XLOOKUP(Table1[[#This Row],[ProductID]],Products!A:A,Products!B:B)</f>
        <v>Toys</v>
      </c>
      <c r="I781" t="str">
        <f>_xlfn.XLOOKUP(Table1[[#This Row],[ProductID]],Products!A:A,Products!C:C)</f>
        <v>Outdoor</v>
      </c>
      <c r="J781">
        <v>2</v>
      </c>
      <c r="K781" s="5">
        <f>_xlfn.XLOOKUP(Table1[[#This Row],[ProductID]],Products!A:A,Products!E:E)</f>
        <v>304.58999999999997</v>
      </c>
      <c r="L781" s="5">
        <v>323.52</v>
      </c>
      <c r="M781" s="6">
        <v>0.15</v>
      </c>
      <c r="N781" t="s">
        <v>8</v>
      </c>
      <c r="O781" s="5">
        <f t="shared" si="60"/>
        <v>274.99199999999996</v>
      </c>
      <c r="P781" s="5">
        <f t="shared" si="61"/>
        <v>549.98399999999992</v>
      </c>
      <c r="Q781" s="5">
        <f>Table1[[#This Row],[Quantity]]*(Table1[[#This Row],[Saleprice]]-Table1[[#This Row],[Costprice]])</f>
        <v>-59.196000000000026</v>
      </c>
      <c r="R781">
        <f t="shared" si="62"/>
        <v>2022</v>
      </c>
      <c r="S781">
        <f t="shared" si="63"/>
        <v>12</v>
      </c>
      <c r="T781" t="str">
        <f t="shared" si="64"/>
        <v>December</v>
      </c>
    </row>
    <row r="782" spans="1:20" x14ac:dyDescent="0.3">
      <c r="A782" s="3">
        <v>44896</v>
      </c>
      <c r="B782">
        <v>102</v>
      </c>
      <c r="C782" s="3">
        <f>_xlfn.XLOOKUP(B782,Stores!A:A,Stores!E:E)</f>
        <v>44875</v>
      </c>
      <c r="D782">
        <v>219</v>
      </c>
      <c r="E782" s="3">
        <f>_xlfn.XLOOKUP(D782,SalesReps!A:A,SalesReps!D:D)</f>
        <v>44883</v>
      </c>
      <c r="F782" s="3" t="str">
        <f>_xlfn.XLOOKUP(Table1[[#This Row],[RepID]],SalesReps!A:A,SalesReps!E:E)</f>
        <v>Active</v>
      </c>
      <c r="G782">
        <v>303</v>
      </c>
      <c r="H782" t="str">
        <f>_xlfn.XLOOKUP(Table1[[#This Row],[ProductID]],Products!A:A,Products!B:B)</f>
        <v>Home &amp; Kitchen</v>
      </c>
      <c r="I782" t="str">
        <f>_xlfn.XLOOKUP(Table1[[#This Row],[ProductID]],Products!A:A,Products!C:C)</f>
        <v>Furniture</v>
      </c>
      <c r="J782">
        <v>3</v>
      </c>
      <c r="K782" s="5">
        <f>_xlfn.XLOOKUP(Table1[[#This Row],[ProductID]],Products!A:A,Products!E:E)</f>
        <v>192.04</v>
      </c>
      <c r="L782" s="5">
        <v>250.36</v>
      </c>
      <c r="M782" s="6">
        <v>0.13</v>
      </c>
      <c r="N782" t="s">
        <v>8</v>
      </c>
      <c r="O782" s="5">
        <f t="shared" si="60"/>
        <v>217.81320000000002</v>
      </c>
      <c r="P782" s="5">
        <f t="shared" si="61"/>
        <v>653.43960000000004</v>
      </c>
      <c r="Q782" s="5">
        <f>Table1[[#This Row],[Quantity]]*(Table1[[#This Row],[Saleprice]]-Table1[[#This Row],[Costprice]])</f>
        <v>77.319600000000094</v>
      </c>
      <c r="R782">
        <f t="shared" si="62"/>
        <v>2022</v>
      </c>
      <c r="S782">
        <f t="shared" si="63"/>
        <v>12</v>
      </c>
      <c r="T782" t="str">
        <f t="shared" si="64"/>
        <v>December</v>
      </c>
    </row>
    <row r="783" spans="1:20" x14ac:dyDescent="0.3">
      <c r="A783" s="3">
        <v>44896</v>
      </c>
      <c r="B783">
        <v>107</v>
      </c>
      <c r="C783" s="3">
        <f>_xlfn.XLOOKUP(B783,Stores!A:A,Stores!E:E)</f>
        <v>44702</v>
      </c>
      <c r="D783">
        <v>215</v>
      </c>
      <c r="E783" s="3">
        <f>_xlfn.XLOOKUP(D783,SalesReps!A:A,SalesReps!D:D)</f>
        <v>44878</v>
      </c>
      <c r="F783" s="3" t="str">
        <f>_xlfn.XLOOKUP(Table1[[#This Row],[RepID]],SalesReps!A:A,SalesReps!E:E)</f>
        <v>Active</v>
      </c>
      <c r="G783">
        <v>317</v>
      </c>
      <c r="H783" t="str">
        <f>_xlfn.XLOOKUP(Table1[[#This Row],[ProductID]],Products!A:A,Products!B:B)</f>
        <v>Toys</v>
      </c>
      <c r="I783" t="str">
        <f>_xlfn.XLOOKUP(Table1[[#This Row],[ProductID]],Products!A:A,Products!C:C)</f>
        <v>Educational</v>
      </c>
      <c r="J783">
        <v>6</v>
      </c>
      <c r="K783" s="5">
        <f>_xlfn.XLOOKUP(Table1[[#This Row],[ProductID]],Products!A:A,Products!E:E)</f>
        <v>77.61</v>
      </c>
      <c r="L783" s="5">
        <v>107.38</v>
      </c>
      <c r="M783" s="6">
        <v>0.15</v>
      </c>
      <c r="N783" t="s">
        <v>8</v>
      </c>
      <c r="O783" s="5">
        <f t="shared" si="60"/>
        <v>91.272999999999996</v>
      </c>
      <c r="P783" s="5">
        <f t="shared" si="61"/>
        <v>547.63799999999992</v>
      </c>
      <c r="Q783" s="5">
        <f>Table1[[#This Row],[Quantity]]*(Table1[[#This Row],[Saleprice]]-Table1[[#This Row],[Costprice]])</f>
        <v>81.97799999999998</v>
      </c>
      <c r="R783">
        <f t="shared" si="62"/>
        <v>2022</v>
      </c>
      <c r="S783">
        <f t="shared" si="63"/>
        <v>12</v>
      </c>
      <c r="T783" t="str">
        <f t="shared" si="64"/>
        <v>December</v>
      </c>
    </row>
    <row r="784" spans="1:20" x14ac:dyDescent="0.3">
      <c r="A784" s="3">
        <v>44896</v>
      </c>
      <c r="B784">
        <v>102</v>
      </c>
      <c r="C784" s="3">
        <f>_xlfn.XLOOKUP(B784,Stores!A:A,Stores!E:E)</f>
        <v>44875</v>
      </c>
      <c r="D784">
        <v>219</v>
      </c>
      <c r="E784" s="3">
        <f>_xlfn.XLOOKUP(D784,SalesReps!A:A,SalesReps!D:D)</f>
        <v>44883</v>
      </c>
      <c r="F784" s="3" t="str">
        <f>_xlfn.XLOOKUP(Table1[[#This Row],[RepID]],SalesReps!A:A,SalesReps!E:E)</f>
        <v>Active</v>
      </c>
      <c r="G784">
        <v>316</v>
      </c>
      <c r="H784" t="str">
        <f>_xlfn.XLOOKUP(Table1[[#This Row],[ProductID]],Products!A:A,Products!B:B)</f>
        <v>Home &amp; Kitchen</v>
      </c>
      <c r="I784" t="str">
        <f>_xlfn.XLOOKUP(Table1[[#This Row],[ProductID]],Products!A:A,Products!C:C)</f>
        <v>Furniture</v>
      </c>
      <c r="J784">
        <v>9</v>
      </c>
      <c r="K784" s="5">
        <f>_xlfn.XLOOKUP(Table1[[#This Row],[ProductID]],Products!A:A,Products!E:E)</f>
        <v>334.95</v>
      </c>
      <c r="L784" s="5">
        <v>341.4</v>
      </c>
      <c r="M784" s="6">
        <v>0.24</v>
      </c>
      <c r="N784" t="s">
        <v>8</v>
      </c>
      <c r="O784" s="5">
        <f t="shared" si="60"/>
        <v>259.464</v>
      </c>
      <c r="P784" s="5">
        <f t="shared" si="61"/>
        <v>2335.1759999999999</v>
      </c>
      <c r="Q784" s="5">
        <f>Table1[[#This Row],[Quantity]]*(Table1[[#This Row],[Saleprice]]-Table1[[#This Row],[Costprice]])</f>
        <v>-679.37399999999991</v>
      </c>
      <c r="R784">
        <f t="shared" si="62"/>
        <v>2022</v>
      </c>
      <c r="S784">
        <f t="shared" si="63"/>
        <v>12</v>
      </c>
      <c r="T784" t="str">
        <f t="shared" si="64"/>
        <v>December</v>
      </c>
    </row>
    <row r="785" spans="1:20" x14ac:dyDescent="0.3">
      <c r="A785" s="3">
        <v>44897</v>
      </c>
      <c r="B785">
        <v>102</v>
      </c>
      <c r="C785" s="3">
        <f>_xlfn.XLOOKUP(B785,Stores!A:A,Stores!E:E)</f>
        <v>44875</v>
      </c>
      <c r="D785">
        <v>219</v>
      </c>
      <c r="E785" s="3">
        <f>_xlfn.XLOOKUP(D785,SalesReps!A:A,SalesReps!D:D)</f>
        <v>44883</v>
      </c>
      <c r="F785" s="3" t="str">
        <f>_xlfn.XLOOKUP(Table1[[#This Row],[RepID]],SalesReps!A:A,SalesReps!E:E)</f>
        <v>Active</v>
      </c>
      <c r="G785">
        <v>316</v>
      </c>
      <c r="H785" t="str">
        <f>_xlfn.XLOOKUP(Table1[[#This Row],[ProductID]],Products!A:A,Products!B:B)</f>
        <v>Home &amp; Kitchen</v>
      </c>
      <c r="I785" t="str">
        <f>_xlfn.XLOOKUP(Table1[[#This Row],[ProductID]],Products!A:A,Products!C:C)</f>
        <v>Furniture</v>
      </c>
      <c r="J785">
        <v>6</v>
      </c>
      <c r="K785" s="5">
        <f>_xlfn.XLOOKUP(Table1[[#This Row],[ProductID]],Products!A:A,Products!E:E)</f>
        <v>334.95</v>
      </c>
      <c r="L785" s="5">
        <v>341.4</v>
      </c>
      <c r="M785" s="6">
        <v>0.24</v>
      </c>
      <c r="N785" t="s">
        <v>8</v>
      </c>
      <c r="O785" s="5">
        <f t="shared" si="60"/>
        <v>259.464</v>
      </c>
      <c r="P785" s="5">
        <f t="shared" si="61"/>
        <v>1556.7840000000001</v>
      </c>
      <c r="Q785" s="5">
        <f>Table1[[#This Row],[Quantity]]*(Table1[[#This Row],[Saleprice]]-Table1[[#This Row],[Costprice]])</f>
        <v>-452.91599999999994</v>
      </c>
      <c r="R785">
        <f t="shared" si="62"/>
        <v>2022</v>
      </c>
      <c r="S785">
        <f t="shared" si="63"/>
        <v>12</v>
      </c>
      <c r="T785" t="str">
        <f t="shared" si="64"/>
        <v>December</v>
      </c>
    </row>
    <row r="786" spans="1:20" x14ac:dyDescent="0.3">
      <c r="A786" s="3">
        <v>44898</v>
      </c>
      <c r="B786">
        <v>107</v>
      </c>
      <c r="C786" s="3">
        <f>_xlfn.XLOOKUP(B786,Stores!A:A,Stores!E:E)</f>
        <v>44702</v>
      </c>
      <c r="D786">
        <v>215</v>
      </c>
      <c r="E786" s="3">
        <f>_xlfn.XLOOKUP(D786,SalesReps!A:A,SalesReps!D:D)</f>
        <v>44878</v>
      </c>
      <c r="F786" s="3" t="str">
        <f>_xlfn.XLOOKUP(Table1[[#This Row],[RepID]],SalesReps!A:A,SalesReps!E:E)</f>
        <v>Active</v>
      </c>
      <c r="G786">
        <v>320</v>
      </c>
      <c r="H786" t="str">
        <f>_xlfn.XLOOKUP(Table1[[#This Row],[ProductID]],Products!A:A,Products!B:B)</f>
        <v>Toys</v>
      </c>
      <c r="I786" t="str">
        <f>_xlfn.XLOOKUP(Table1[[#This Row],[ProductID]],Products!A:A,Products!C:C)</f>
        <v>Outdoor</v>
      </c>
      <c r="J786">
        <v>7</v>
      </c>
      <c r="K786" s="5">
        <f>_xlfn.XLOOKUP(Table1[[#This Row],[ProductID]],Products!A:A,Products!E:E)</f>
        <v>304.58999999999997</v>
      </c>
      <c r="L786" s="5">
        <v>323.52</v>
      </c>
      <c r="M786" s="6">
        <v>0.15</v>
      </c>
      <c r="N786" t="s">
        <v>8</v>
      </c>
      <c r="O786" s="5">
        <f t="shared" si="60"/>
        <v>274.99199999999996</v>
      </c>
      <c r="P786" s="5">
        <f t="shared" si="61"/>
        <v>1924.9439999999997</v>
      </c>
      <c r="Q786" s="5">
        <f>Table1[[#This Row],[Quantity]]*(Table1[[#This Row],[Saleprice]]-Table1[[#This Row],[Costprice]])</f>
        <v>-207.18600000000009</v>
      </c>
      <c r="R786">
        <f t="shared" si="62"/>
        <v>2022</v>
      </c>
      <c r="S786">
        <f t="shared" si="63"/>
        <v>12</v>
      </c>
      <c r="T786" t="str">
        <f t="shared" si="64"/>
        <v>December</v>
      </c>
    </row>
    <row r="787" spans="1:20" x14ac:dyDescent="0.3">
      <c r="A787" s="3">
        <v>44898</v>
      </c>
      <c r="B787">
        <v>102</v>
      </c>
      <c r="C787" s="3">
        <f>_xlfn.XLOOKUP(B787,Stores!A:A,Stores!E:E)</f>
        <v>44875</v>
      </c>
      <c r="D787">
        <v>219</v>
      </c>
      <c r="E787" s="3">
        <f>_xlfn.XLOOKUP(D787,SalesReps!A:A,SalesReps!D:D)</f>
        <v>44883</v>
      </c>
      <c r="F787" s="3" t="str">
        <f>_xlfn.XLOOKUP(Table1[[#This Row],[RepID]],SalesReps!A:A,SalesReps!E:E)</f>
        <v>Active</v>
      </c>
      <c r="G787">
        <v>302</v>
      </c>
      <c r="H787" t="str">
        <f>_xlfn.XLOOKUP(Table1[[#This Row],[ProductID]],Products!A:A,Products!B:B)</f>
        <v>Toys</v>
      </c>
      <c r="I787" t="str">
        <f>_xlfn.XLOOKUP(Table1[[#This Row],[ProductID]],Products!A:A,Products!C:C)</f>
        <v>Outdoor</v>
      </c>
      <c r="J787">
        <v>2</v>
      </c>
      <c r="K787" s="5">
        <f>_xlfn.XLOOKUP(Table1[[#This Row],[ProductID]],Products!A:A,Products!E:E)</f>
        <v>393.46</v>
      </c>
      <c r="L787" s="5">
        <v>399.95</v>
      </c>
      <c r="M787" s="6">
        <v>0.13</v>
      </c>
      <c r="N787" t="s">
        <v>8</v>
      </c>
      <c r="O787" s="5">
        <f t="shared" si="60"/>
        <v>347.95650000000001</v>
      </c>
      <c r="P787" s="5">
        <f t="shared" si="61"/>
        <v>695.91300000000001</v>
      </c>
      <c r="Q787" s="5">
        <f>Table1[[#This Row],[Quantity]]*(Table1[[#This Row],[Saleprice]]-Table1[[#This Row],[Costprice]])</f>
        <v>-91.006999999999948</v>
      </c>
      <c r="R787">
        <f t="shared" si="62"/>
        <v>2022</v>
      </c>
      <c r="S787">
        <f t="shared" si="63"/>
        <v>12</v>
      </c>
      <c r="T787" t="str">
        <f t="shared" si="64"/>
        <v>December</v>
      </c>
    </row>
    <row r="788" spans="1:20" x14ac:dyDescent="0.3">
      <c r="A788" s="3">
        <v>44898</v>
      </c>
      <c r="B788">
        <v>110</v>
      </c>
      <c r="C788" s="3">
        <f>_xlfn.XLOOKUP(B788,Stores!A:A,Stores!E:E)</f>
        <v>44174</v>
      </c>
      <c r="D788">
        <v>217</v>
      </c>
      <c r="E788" s="3">
        <f>_xlfn.XLOOKUP(D788,SalesReps!A:A,SalesReps!D:D)</f>
        <v>44896</v>
      </c>
      <c r="F788" s="3" t="str">
        <f>_xlfn.XLOOKUP(Table1[[#This Row],[RepID]],SalesReps!A:A,SalesReps!E:E)</f>
        <v>Left</v>
      </c>
      <c r="G788">
        <v>319</v>
      </c>
      <c r="H788" t="str">
        <f>_xlfn.XLOOKUP(Table1[[#This Row],[ProductID]],Products!A:A,Products!B:B)</f>
        <v>Toys</v>
      </c>
      <c r="I788" t="str">
        <f>_xlfn.XLOOKUP(Table1[[#This Row],[ProductID]],Products!A:A,Products!C:C)</f>
        <v>Board Games</v>
      </c>
      <c r="J788">
        <v>4</v>
      </c>
      <c r="K788" s="5">
        <f>_xlfn.XLOOKUP(Table1[[#This Row],[ProductID]],Products!A:A,Products!E:E)</f>
        <v>81.069999999999993</v>
      </c>
      <c r="L788" s="5">
        <v>180.68</v>
      </c>
      <c r="M788" s="6">
        <v>0.06</v>
      </c>
      <c r="N788" t="s">
        <v>8</v>
      </c>
      <c r="O788" s="5">
        <f t="shared" si="60"/>
        <v>169.83920000000001</v>
      </c>
      <c r="P788" s="5">
        <f t="shared" si="61"/>
        <v>679.35680000000002</v>
      </c>
      <c r="Q788" s="5">
        <f>Table1[[#This Row],[Quantity]]*(Table1[[#This Row],[Saleprice]]-Table1[[#This Row],[Costprice]])</f>
        <v>355.07680000000005</v>
      </c>
      <c r="R788">
        <f t="shared" si="62"/>
        <v>2022</v>
      </c>
      <c r="S788">
        <f t="shared" si="63"/>
        <v>12</v>
      </c>
      <c r="T788" t="str">
        <f t="shared" si="64"/>
        <v>December</v>
      </c>
    </row>
    <row r="789" spans="1:20" x14ac:dyDescent="0.3">
      <c r="A789" s="3">
        <v>44898</v>
      </c>
      <c r="B789">
        <v>110</v>
      </c>
      <c r="C789" s="3">
        <f>_xlfn.XLOOKUP(B789,Stores!A:A,Stores!E:E)</f>
        <v>44174</v>
      </c>
      <c r="D789">
        <v>217</v>
      </c>
      <c r="E789" s="3">
        <f>_xlfn.XLOOKUP(D789,SalesReps!A:A,SalesReps!D:D)</f>
        <v>44896</v>
      </c>
      <c r="F789" s="3" t="str">
        <f>_xlfn.XLOOKUP(Table1[[#This Row],[RepID]],SalesReps!A:A,SalesReps!E:E)</f>
        <v>Left</v>
      </c>
      <c r="G789">
        <v>320</v>
      </c>
      <c r="H789" t="str">
        <f>_xlfn.XLOOKUP(Table1[[#This Row],[ProductID]],Products!A:A,Products!B:B)</f>
        <v>Toys</v>
      </c>
      <c r="I789" t="str">
        <f>_xlfn.XLOOKUP(Table1[[#This Row],[ProductID]],Products!A:A,Products!C:C)</f>
        <v>Outdoor</v>
      </c>
      <c r="J789">
        <v>7</v>
      </c>
      <c r="K789" s="5">
        <f>_xlfn.XLOOKUP(Table1[[#This Row],[ProductID]],Products!A:A,Products!E:E)</f>
        <v>304.58999999999997</v>
      </c>
      <c r="L789" s="5">
        <v>332.08</v>
      </c>
      <c r="M789" s="6">
        <v>0.23</v>
      </c>
      <c r="N789" t="s">
        <v>8</v>
      </c>
      <c r="O789" s="5">
        <f t="shared" si="60"/>
        <v>255.70159999999998</v>
      </c>
      <c r="P789" s="5">
        <f t="shared" si="61"/>
        <v>1789.9112</v>
      </c>
      <c r="Q789" s="5">
        <f>Table1[[#This Row],[Quantity]]*(Table1[[#This Row],[Saleprice]]-Table1[[#This Row],[Costprice]])</f>
        <v>-342.21879999999993</v>
      </c>
      <c r="R789">
        <f t="shared" si="62"/>
        <v>2022</v>
      </c>
      <c r="S789">
        <f t="shared" si="63"/>
        <v>12</v>
      </c>
      <c r="T789" t="str">
        <f t="shared" si="64"/>
        <v>December</v>
      </c>
    </row>
    <row r="790" spans="1:20" x14ac:dyDescent="0.3">
      <c r="A790" s="3">
        <v>44898</v>
      </c>
      <c r="B790">
        <v>102</v>
      </c>
      <c r="C790" s="3">
        <f>_xlfn.XLOOKUP(B790,Stores!A:A,Stores!E:E)</f>
        <v>44875</v>
      </c>
      <c r="D790">
        <v>219</v>
      </c>
      <c r="E790" s="3">
        <f>_xlfn.XLOOKUP(D790,SalesReps!A:A,SalesReps!D:D)</f>
        <v>44883</v>
      </c>
      <c r="F790" s="3" t="str">
        <f>_xlfn.XLOOKUP(Table1[[#This Row],[RepID]],SalesReps!A:A,SalesReps!E:E)</f>
        <v>Active</v>
      </c>
      <c r="G790">
        <v>318</v>
      </c>
      <c r="H790" t="str">
        <f>_xlfn.XLOOKUP(Table1[[#This Row],[ProductID]],Products!A:A,Products!B:B)</f>
        <v>Electronics</v>
      </c>
      <c r="I790" t="str">
        <f>_xlfn.XLOOKUP(Table1[[#This Row],[ProductID]],Products!A:A,Products!C:C)</f>
        <v>Mobiles</v>
      </c>
      <c r="J790">
        <v>8</v>
      </c>
      <c r="K790" s="5">
        <f>_xlfn.XLOOKUP(Table1[[#This Row],[ProductID]],Products!A:A,Products!E:E)</f>
        <v>162.51</v>
      </c>
      <c r="L790" s="5">
        <v>221.52</v>
      </c>
      <c r="M790" s="6">
        <v>0.17</v>
      </c>
      <c r="N790" t="s">
        <v>8</v>
      </c>
      <c r="O790" s="5">
        <f t="shared" si="60"/>
        <v>183.86160000000001</v>
      </c>
      <c r="P790" s="5">
        <f t="shared" si="61"/>
        <v>1470.8928000000001</v>
      </c>
      <c r="Q790" s="5">
        <f>Table1[[#This Row],[Quantity]]*(Table1[[#This Row],[Saleprice]]-Table1[[#This Row],[Costprice]])</f>
        <v>170.81280000000015</v>
      </c>
      <c r="R790">
        <f t="shared" si="62"/>
        <v>2022</v>
      </c>
      <c r="S790">
        <f t="shared" si="63"/>
        <v>12</v>
      </c>
      <c r="T790" t="str">
        <f t="shared" si="64"/>
        <v>December</v>
      </c>
    </row>
    <row r="791" spans="1:20" x14ac:dyDescent="0.3">
      <c r="A791" s="3">
        <v>44899</v>
      </c>
      <c r="B791">
        <v>110</v>
      </c>
      <c r="C791" s="3">
        <f>_xlfn.XLOOKUP(B791,Stores!A:A,Stores!E:E)</f>
        <v>44174</v>
      </c>
      <c r="D791">
        <v>217</v>
      </c>
      <c r="E791" s="3">
        <f>_xlfn.XLOOKUP(D791,SalesReps!A:A,SalesReps!D:D)</f>
        <v>44896</v>
      </c>
      <c r="F791" s="3" t="str">
        <f>_xlfn.XLOOKUP(Table1[[#This Row],[RepID]],SalesReps!A:A,SalesReps!E:E)</f>
        <v>Left</v>
      </c>
      <c r="G791">
        <v>318</v>
      </c>
      <c r="H791" t="str">
        <f>_xlfn.XLOOKUP(Table1[[#This Row],[ProductID]],Products!A:A,Products!B:B)</f>
        <v>Electronics</v>
      </c>
      <c r="I791" t="str">
        <f>_xlfn.XLOOKUP(Table1[[#This Row],[ProductID]],Products!A:A,Products!C:C)</f>
        <v>Mobiles</v>
      </c>
      <c r="J791">
        <v>9</v>
      </c>
      <c r="K791" s="5">
        <f>_xlfn.XLOOKUP(Table1[[#This Row],[ProductID]],Products!A:A,Products!E:E)</f>
        <v>162.51</v>
      </c>
      <c r="L791" s="5">
        <v>195.79</v>
      </c>
      <c r="M791" s="6">
        <v>7.0000000000000007E-2</v>
      </c>
      <c r="N791" t="s">
        <v>8</v>
      </c>
      <c r="O791" s="5">
        <f t="shared" si="60"/>
        <v>182.08469999999997</v>
      </c>
      <c r="P791" s="5">
        <f t="shared" si="61"/>
        <v>1638.7622999999996</v>
      </c>
      <c r="Q791" s="5">
        <f>Table1[[#This Row],[Quantity]]*(Table1[[#This Row],[Saleprice]]-Table1[[#This Row],[Costprice]])</f>
        <v>176.17229999999981</v>
      </c>
      <c r="R791">
        <f t="shared" si="62"/>
        <v>2022</v>
      </c>
      <c r="S791">
        <f t="shared" si="63"/>
        <v>12</v>
      </c>
      <c r="T791" t="str">
        <f t="shared" si="64"/>
        <v>December</v>
      </c>
    </row>
    <row r="792" spans="1:20" x14ac:dyDescent="0.3">
      <c r="A792" s="3">
        <v>44899</v>
      </c>
      <c r="B792">
        <v>110</v>
      </c>
      <c r="C792" s="3">
        <f>_xlfn.XLOOKUP(B792,Stores!A:A,Stores!E:E)</f>
        <v>44174</v>
      </c>
      <c r="D792">
        <v>217</v>
      </c>
      <c r="E792" s="3">
        <f>_xlfn.XLOOKUP(D792,SalesReps!A:A,SalesReps!D:D)</f>
        <v>44896</v>
      </c>
      <c r="F792" s="3" t="str">
        <f>_xlfn.XLOOKUP(Table1[[#This Row],[RepID]],SalesReps!A:A,SalesReps!E:E)</f>
        <v>Left</v>
      </c>
      <c r="G792">
        <v>315</v>
      </c>
      <c r="H792" t="str">
        <f>_xlfn.XLOOKUP(Table1[[#This Row],[ProductID]],Products!A:A,Products!B:B)</f>
        <v>Toys</v>
      </c>
      <c r="I792" t="str">
        <f>_xlfn.XLOOKUP(Table1[[#This Row],[ProductID]],Products!A:A,Products!C:C)</f>
        <v>Board Games</v>
      </c>
      <c r="J792">
        <v>4</v>
      </c>
      <c r="K792" s="5">
        <f>_xlfn.XLOOKUP(Table1[[#This Row],[ProductID]],Products!A:A,Products!E:E)</f>
        <v>247.9</v>
      </c>
      <c r="L792" s="5">
        <v>257.47000000000003</v>
      </c>
      <c r="M792" s="6">
        <v>0.24</v>
      </c>
      <c r="N792" t="s">
        <v>8</v>
      </c>
      <c r="O792" s="5">
        <f t="shared" si="60"/>
        <v>195.67720000000003</v>
      </c>
      <c r="P792" s="5">
        <f t="shared" si="61"/>
        <v>782.70880000000011</v>
      </c>
      <c r="Q792" s="5">
        <f>Table1[[#This Row],[Quantity]]*(Table1[[#This Row],[Saleprice]]-Table1[[#This Row],[Costprice]])</f>
        <v>-208.89119999999991</v>
      </c>
      <c r="R792">
        <f t="shared" si="62"/>
        <v>2022</v>
      </c>
      <c r="S792">
        <f t="shared" si="63"/>
        <v>12</v>
      </c>
      <c r="T792" t="str">
        <f t="shared" si="64"/>
        <v>December</v>
      </c>
    </row>
    <row r="793" spans="1:20" x14ac:dyDescent="0.3">
      <c r="A793" s="3">
        <v>44899</v>
      </c>
      <c r="B793">
        <v>110</v>
      </c>
      <c r="C793" s="3">
        <f>_xlfn.XLOOKUP(B793,Stores!A:A,Stores!E:E)</f>
        <v>44174</v>
      </c>
      <c r="D793">
        <v>217</v>
      </c>
      <c r="E793" s="3">
        <f>_xlfn.XLOOKUP(D793,SalesReps!A:A,SalesReps!D:D)</f>
        <v>44896</v>
      </c>
      <c r="F793" s="3" t="str">
        <f>_xlfn.XLOOKUP(Table1[[#This Row],[RepID]],SalesReps!A:A,SalesReps!E:E)</f>
        <v>Left</v>
      </c>
      <c r="G793">
        <v>303</v>
      </c>
      <c r="H793" t="str">
        <f>_xlfn.XLOOKUP(Table1[[#This Row],[ProductID]],Products!A:A,Products!B:B)</f>
        <v>Home &amp; Kitchen</v>
      </c>
      <c r="I793" t="str">
        <f>_xlfn.XLOOKUP(Table1[[#This Row],[ProductID]],Products!A:A,Products!C:C)</f>
        <v>Furniture</v>
      </c>
      <c r="J793">
        <v>9</v>
      </c>
      <c r="K793" s="5">
        <f>_xlfn.XLOOKUP(Table1[[#This Row],[ProductID]],Products!A:A,Products!E:E)</f>
        <v>192.04</v>
      </c>
      <c r="L793" s="5">
        <v>210.28</v>
      </c>
      <c r="M793" s="6">
        <v>0.17</v>
      </c>
      <c r="N793" t="s">
        <v>8</v>
      </c>
      <c r="O793" s="5">
        <f t="shared" si="60"/>
        <v>174.5324</v>
      </c>
      <c r="P793" s="5">
        <f t="shared" si="61"/>
        <v>1570.7916</v>
      </c>
      <c r="Q793" s="5">
        <f>Table1[[#This Row],[Quantity]]*(Table1[[#This Row],[Saleprice]]-Table1[[#This Row],[Costprice]])</f>
        <v>-157.56839999999997</v>
      </c>
      <c r="R793">
        <f t="shared" si="62"/>
        <v>2022</v>
      </c>
      <c r="S793">
        <f t="shared" si="63"/>
        <v>12</v>
      </c>
      <c r="T793" t="str">
        <f t="shared" si="64"/>
        <v>December</v>
      </c>
    </row>
    <row r="794" spans="1:20" x14ac:dyDescent="0.3">
      <c r="A794" s="3">
        <v>44899</v>
      </c>
      <c r="B794">
        <v>102</v>
      </c>
      <c r="C794" s="3">
        <f>_xlfn.XLOOKUP(B794,Stores!A:A,Stores!E:E)</f>
        <v>44875</v>
      </c>
      <c r="D794">
        <v>219</v>
      </c>
      <c r="E794" s="3">
        <f>_xlfn.XLOOKUP(D794,SalesReps!A:A,SalesReps!D:D)</f>
        <v>44883</v>
      </c>
      <c r="F794" s="3" t="str">
        <f>_xlfn.XLOOKUP(Table1[[#This Row],[RepID]],SalesReps!A:A,SalesReps!E:E)</f>
        <v>Active</v>
      </c>
      <c r="G794">
        <v>302</v>
      </c>
      <c r="H794" t="str">
        <f>_xlfn.XLOOKUP(Table1[[#This Row],[ProductID]],Products!A:A,Products!B:B)</f>
        <v>Toys</v>
      </c>
      <c r="I794" t="str">
        <f>_xlfn.XLOOKUP(Table1[[#This Row],[ProductID]],Products!A:A,Products!C:C)</f>
        <v>Outdoor</v>
      </c>
      <c r="J794">
        <v>3</v>
      </c>
      <c r="K794" s="5">
        <f>_xlfn.XLOOKUP(Table1[[#This Row],[ProductID]],Products!A:A,Products!E:E)</f>
        <v>393.46</v>
      </c>
      <c r="L794" s="5">
        <v>399.95</v>
      </c>
      <c r="M794" s="6">
        <v>0.13</v>
      </c>
      <c r="N794" t="s">
        <v>8</v>
      </c>
      <c r="O794" s="5">
        <f t="shared" si="60"/>
        <v>347.95650000000001</v>
      </c>
      <c r="P794" s="5">
        <f t="shared" si="61"/>
        <v>1043.8695</v>
      </c>
      <c r="Q794" s="5">
        <f>Table1[[#This Row],[Quantity]]*(Table1[[#This Row],[Saleprice]]-Table1[[#This Row],[Costprice]])</f>
        <v>-136.51049999999992</v>
      </c>
      <c r="R794">
        <f t="shared" si="62"/>
        <v>2022</v>
      </c>
      <c r="S794">
        <f t="shared" si="63"/>
        <v>12</v>
      </c>
      <c r="T794" t="str">
        <f t="shared" si="64"/>
        <v>December</v>
      </c>
    </row>
    <row r="795" spans="1:20" x14ac:dyDescent="0.3">
      <c r="A795" s="3">
        <v>44900</v>
      </c>
      <c r="B795">
        <v>102</v>
      </c>
      <c r="C795" s="3">
        <f>_xlfn.XLOOKUP(B795,Stores!A:A,Stores!E:E)</f>
        <v>44875</v>
      </c>
      <c r="D795">
        <v>219</v>
      </c>
      <c r="E795" s="3">
        <f>_xlfn.XLOOKUP(D795,SalesReps!A:A,SalesReps!D:D)</f>
        <v>44883</v>
      </c>
      <c r="F795" s="3" t="str">
        <f>_xlfn.XLOOKUP(Table1[[#This Row],[RepID]],SalesReps!A:A,SalesReps!E:E)</f>
        <v>Active</v>
      </c>
      <c r="G795">
        <v>304</v>
      </c>
      <c r="H795" t="str">
        <f>_xlfn.XLOOKUP(Table1[[#This Row],[ProductID]],Products!A:A,Products!B:B)</f>
        <v>Home &amp; Kitchen</v>
      </c>
      <c r="I795" t="str">
        <f>_xlfn.XLOOKUP(Table1[[#This Row],[ProductID]],Products!A:A,Products!C:C)</f>
        <v>Furniture</v>
      </c>
      <c r="J795">
        <v>8</v>
      </c>
      <c r="K795" s="5">
        <f>_xlfn.XLOOKUP(Table1[[#This Row],[ProductID]],Products!A:A,Products!E:E)</f>
        <v>345.38</v>
      </c>
      <c r="L795" s="5">
        <v>439.95</v>
      </c>
      <c r="M795" s="6">
        <v>0.17</v>
      </c>
      <c r="N795" t="s">
        <v>8</v>
      </c>
      <c r="O795" s="5">
        <f t="shared" si="60"/>
        <v>365.15849999999995</v>
      </c>
      <c r="P795" s="5">
        <f t="shared" si="61"/>
        <v>2921.2679999999996</v>
      </c>
      <c r="Q795" s="5">
        <f>Table1[[#This Row],[Quantity]]*(Table1[[#This Row],[Saleprice]]-Table1[[#This Row],[Costprice]])</f>
        <v>158.22799999999961</v>
      </c>
      <c r="R795">
        <f t="shared" si="62"/>
        <v>2022</v>
      </c>
      <c r="S795">
        <f t="shared" si="63"/>
        <v>12</v>
      </c>
      <c r="T795" t="str">
        <f t="shared" si="64"/>
        <v>December</v>
      </c>
    </row>
    <row r="796" spans="1:20" x14ac:dyDescent="0.3">
      <c r="A796" s="3">
        <v>44900</v>
      </c>
      <c r="B796">
        <v>102</v>
      </c>
      <c r="C796" s="3">
        <f>_xlfn.XLOOKUP(B796,Stores!A:A,Stores!E:E)</f>
        <v>44875</v>
      </c>
      <c r="D796">
        <v>219</v>
      </c>
      <c r="E796" s="3">
        <f>_xlfn.XLOOKUP(D796,SalesReps!A:A,SalesReps!D:D)</f>
        <v>44883</v>
      </c>
      <c r="F796" s="3" t="str">
        <f>_xlfn.XLOOKUP(Table1[[#This Row],[RepID]],SalesReps!A:A,SalesReps!E:E)</f>
        <v>Active</v>
      </c>
      <c r="G796">
        <v>315</v>
      </c>
      <c r="H796" t="str">
        <f>_xlfn.XLOOKUP(Table1[[#This Row],[ProductID]],Products!A:A,Products!B:B)</f>
        <v>Toys</v>
      </c>
      <c r="I796" t="str">
        <f>_xlfn.XLOOKUP(Table1[[#This Row],[ProductID]],Products!A:A,Products!C:C)</f>
        <v>Board Games</v>
      </c>
      <c r="J796">
        <v>7</v>
      </c>
      <c r="K796" s="5">
        <f>_xlfn.XLOOKUP(Table1[[#This Row],[ProductID]],Products!A:A,Products!E:E)</f>
        <v>247.9</v>
      </c>
      <c r="L796" s="5">
        <v>257.43</v>
      </c>
      <c r="M796" s="6">
        <v>0.16</v>
      </c>
      <c r="N796" t="s">
        <v>8</v>
      </c>
      <c r="O796" s="5">
        <f t="shared" si="60"/>
        <v>216.24119999999999</v>
      </c>
      <c r="P796" s="5">
        <f t="shared" si="61"/>
        <v>1513.6884</v>
      </c>
      <c r="Q796" s="5">
        <f>Table1[[#This Row],[Quantity]]*(Table1[[#This Row],[Saleprice]]-Table1[[#This Row],[Costprice]])</f>
        <v>-221.6116000000001</v>
      </c>
      <c r="R796">
        <f t="shared" si="62"/>
        <v>2022</v>
      </c>
      <c r="S796">
        <f t="shared" si="63"/>
        <v>12</v>
      </c>
      <c r="T796" t="str">
        <f t="shared" si="64"/>
        <v>December</v>
      </c>
    </row>
    <row r="797" spans="1:20" x14ac:dyDescent="0.3">
      <c r="A797" s="3">
        <v>44900</v>
      </c>
      <c r="B797">
        <v>107</v>
      </c>
      <c r="C797" s="3">
        <f>_xlfn.XLOOKUP(B797,Stores!A:A,Stores!E:E)</f>
        <v>44702</v>
      </c>
      <c r="D797">
        <v>215</v>
      </c>
      <c r="E797" s="3">
        <f>_xlfn.XLOOKUP(D797,SalesReps!A:A,SalesReps!D:D)</f>
        <v>44878</v>
      </c>
      <c r="F797" s="3" t="str">
        <f>_xlfn.XLOOKUP(Table1[[#This Row],[RepID]],SalesReps!A:A,SalesReps!E:E)</f>
        <v>Active</v>
      </c>
      <c r="G797">
        <v>314</v>
      </c>
      <c r="H797" t="str">
        <f>_xlfn.XLOOKUP(Table1[[#This Row],[ProductID]],Products!A:A,Products!B:B)</f>
        <v>Clothing</v>
      </c>
      <c r="I797" t="str">
        <f>_xlfn.XLOOKUP(Table1[[#This Row],[ProductID]],Products!A:A,Products!C:C)</f>
        <v>Kids</v>
      </c>
      <c r="J797">
        <v>9</v>
      </c>
      <c r="K797" s="5">
        <f>_xlfn.XLOOKUP(Table1[[#This Row],[ProductID]],Products!A:A,Products!E:E)</f>
        <v>276.47000000000003</v>
      </c>
      <c r="L797" s="5">
        <v>323.49</v>
      </c>
      <c r="M797" s="6">
        <v>0.1</v>
      </c>
      <c r="N797" t="s">
        <v>8</v>
      </c>
      <c r="O797" s="5">
        <f t="shared" si="60"/>
        <v>291.14100000000002</v>
      </c>
      <c r="P797" s="5">
        <f t="shared" si="61"/>
        <v>2620.2690000000002</v>
      </c>
      <c r="Q797" s="5">
        <f>Table1[[#This Row],[Quantity]]*(Table1[[#This Row],[Saleprice]]-Table1[[#This Row],[Costprice]])</f>
        <v>132.03899999999993</v>
      </c>
      <c r="R797">
        <f t="shared" si="62"/>
        <v>2022</v>
      </c>
      <c r="S797">
        <f t="shared" si="63"/>
        <v>12</v>
      </c>
      <c r="T797" t="str">
        <f t="shared" si="64"/>
        <v>December</v>
      </c>
    </row>
    <row r="798" spans="1:20" x14ac:dyDescent="0.3">
      <c r="A798" s="3">
        <v>44901</v>
      </c>
      <c r="B798">
        <v>102</v>
      </c>
      <c r="C798" s="3">
        <f>_xlfn.XLOOKUP(B798,Stores!A:A,Stores!E:E)</f>
        <v>44875</v>
      </c>
      <c r="D798">
        <v>219</v>
      </c>
      <c r="E798" s="3">
        <f>_xlfn.XLOOKUP(D798,SalesReps!A:A,SalesReps!D:D)</f>
        <v>44883</v>
      </c>
      <c r="F798" s="3" t="str">
        <f>_xlfn.XLOOKUP(Table1[[#This Row],[RepID]],SalesReps!A:A,SalesReps!E:E)</f>
        <v>Active</v>
      </c>
      <c r="G798">
        <v>305</v>
      </c>
      <c r="H798" t="str">
        <f>_xlfn.XLOOKUP(Table1[[#This Row],[ProductID]],Products!A:A,Products!B:B)</f>
        <v>Electronics</v>
      </c>
      <c r="I798" t="str">
        <f>_xlfn.XLOOKUP(Table1[[#This Row],[ProductID]],Products!A:A,Products!C:C)</f>
        <v>Accessories</v>
      </c>
      <c r="J798">
        <v>5</v>
      </c>
      <c r="K798" s="5">
        <f>_xlfn.XLOOKUP(Table1[[#This Row],[ProductID]],Products!A:A,Products!E:E)</f>
        <v>275.32</v>
      </c>
      <c r="L798" s="5">
        <v>295.95999999999998</v>
      </c>
      <c r="M798" s="6">
        <v>0.16</v>
      </c>
      <c r="N798" t="s">
        <v>8</v>
      </c>
      <c r="O798" s="5">
        <f t="shared" si="60"/>
        <v>248.60639999999998</v>
      </c>
      <c r="P798" s="5">
        <f t="shared" si="61"/>
        <v>1243.0319999999999</v>
      </c>
      <c r="Q798" s="5">
        <f>Table1[[#This Row],[Quantity]]*(Table1[[#This Row],[Saleprice]]-Table1[[#This Row],[Costprice]])</f>
        <v>-133.56800000000007</v>
      </c>
      <c r="R798">
        <f t="shared" si="62"/>
        <v>2022</v>
      </c>
      <c r="S798">
        <f t="shared" si="63"/>
        <v>12</v>
      </c>
      <c r="T798" t="str">
        <f t="shared" si="64"/>
        <v>December</v>
      </c>
    </row>
    <row r="799" spans="1:20" x14ac:dyDescent="0.3">
      <c r="A799" s="3">
        <v>44901</v>
      </c>
      <c r="B799">
        <v>102</v>
      </c>
      <c r="C799" s="3">
        <f>_xlfn.XLOOKUP(B799,Stores!A:A,Stores!E:E)</f>
        <v>44875</v>
      </c>
      <c r="D799">
        <v>219</v>
      </c>
      <c r="E799" s="3">
        <f>_xlfn.XLOOKUP(D799,SalesReps!A:A,SalesReps!D:D)</f>
        <v>44883</v>
      </c>
      <c r="F799" s="3" t="str">
        <f>_xlfn.XLOOKUP(Table1[[#This Row],[RepID]],SalesReps!A:A,SalesReps!E:E)</f>
        <v>Active</v>
      </c>
      <c r="G799">
        <v>315</v>
      </c>
      <c r="H799" t="str">
        <f>_xlfn.XLOOKUP(Table1[[#This Row],[ProductID]],Products!A:A,Products!B:B)</f>
        <v>Toys</v>
      </c>
      <c r="I799" t="str">
        <f>_xlfn.XLOOKUP(Table1[[#This Row],[ProductID]],Products!A:A,Products!C:C)</f>
        <v>Board Games</v>
      </c>
      <c r="J799">
        <v>4</v>
      </c>
      <c r="K799" s="5">
        <f>_xlfn.XLOOKUP(Table1[[#This Row],[ProductID]],Products!A:A,Products!E:E)</f>
        <v>247.9</v>
      </c>
      <c r="L799" s="5">
        <v>257.43</v>
      </c>
      <c r="M799" s="6">
        <v>0.16</v>
      </c>
      <c r="N799" t="s">
        <v>8</v>
      </c>
      <c r="O799" s="5">
        <f t="shared" si="60"/>
        <v>216.24119999999999</v>
      </c>
      <c r="P799" s="5">
        <f t="shared" si="61"/>
        <v>864.96479999999997</v>
      </c>
      <c r="Q799" s="5">
        <f>Table1[[#This Row],[Quantity]]*(Table1[[#This Row],[Saleprice]]-Table1[[#This Row],[Costprice]])</f>
        <v>-126.63520000000005</v>
      </c>
      <c r="R799">
        <f t="shared" si="62"/>
        <v>2022</v>
      </c>
      <c r="S799">
        <f t="shared" si="63"/>
        <v>12</v>
      </c>
      <c r="T799" t="str">
        <f t="shared" si="64"/>
        <v>December</v>
      </c>
    </row>
    <row r="800" spans="1:20" x14ac:dyDescent="0.3">
      <c r="A800" s="3">
        <v>44901</v>
      </c>
      <c r="B800">
        <v>110</v>
      </c>
      <c r="C800" s="3">
        <f>_xlfn.XLOOKUP(B800,Stores!A:A,Stores!E:E)</f>
        <v>44174</v>
      </c>
      <c r="D800">
        <v>217</v>
      </c>
      <c r="E800" s="3">
        <f>_xlfn.XLOOKUP(D800,SalesReps!A:A,SalesReps!D:D)</f>
        <v>44896</v>
      </c>
      <c r="F800" s="3" t="str">
        <f>_xlfn.XLOOKUP(Table1[[#This Row],[RepID]],SalesReps!A:A,SalesReps!E:E)</f>
        <v>Left</v>
      </c>
      <c r="G800">
        <v>302</v>
      </c>
      <c r="H800" t="str">
        <f>_xlfn.XLOOKUP(Table1[[#This Row],[ProductID]],Products!A:A,Products!B:B)</f>
        <v>Toys</v>
      </c>
      <c r="I800" t="str">
        <f>_xlfn.XLOOKUP(Table1[[#This Row],[ProductID]],Products!A:A,Products!C:C)</f>
        <v>Outdoor</v>
      </c>
      <c r="J800">
        <v>5</v>
      </c>
      <c r="K800" s="5">
        <f>_xlfn.XLOOKUP(Table1[[#This Row],[ProductID]],Products!A:A,Products!E:E)</f>
        <v>393.46</v>
      </c>
      <c r="L800" s="5">
        <v>462</v>
      </c>
      <c r="M800" s="6">
        <v>0.18</v>
      </c>
      <c r="N800" t="s">
        <v>8</v>
      </c>
      <c r="O800" s="5">
        <f t="shared" si="60"/>
        <v>378.84000000000003</v>
      </c>
      <c r="P800" s="5">
        <f t="shared" si="61"/>
        <v>1894.2000000000003</v>
      </c>
      <c r="Q800" s="5">
        <f>Table1[[#This Row],[Quantity]]*(Table1[[#This Row],[Saleprice]]-Table1[[#This Row],[Costprice]])</f>
        <v>-73.099999999999739</v>
      </c>
      <c r="R800">
        <f t="shared" si="62"/>
        <v>2022</v>
      </c>
      <c r="S800">
        <f t="shared" si="63"/>
        <v>12</v>
      </c>
      <c r="T800" t="str">
        <f t="shared" si="64"/>
        <v>December</v>
      </c>
    </row>
    <row r="801" spans="1:20" x14ac:dyDescent="0.3">
      <c r="A801" s="3">
        <v>44902</v>
      </c>
      <c r="B801">
        <v>107</v>
      </c>
      <c r="C801" s="3">
        <f>_xlfn.XLOOKUP(B801,Stores!A:A,Stores!E:E)</f>
        <v>44702</v>
      </c>
      <c r="D801">
        <v>215</v>
      </c>
      <c r="E801" s="3">
        <f>_xlfn.XLOOKUP(D801,SalesReps!A:A,SalesReps!D:D)</f>
        <v>44878</v>
      </c>
      <c r="F801" s="3" t="str">
        <f>_xlfn.XLOOKUP(Table1[[#This Row],[RepID]],SalesReps!A:A,SalesReps!E:E)</f>
        <v>Active</v>
      </c>
      <c r="G801">
        <v>314</v>
      </c>
      <c r="H801" t="str">
        <f>_xlfn.XLOOKUP(Table1[[#This Row],[ProductID]],Products!A:A,Products!B:B)</f>
        <v>Clothing</v>
      </c>
      <c r="I801" t="str">
        <f>_xlfn.XLOOKUP(Table1[[#This Row],[ProductID]],Products!A:A,Products!C:C)</f>
        <v>Kids</v>
      </c>
      <c r="J801">
        <v>6</v>
      </c>
      <c r="K801" s="5">
        <f>_xlfn.XLOOKUP(Table1[[#This Row],[ProductID]],Products!A:A,Products!E:E)</f>
        <v>276.47000000000003</v>
      </c>
      <c r="L801" s="5">
        <v>323.49</v>
      </c>
      <c r="M801" s="6">
        <v>0.1</v>
      </c>
      <c r="N801" t="s">
        <v>8</v>
      </c>
      <c r="O801" s="5">
        <f t="shared" si="60"/>
        <v>291.14100000000002</v>
      </c>
      <c r="P801" s="5">
        <f t="shared" si="61"/>
        <v>1746.846</v>
      </c>
      <c r="Q801" s="5">
        <f>Table1[[#This Row],[Quantity]]*(Table1[[#This Row],[Saleprice]]-Table1[[#This Row],[Costprice]])</f>
        <v>88.025999999999954</v>
      </c>
      <c r="R801">
        <f t="shared" si="62"/>
        <v>2022</v>
      </c>
      <c r="S801">
        <f t="shared" si="63"/>
        <v>12</v>
      </c>
      <c r="T801" t="str">
        <f t="shared" si="64"/>
        <v>December</v>
      </c>
    </row>
    <row r="802" spans="1:20" x14ac:dyDescent="0.3">
      <c r="A802" s="3">
        <v>44902</v>
      </c>
      <c r="B802">
        <v>102</v>
      </c>
      <c r="C802" s="3">
        <f>_xlfn.XLOOKUP(B802,Stores!A:A,Stores!E:E)</f>
        <v>44875</v>
      </c>
      <c r="D802">
        <v>219</v>
      </c>
      <c r="E802" s="3">
        <f>_xlfn.XLOOKUP(D802,SalesReps!A:A,SalesReps!D:D)</f>
        <v>44883</v>
      </c>
      <c r="F802" s="3" t="str">
        <f>_xlfn.XLOOKUP(Table1[[#This Row],[RepID]],SalesReps!A:A,SalesReps!E:E)</f>
        <v>Active</v>
      </c>
      <c r="G802">
        <v>303</v>
      </c>
      <c r="H802" t="str">
        <f>_xlfn.XLOOKUP(Table1[[#This Row],[ProductID]],Products!A:A,Products!B:B)</f>
        <v>Home &amp; Kitchen</v>
      </c>
      <c r="I802" t="str">
        <f>_xlfn.XLOOKUP(Table1[[#This Row],[ProductID]],Products!A:A,Products!C:C)</f>
        <v>Furniture</v>
      </c>
      <c r="J802">
        <v>7</v>
      </c>
      <c r="K802" s="5">
        <f>_xlfn.XLOOKUP(Table1[[#This Row],[ProductID]],Products!A:A,Products!E:E)</f>
        <v>192.04</v>
      </c>
      <c r="L802" s="5">
        <v>250.36</v>
      </c>
      <c r="M802" s="6">
        <v>0.13</v>
      </c>
      <c r="N802" t="s">
        <v>8</v>
      </c>
      <c r="O802" s="5">
        <f t="shared" si="60"/>
        <v>217.81320000000002</v>
      </c>
      <c r="P802" s="5">
        <f t="shared" si="61"/>
        <v>1524.6924000000001</v>
      </c>
      <c r="Q802" s="5">
        <f>Table1[[#This Row],[Quantity]]*(Table1[[#This Row],[Saleprice]]-Table1[[#This Row],[Costprice]])</f>
        <v>180.41240000000022</v>
      </c>
      <c r="R802">
        <f t="shared" si="62"/>
        <v>2022</v>
      </c>
      <c r="S802">
        <f t="shared" si="63"/>
        <v>12</v>
      </c>
      <c r="T802" t="str">
        <f t="shared" si="64"/>
        <v>December</v>
      </c>
    </row>
    <row r="803" spans="1:20" x14ac:dyDescent="0.3">
      <c r="A803" s="3">
        <v>44902</v>
      </c>
      <c r="B803">
        <v>102</v>
      </c>
      <c r="C803" s="3">
        <f>_xlfn.XLOOKUP(B803,Stores!A:A,Stores!E:E)</f>
        <v>44875</v>
      </c>
      <c r="D803">
        <v>219</v>
      </c>
      <c r="E803" s="3">
        <f>_xlfn.XLOOKUP(D803,SalesReps!A:A,SalesReps!D:D)</f>
        <v>44883</v>
      </c>
      <c r="F803" s="3" t="str">
        <f>_xlfn.XLOOKUP(Table1[[#This Row],[RepID]],SalesReps!A:A,SalesReps!E:E)</f>
        <v>Active</v>
      </c>
      <c r="G803">
        <v>317</v>
      </c>
      <c r="H803" t="str">
        <f>_xlfn.XLOOKUP(Table1[[#This Row],[ProductID]],Products!A:A,Products!B:B)</f>
        <v>Toys</v>
      </c>
      <c r="I803" t="str">
        <f>_xlfn.XLOOKUP(Table1[[#This Row],[ProductID]],Products!A:A,Products!C:C)</f>
        <v>Educational</v>
      </c>
      <c r="J803">
        <v>1</v>
      </c>
      <c r="K803" s="5">
        <f>_xlfn.XLOOKUP(Table1[[#This Row],[ProductID]],Products!A:A,Products!E:E)</f>
        <v>77.61</v>
      </c>
      <c r="L803" s="5">
        <v>108.64</v>
      </c>
      <c r="M803" s="6">
        <v>0.09</v>
      </c>
      <c r="N803" t="s">
        <v>8</v>
      </c>
      <c r="O803" s="5">
        <f t="shared" si="60"/>
        <v>98.862400000000008</v>
      </c>
      <c r="P803" s="5">
        <f t="shared" si="61"/>
        <v>98.862400000000008</v>
      </c>
      <c r="Q803" s="5">
        <f>Table1[[#This Row],[Quantity]]*(Table1[[#This Row],[Saleprice]]-Table1[[#This Row],[Costprice]])</f>
        <v>21.252400000000009</v>
      </c>
      <c r="R803">
        <f t="shared" si="62"/>
        <v>2022</v>
      </c>
      <c r="S803">
        <f t="shared" si="63"/>
        <v>12</v>
      </c>
      <c r="T803" t="str">
        <f t="shared" si="64"/>
        <v>December</v>
      </c>
    </row>
    <row r="804" spans="1:20" x14ac:dyDescent="0.3">
      <c r="A804" s="3">
        <v>44903</v>
      </c>
      <c r="B804">
        <v>107</v>
      </c>
      <c r="C804" s="3">
        <f>_xlfn.XLOOKUP(B804,Stores!A:A,Stores!E:E)</f>
        <v>44702</v>
      </c>
      <c r="D804">
        <v>215</v>
      </c>
      <c r="E804" s="3">
        <f>_xlfn.XLOOKUP(D804,SalesReps!A:A,SalesReps!D:D)</f>
        <v>44878</v>
      </c>
      <c r="F804" s="3" t="str">
        <f>_xlfn.XLOOKUP(Table1[[#This Row],[RepID]],SalesReps!A:A,SalesReps!E:E)</f>
        <v>Active</v>
      </c>
      <c r="G804">
        <v>311</v>
      </c>
      <c r="H804" t="str">
        <f>_xlfn.XLOOKUP(Table1[[#This Row],[ProductID]],Products!A:A,Products!B:B)</f>
        <v>Home &amp; Kitchen</v>
      </c>
      <c r="I804" t="str">
        <f>_xlfn.XLOOKUP(Table1[[#This Row],[ProductID]],Products!A:A,Products!C:C)</f>
        <v>Furniture</v>
      </c>
      <c r="J804">
        <v>7</v>
      </c>
      <c r="K804" s="5">
        <f>_xlfn.XLOOKUP(Table1[[#This Row],[ProductID]],Products!A:A,Products!E:E)</f>
        <v>16.23</v>
      </c>
      <c r="L804" s="5">
        <v>27.92</v>
      </c>
      <c r="M804" s="6">
        <v>0.09</v>
      </c>
      <c r="N804" t="s">
        <v>8</v>
      </c>
      <c r="O804" s="5">
        <f t="shared" si="60"/>
        <v>25.407200000000003</v>
      </c>
      <c r="P804" s="5">
        <f t="shared" si="61"/>
        <v>177.85040000000004</v>
      </c>
      <c r="Q804" s="5">
        <f>Table1[[#This Row],[Quantity]]*(Table1[[#This Row],[Saleprice]]-Table1[[#This Row],[Costprice]])</f>
        <v>64.240400000000022</v>
      </c>
      <c r="R804">
        <f t="shared" si="62"/>
        <v>2022</v>
      </c>
      <c r="S804">
        <f t="shared" si="63"/>
        <v>12</v>
      </c>
      <c r="T804" t="str">
        <f t="shared" si="64"/>
        <v>December</v>
      </c>
    </row>
    <row r="805" spans="1:20" x14ac:dyDescent="0.3">
      <c r="A805" s="3">
        <v>44903</v>
      </c>
      <c r="B805">
        <v>107</v>
      </c>
      <c r="C805" s="3">
        <f>_xlfn.XLOOKUP(B805,Stores!A:A,Stores!E:E)</f>
        <v>44702</v>
      </c>
      <c r="D805">
        <v>215</v>
      </c>
      <c r="E805" s="3">
        <f>_xlfn.XLOOKUP(D805,SalesReps!A:A,SalesReps!D:D)</f>
        <v>44878</v>
      </c>
      <c r="F805" s="3" t="str">
        <f>_xlfn.XLOOKUP(Table1[[#This Row],[RepID]],SalesReps!A:A,SalesReps!E:E)</f>
        <v>Active</v>
      </c>
      <c r="G805">
        <v>319</v>
      </c>
      <c r="H805" t="str">
        <f>_xlfn.XLOOKUP(Table1[[#This Row],[ProductID]],Products!A:A,Products!B:B)</f>
        <v>Toys</v>
      </c>
      <c r="I805" t="str">
        <f>_xlfn.XLOOKUP(Table1[[#This Row],[ProductID]],Products!A:A,Products!C:C)</f>
        <v>Board Games</v>
      </c>
      <c r="J805">
        <v>9</v>
      </c>
      <c r="K805" s="5">
        <f>_xlfn.XLOOKUP(Table1[[#This Row],[ProductID]],Products!A:A,Products!E:E)</f>
        <v>81.069999999999993</v>
      </c>
      <c r="L805" s="5">
        <v>106.28</v>
      </c>
      <c r="M805" s="6">
        <v>0.24</v>
      </c>
      <c r="N805" t="s">
        <v>8</v>
      </c>
      <c r="O805" s="5">
        <f t="shared" si="60"/>
        <v>80.772800000000004</v>
      </c>
      <c r="P805" s="5">
        <f t="shared" si="61"/>
        <v>726.95519999999999</v>
      </c>
      <c r="Q805" s="5">
        <f>Table1[[#This Row],[Quantity]]*(Table1[[#This Row],[Saleprice]]-Table1[[#This Row],[Costprice]])</f>
        <v>-2.6747999999999053</v>
      </c>
      <c r="R805">
        <f t="shared" si="62"/>
        <v>2022</v>
      </c>
      <c r="S805">
        <f t="shared" si="63"/>
        <v>12</v>
      </c>
      <c r="T805" t="str">
        <f t="shared" si="64"/>
        <v>December</v>
      </c>
    </row>
    <row r="806" spans="1:20" x14ac:dyDescent="0.3">
      <c r="A806" s="3">
        <v>44903</v>
      </c>
      <c r="B806">
        <v>102</v>
      </c>
      <c r="C806" s="3">
        <f>_xlfn.XLOOKUP(B806,Stores!A:A,Stores!E:E)</f>
        <v>44875</v>
      </c>
      <c r="D806">
        <v>219</v>
      </c>
      <c r="E806" s="3">
        <f>_xlfn.XLOOKUP(D806,SalesReps!A:A,SalesReps!D:D)</f>
        <v>44883</v>
      </c>
      <c r="F806" s="3" t="str">
        <f>_xlfn.XLOOKUP(Table1[[#This Row],[RepID]],SalesReps!A:A,SalesReps!E:E)</f>
        <v>Active</v>
      </c>
      <c r="G806">
        <v>307</v>
      </c>
      <c r="H806" t="str">
        <f>_xlfn.XLOOKUP(Table1[[#This Row],[ProductID]],Products!A:A,Products!B:B)</f>
        <v>Toys</v>
      </c>
      <c r="I806" t="str">
        <f>_xlfn.XLOOKUP(Table1[[#This Row],[ProductID]],Products!A:A,Products!C:C)</f>
        <v>Outdoor</v>
      </c>
      <c r="J806">
        <v>3</v>
      </c>
      <c r="K806" s="5">
        <f>_xlfn.XLOOKUP(Table1[[#This Row],[ProductID]],Products!A:A,Products!E:E)</f>
        <v>15.17</v>
      </c>
      <c r="L806" s="5">
        <v>101.71</v>
      </c>
      <c r="M806" s="6">
        <v>0.12</v>
      </c>
      <c r="N806" t="s">
        <v>8</v>
      </c>
      <c r="O806" s="5">
        <f t="shared" si="60"/>
        <v>89.504799999999989</v>
      </c>
      <c r="P806" s="5">
        <f t="shared" si="61"/>
        <v>268.51439999999997</v>
      </c>
      <c r="Q806" s="5">
        <f>Table1[[#This Row],[Quantity]]*(Table1[[#This Row],[Saleprice]]-Table1[[#This Row],[Costprice]])</f>
        <v>223.00439999999998</v>
      </c>
      <c r="R806">
        <f t="shared" si="62"/>
        <v>2022</v>
      </c>
      <c r="S806">
        <f t="shared" si="63"/>
        <v>12</v>
      </c>
      <c r="T806" t="str">
        <f t="shared" si="64"/>
        <v>December</v>
      </c>
    </row>
    <row r="807" spans="1:20" x14ac:dyDescent="0.3">
      <c r="A807" s="3">
        <v>44904</v>
      </c>
      <c r="B807">
        <v>102</v>
      </c>
      <c r="C807" s="3">
        <f>_xlfn.XLOOKUP(B807,Stores!A:A,Stores!E:E)</f>
        <v>44875</v>
      </c>
      <c r="D807">
        <v>219</v>
      </c>
      <c r="E807" s="3">
        <f>_xlfn.XLOOKUP(D807,SalesReps!A:A,SalesReps!D:D)</f>
        <v>44883</v>
      </c>
      <c r="F807" s="3" t="str">
        <f>_xlfn.XLOOKUP(Table1[[#This Row],[RepID]],SalesReps!A:A,SalesReps!E:E)</f>
        <v>Active</v>
      </c>
      <c r="G807">
        <v>301</v>
      </c>
      <c r="H807" t="str">
        <f>_xlfn.XLOOKUP(Table1[[#This Row],[ProductID]],Products!A:A,Products!B:B)</f>
        <v>Electronics</v>
      </c>
      <c r="I807" t="str">
        <f>_xlfn.XLOOKUP(Table1[[#This Row],[ProductID]],Products!A:A,Products!C:C)</f>
        <v>Mobiles</v>
      </c>
      <c r="J807">
        <v>7</v>
      </c>
      <c r="K807" s="5">
        <f>_xlfn.XLOOKUP(Table1[[#This Row],[ProductID]],Products!A:A,Products!E:E)</f>
        <v>159.16</v>
      </c>
      <c r="L807" s="5">
        <v>218.09</v>
      </c>
      <c r="M807" s="6">
        <v>0.06</v>
      </c>
      <c r="N807" t="s">
        <v>8</v>
      </c>
      <c r="O807" s="5">
        <f t="shared" si="60"/>
        <v>205.00459999999998</v>
      </c>
      <c r="P807" s="5">
        <f t="shared" si="61"/>
        <v>1435.0321999999999</v>
      </c>
      <c r="Q807" s="5">
        <f>Table1[[#This Row],[Quantity]]*(Table1[[#This Row],[Saleprice]]-Table1[[#This Row],[Costprice]])</f>
        <v>320.91219999999987</v>
      </c>
      <c r="R807">
        <f t="shared" si="62"/>
        <v>2022</v>
      </c>
      <c r="S807">
        <f t="shared" si="63"/>
        <v>12</v>
      </c>
      <c r="T807" t="str">
        <f t="shared" si="64"/>
        <v>December</v>
      </c>
    </row>
    <row r="808" spans="1:20" x14ac:dyDescent="0.3">
      <c r="A808" s="3">
        <v>44905</v>
      </c>
      <c r="B808">
        <v>107</v>
      </c>
      <c r="C808" s="3">
        <f>_xlfn.XLOOKUP(B808,Stores!A:A,Stores!E:E)</f>
        <v>44702</v>
      </c>
      <c r="D808">
        <v>215</v>
      </c>
      <c r="E808" s="3">
        <f>_xlfn.XLOOKUP(D808,SalesReps!A:A,SalesReps!D:D)</f>
        <v>44878</v>
      </c>
      <c r="F808" s="3" t="str">
        <f>_xlfn.XLOOKUP(Table1[[#This Row],[RepID]],SalesReps!A:A,SalesReps!E:E)</f>
        <v>Active</v>
      </c>
      <c r="G808">
        <v>319</v>
      </c>
      <c r="H808" t="str">
        <f>_xlfn.XLOOKUP(Table1[[#This Row],[ProductID]],Products!A:A,Products!B:B)</f>
        <v>Toys</v>
      </c>
      <c r="I808" t="str">
        <f>_xlfn.XLOOKUP(Table1[[#This Row],[ProductID]],Products!A:A,Products!C:C)</f>
        <v>Board Games</v>
      </c>
      <c r="J808">
        <v>9</v>
      </c>
      <c r="K808" s="5">
        <f>_xlfn.XLOOKUP(Table1[[#This Row],[ProductID]],Products!A:A,Products!E:E)</f>
        <v>81.069999999999993</v>
      </c>
      <c r="L808" s="5">
        <v>106.28</v>
      </c>
      <c r="M808" s="6">
        <v>0.24</v>
      </c>
      <c r="N808" t="s">
        <v>8</v>
      </c>
      <c r="O808" s="5">
        <f t="shared" si="60"/>
        <v>80.772800000000004</v>
      </c>
      <c r="P808" s="5">
        <f t="shared" si="61"/>
        <v>726.95519999999999</v>
      </c>
      <c r="Q808" s="5">
        <f>Table1[[#This Row],[Quantity]]*(Table1[[#This Row],[Saleprice]]-Table1[[#This Row],[Costprice]])</f>
        <v>-2.6747999999999053</v>
      </c>
      <c r="R808">
        <f t="shared" si="62"/>
        <v>2022</v>
      </c>
      <c r="S808">
        <f t="shared" si="63"/>
        <v>12</v>
      </c>
      <c r="T808" t="str">
        <f t="shared" si="64"/>
        <v>December</v>
      </c>
    </row>
    <row r="809" spans="1:20" x14ac:dyDescent="0.3">
      <c r="A809" s="3">
        <v>44905</v>
      </c>
      <c r="B809">
        <v>110</v>
      </c>
      <c r="C809" s="3">
        <f>_xlfn.XLOOKUP(B809,Stores!A:A,Stores!E:E)</f>
        <v>44174</v>
      </c>
      <c r="D809">
        <v>217</v>
      </c>
      <c r="E809" s="3">
        <f>_xlfn.XLOOKUP(D809,SalesReps!A:A,SalesReps!D:D)</f>
        <v>44896</v>
      </c>
      <c r="F809" s="3" t="str">
        <f>_xlfn.XLOOKUP(Table1[[#This Row],[RepID]],SalesReps!A:A,SalesReps!E:E)</f>
        <v>Left</v>
      </c>
      <c r="G809">
        <v>308</v>
      </c>
      <c r="H809" t="str">
        <f>_xlfn.XLOOKUP(Table1[[#This Row],[ProductID]],Products!A:A,Products!B:B)</f>
        <v>Home &amp; Kitchen</v>
      </c>
      <c r="I809" t="str">
        <f>_xlfn.XLOOKUP(Table1[[#This Row],[ProductID]],Products!A:A,Products!C:C)</f>
        <v>Furniture</v>
      </c>
      <c r="J809">
        <v>3</v>
      </c>
      <c r="K809" s="5">
        <f>_xlfn.XLOOKUP(Table1[[#This Row],[ProductID]],Products!A:A,Products!E:E)</f>
        <v>377.46</v>
      </c>
      <c r="L809" s="5">
        <v>437.63</v>
      </c>
      <c r="M809" s="6">
        <v>0.12</v>
      </c>
      <c r="N809" t="s">
        <v>8</v>
      </c>
      <c r="O809" s="5">
        <f t="shared" si="60"/>
        <v>385.11439999999999</v>
      </c>
      <c r="P809" s="5">
        <f t="shared" si="61"/>
        <v>1155.3432</v>
      </c>
      <c r="Q809" s="5">
        <f>Table1[[#This Row],[Quantity]]*(Table1[[#This Row],[Saleprice]]-Table1[[#This Row],[Costprice]])</f>
        <v>22.963200000000029</v>
      </c>
      <c r="R809">
        <f t="shared" si="62"/>
        <v>2022</v>
      </c>
      <c r="S809">
        <f t="shared" si="63"/>
        <v>12</v>
      </c>
      <c r="T809" t="str">
        <f t="shared" si="64"/>
        <v>December</v>
      </c>
    </row>
    <row r="810" spans="1:20" x14ac:dyDescent="0.3">
      <c r="A810" s="3">
        <v>44906</v>
      </c>
      <c r="B810">
        <v>102</v>
      </c>
      <c r="C810" s="3">
        <f>_xlfn.XLOOKUP(B810,Stores!A:A,Stores!E:E)</f>
        <v>44875</v>
      </c>
      <c r="D810">
        <v>219</v>
      </c>
      <c r="E810" s="3">
        <f>_xlfn.XLOOKUP(D810,SalesReps!A:A,SalesReps!D:D)</f>
        <v>44883</v>
      </c>
      <c r="F810" s="3" t="str">
        <f>_xlfn.XLOOKUP(Table1[[#This Row],[RepID]],SalesReps!A:A,SalesReps!E:E)</f>
        <v>Active</v>
      </c>
      <c r="G810">
        <v>311</v>
      </c>
      <c r="H810" t="str">
        <f>_xlfn.XLOOKUP(Table1[[#This Row],[ProductID]],Products!A:A,Products!B:B)</f>
        <v>Home &amp; Kitchen</v>
      </c>
      <c r="I810" t="str">
        <f>_xlfn.XLOOKUP(Table1[[#This Row],[ProductID]],Products!A:A,Products!C:C)</f>
        <v>Furniture</v>
      </c>
      <c r="J810">
        <v>9</v>
      </c>
      <c r="K810" s="5">
        <f>_xlfn.XLOOKUP(Table1[[#This Row],[ProductID]],Products!A:A,Products!E:E)</f>
        <v>16.23</v>
      </c>
      <c r="L810" s="5">
        <v>114.36</v>
      </c>
      <c r="M810" s="6">
        <v>7.0000000000000007E-2</v>
      </c>
      <c r="N810" t="s">
        <v>8</v>
      </c>
      <c r="O810" s="5">
        <f t="shared" si="60"/>
        <v>106.3548</v>
      </c>
      <c r="P810" s="5">
        <f t="shared" si="61"/>
        <v>957.19319999999993</v>
      </c>
      <c r="Q810" s="5">
        <f>Table1[[#This Row],[Quantity]]*(Table1[[#This Row],[Saleprice]]-Table1[[#This Row],[Costprice]])</f>
        <v>811.1232</v>
      </c>
      <c r="R810">
        <f t="shared" si="62"/>
        <v>2022</v>
      </c>
      <c r="S810">
        <f t="shared" si="63"/>
        <v>12</v>
      </c>
      <c r="T810" t="str">
        <f t="shared" si="64"/>
        <v>December</v>
      </c>
    </row>
    <row r="811" spans="1:20" x14ac:dyDescent="0.3">
      <c r="A811" s="3">
        <v>44906</v>
      </c>
      <c r="B811">
        <v>110</v>
      </c>
      <c r="C811" s="3">
        <f>_xlfn.XLOOKUP(B811,Stores!A:A,Stores!E:E)</f>
        <v>44174</v>
      </c>
      <c r="D811">
        <v>217</v>
      </c>
      <c r="E811" s="3">
        <f>_xlfn.XLOOKUP(D811,SalesReps!A:A,SalesReps!D:D)</f>
        <v>44896</v>
      </c>
      <c r="F811" s="3" t="str">
        <f>_xlfn.XLOOKUP(Table1[[#This Row],[RepID]],SalesReps!A:A,SalesReps!E:E)</f>
        <v>Left</v>
      </c>
      <c r="G811">
        <v>313</v>
      </c>
      <c r="H811" t="str">
        <f>_xlfn.XLOOKUP(Table1[[#This Row],[ProductID]],Products!A:A,Products!B:B)</f>
        <v>Clothing</v>
      </c>
      <c r="I811" t="str">
        <f>_xlfn.XLOOKUP(Table1[[#This Row],[ProductID]],Products!A:A,Products!C:C)</f>
        <v>Women</v>
      </c>
      <c r="J811">
        <v>4</v>
      </c>
      <c r="K811" s="5">
        <f>_xlfn.XLOOKUP(Table1[[#This Row],[ProductID]],Products!A:A,Products!E:E)</f>
        <v>104</v>
      </c>
      <c r="L811" s="5">
        <v>121.61</v>
      </c>
      <c r="M811" s="6">
        <v>0.24</v>
      </c>
      <c r="N811" t="s">
        <v>8</v>
      </c>
      <c r="O811" s="5">
        <f t="shared" si="60"/>
        <v>92.423600000000008</v>
      </c>
      <c r="P811" s="5">
        <f t="shared" si="61"/>
        <v>369.69440000000003</v>
      </c>
      <c r="Q811" s="5">
        <f>Table1[[#This Row],[Quantity]]*(Table1[[#This Row],[Saleprice]]-Table1[[#This Row],[Costprice]])</f>
        <v>-46.30559999999997</v>
      </c>
      <c r="R811">
        <f t="shared" si="62"/>
        <v>2022</v>
      </c>
      <c r="S811">
        <f t="shared" si="63"/>
        <v>12</v>
      </c>
      <c r="T811" t="str">
        <f t="shared" si="64"/>
        <v>December</v>
      </c>
    </row>
    <row r="812" spans="1:20" x14ac:dyDescent="0.3">
      <c r="A812" s="3">
        <v>44907</v>
      </c>
      <c r="B812">
        <v>102</v>
      </c>
      <c r="C812" s="3">
        <f>_xlfn.XLOOKUP(B812,Stores!A:A,Stores!E:E)</f>
        <v>44875</v>
      </c>
      <c r="D812">
        <v>219</v>
      </c>
      <c r="E812" s="3">
        <f>_xlfn.XLOOKUP(D812,SalesReps!A:A,SalesReps!D:D)</f>
        <v>44883</v>
      </c>
      <c r="F812" s="3" t="str">
        <f>_xlfn.XLOOKUP(Table1[[#This Row],[RepID]],SalesReps!A:A,SalesReps!E:E)</f>
        <v>Active</v>
      </c>
      <c r="G812">
        <v>307</v>
      </c>
      <c r="H812" t="str">
        <f>_xlfn.XLOOKUP(Table1[[#This Row],[ProductID]],Products!A:A,Products!B:B)</f>
        <v>Toys</v>
      </c>
      <c r="I812" t="str">
        <f>_xlfn.XLOOKUP(Table1[[#This Row],[ProductID]],Products!A:A,Products!C:C)</f>
        <v>Outdoor</v>
      </c>
      <c r="J812">
        <v>7</v>
      </c>
      <c r="K812" s="5">
        <f>_xlfn.XLOOKUP(Table1[[#This Row],[ProductID]],Products!A:A,Products!E:E)</f>
        <v>15.17</v>
      </c>
      <c r="L812" s="5">
        <v>101.71</v>
      </c>
      <c r="M812" s="6">
        <v>0.12</v>
      </c>
      <c r="N812" t="s">
        <v>8</v>
      </c>
      <c r="O812" s="5">
        <f t="shared" si="60"/>
        <v>89.504799999999989</v>
      </c>
      <c r="P812" s="5">
        <f t="shared" si="61"/>
        <v>626.53359999999998</v>
      </c>
      <c r="Q812" s="5">
        <f>Table1[[#This Row],[Quantity]]*(Table1[[#This Row],[Saleprice]]-Table1[[#This Row],[Costprice]])</f>
        <v>520.34359999999992</v>
      </c>
      <c r="R812">
        <f t="shared" si="62"/>
        <v>2022</v>
      </c>
      <c r="S812">
        <f t="shared" si="63"/>
        <v>12</v>
      </c>
      <c r="T812" t="str">
        <f t="shared" si="64"/>
        <v>December</v>
      </c>
    </row>
    <row r="813" spans="1:20" x14ac:dyDescent="0.3">
      <c r="A813" s="3">
        <v>44907</v>
      </c>
      <c r="B813">
        <v>107</v>
      </c>
      <c r="C813" s="3">
        <f>_xlfn.XLOOKUP(B813,Stores!A:A,Stores!E:E)</f>
        <v>44702</v>
      </c>
      <c r="D813">
        <v>215</v>
      </c>
      <c r="E813" s="3">
        <f>_xlfn.XLOOKUP(D813,SalesReps!A:A,SalesReps!D:D)</f>
        <v>44878</v>
      </c>
      <c r="F813" s="3" t="str">
        <f>_xlfn.XLOOKUP(Table1[[#This Row],[RepID]],SalesReps!A:A,SalesReps!E:E)</f>
        <v>Active</v>
      </c>
      <c r="G813">
        <v>314</v>
      </c>
      <c r="H813" t="str">
        <f>_xlfn.XLOOKUP(Table1[[#This Row],[ProductID]],Products!A:A,Products!B:B)</f>
        <v>Clothing</v>
      </c>
      <c r="I813" t="str">
        <f>_xlfn.XLOOKUP(Table1[[#This Row],[ProductID]],Products!A:A,Products!C:C)</f>
        <v>Kids</v>
      </c>
      <c r="J813">
        <v>9</v>
      </c>
      <c r="K813" s="5">
        <f>_xlfn.XLOOKUP(Table1[[#This Row],[ProductID]],Products!A:A,Products!E:E)</f>
        <v>276.47000000000003</v>
      </c>
      <c r="L813" s="5">
        <v>323.49</v>
      </c>
      <c r="M813" s="6">
        <v>0.1</v>
      </c>
      <c r="N813" t="s">
        <v>8</v>
      </c>
      <c r="O813" s="5">
        <f t="shared" si="60"/>
        <v>291.14100000000002</v>
      </c>
      <c r="P813" s="5">
        <f t="shared" si="61"/>
        <v>2620.2690000000002</v>
      </c>
      <c r="Q813" s="5">
        <f>Table1[[#This Row],[Quantity]]*(Table1[[#This Row],[Saleprice]]-Table1[[#This Row],[Costprice]])</f>
        <v>132.03899999999993</v>
      </c>
      <c r="R813">
        <f t="shared" si="62"/>
        <v>2022</v>
      </c>
      <c r="S813">
        <f t="shared" si="63"/>
        <v>12</v>
      </c>
      <c r="T813" t="str">
        <f t="shared" si="64"/>
        <v>December</v>
      </c>
    </row>
    <row r="814" spans="1:20" x14ac:dyDescent="0.3">
      <c r="A814" s="3">
        <v>44907</v>
      </c>
      <c r="B814">
        <v>110</v>
      </c>
      <c r="C814" s="3">
        <f>_xlfn.XLOOKUP(B814,Stores!A:A,Stores!E:E)</f>
        <v>44174</v>
      </c>
      <c r="D814">
        <v>217</v>
      </c>
      <c r="E814" s="3">
        <f>_xlfn.XLOOKUP(D814,SalesReps!A:A,SalesReps!D:D)</f>
        <v>44896</v>
      </c>
      <c r="F814" s="3" t="str">
        <f>_xlfn.XLOOKUP(Table1[[#This Row],[RepID]],SalesReps!A:A,SalesReps!E:E)</f>
        <v>Left</v>
      </c>
      <c r="G814">
        <v>301</v>
      </c>
      <c r="H814" t="str">
        <f>_xlfn.XLOOKUP(Table1[[#This Row],[ProductID]],Products!A:A,Products!B:B)</f>
        <v>Electronics</v>
      </c>
      <c r="I814" t="str">
        <f>_xlfn.XLOOKUP(Table1[[#This Row],[ProductID]],Products!A:A,Products!C:C)</f>
        <v>Mobiles</v>
      </c>
      <c r="J814">
        <v>8</v>
      </c>
      <c r="K814" s="5">
        <f>_xlfn.XLOOKUP(Table1[[#This Row],[ProductID]],Products!A:A,Products!E:E)</f>
        <v>159.16</v>
      </c>
      <c r="L814" s="5">
        <v>221.83</v>
      </c>
      <c r="M814" s="6">
        <v>0.11</v>
      </c>
      <c r="N814" t="s">
        <v>8</v>
      </c>
      <c r="O814" s="5">
        <f t="shared" si="60"/>
        <v>197.42870000000002</v>
      </c>
      <c r="P814" s="5">
        <f t="shared" si="61"/>
        <v>1579.4296000000002</v>
      </c>
      <c r="Q814" s="5">
        <f>Table1[[#This Row],[Quantity]]*(Table1[[#This Row],[Saleprice]]-Table1[[#This Row],[Costprice]])</f>
        <v>306.14960000000019</v>
      </c>
      <c r="R814">
        <f t="shared" si="62"/>
        <v>2022</v>
      </c>
      <c r="S814">
        <f t="shared" si="63"/>
        <v>12</v>
      </c>
      <c r="T814" t="str">
        <f t="shared" si="64"/>
        <v>December</v>
      </c>
    </row>
    <row r="815" spans="1:20" x14ac:dyDescent="0.3">
      <c r="A815" s="3">
        <v>44908</v>
      </c>
      <c r="B815">
        <v>110</v>
      </c>
      <c r="C815" s="3">
        <f>_xlfn.XLOOKUP(B815,Stores!A:A,Stores!E:E)</f>
        <v>44174</v>
      </c>
      <c r="D815">
        <v>217</v>
      </c>
      <c r="E815" s="3">
        <f>_xlfn.XLOOKUP(D815,SalesReps!A:A,SalesReps!D:D)</f>
        <v>44896</v>
      </c>
      <c r="F815" s="3" t="str">
        <f>_xlfn.XLOOKUP(Table1[[#This Row],[RepID]],SalesReps!A:A,SalesReps!E:E)</f>
        <v>Left</v>
      </c>
      <c r="G815">
        <v>302</v>
      </c>
      <c r="H815" t="str">
        <f>_xlfn.XLOOKUP(Table1[[#This Row],[ProductID]],Products!A:A,Products!B:B)</f>
        <v>Toys</v>
      </c>
      <c r="I815" t="str">
        <f>_xlfn.XLOOKUP(Table1[[#This Row],[ProductID]],Products!A:A,Products!C:C)</f>
        <v>Outdoor</v>
      </c>
      <c r="J815">
        <v>9</v>
      </c>
      <c r="K815" s="5">
        <f>_xlfn.XLOOKUP(Table1[[#This Row],[ProductID]],Products!A:A,Products!E:E)</f>
        <v>393.46</v>
      </c>
      <c r="L815" s="5">
        <v>462</v>
      </c>
      <c r="M815" s="6">
        <v>0.18</v>
      </c>
      <c r="N815" t="s">
        <v>8</v>
      </c>
      <c r="O815" s="5">
        <f t="shared" si="60"/>
        <v>378.84000000000003</v>
      </c>
      <c r="P815" s="5">
        <f t="shared" si="61"/>
        <v>3409.5600000000004</v>
      </c>
      <c r="Q815" s="5">
        <f>Table1[[#This Row],[Quantity]]*(Table1[[#This Row],[Saleprice]]-Table1[[#This Row],[Costprice]])</f>
        <v>-131.57999999999953</v>
      </c>
      <c r="R815">
        <f t="shared" si="62"/>
        <v>2022</v>
      </c>
      <c r="S815">
        <f t="shared" si="63"/>
        <v>12</v>
      </c>
      <c r="T815" t="str">
        <f t="shared" si="64"/>
        <v>December</v>
      </c>
    </row>
    <row r="816" spans="1:20" x14ac:dyDescent="0.3">
      <c r="A816" s="3">
        <v>44908</v>
      </c>
      <c r="B816">
        <v>110</v>
      </c>
      <c r="C816" s="3">
        <f>_xlfn.XLOOKUP(B816,Stores!A:A,Stores!E:E)</f>
        <v>44174</v>
      </c>
      <c r="D816">
        <v>217</v>
      </c>
      <c r="E816" s="3">
        <f>_xlfn.XLOOKUP(D816,SalesReps!A:A,SalesReps!D:D)</f>
        <v>44896</v>
      </c>
      <c r="F816" s="3" t="str">
        <f>_xlfn.XLOOKUP(Table1[[#This Row],[RepID]],SalesReps!A:A,SalesReps!E:E)</f>
        <v>Left</v>
      </c>
      <c r="G816">
        <v>313</v>
      </c>
      <c r="H816" t="str">
        <f>_xlfn.XLOOKUP(Table1[[#This Row],[ProductID]],Products!A:A,Products!B:B)</f>
        <v>Clothing</v>
      </c>
      <c r="I816" t="str">
        <f>_xlfn.XLOOKUP(Table1[[#This Row],[ProductID]],Products!A:A,Products!C:C)</f>
        <v>Women</v>
      </c>
      <c r="J816">
        <v>8</v>
      </c>
      <c r="K816" s="5">
        <f>_xlfn.XLOOKUP(Table1[[#This Row],[ProductID]],Products!A:A,Products!E:E)</f>
        <v>104</v>
      </c>
      <c r="L816" s="5">
        <v>121.61</v>
      </c>
      <c r="M816" s="6">
        <v>0.24</v>
      </c>
      <c r="N816" t="s">
        <v>8</v>
      </c>
      <c r="O816" s="5">
        <f t="shared" si="60"/>
        <v>92.423600000000008</v>
      </c>
      <c r="P816" s="5">
        <f t="shared" si="61"/>
        <v>739.38880000000006</v>
      </c>
      <c r="Q816" s="5">
        <f>Table1[[#This Row],[Quantity]]*(Table1[[#This Row],[Saleprice]]-Table1[[#This Row],[Costprice]])</f>
        <v>-92.61119999999994</v>
      </c>
      <c r="R816">
        <f t="shared" si="62"/>
        <v>2022</v>
      </c>
      <c r="S816">
        <f t="shared" si="63"/>
        <v>12</v>
      </c>
      <c r="T816" t="str">
        <f t="shared" si="64"/>
        <v>December</v>
      </c>
    </row>
    <row r="817" spans="1:20" x14ac:dyDescent="0.3">
      <c r="A817" s="3">
        <v>44908</v>
      </c>
      <c r="B817">
        <v>102</v>
      </c>
      <c r="C817" s="3">
        <f>_xlfn.XLOOKUP(B817,Stores!A:A,Stores!E:E)</f>
        <v>44875</v>
      </c>
      <c r="D817">
        <v>219</v>
      </c>
      <c r="E817" s="3">
        <f>_xlfn.XLOOKUP(D817,SalesReps!A:A,SalesReps!D:D)</f>
        <v>44883</v>
      </c>
      <c r="F817" s="3" t="str">
        <f>_xlfn.XLOOKUP(Table1[[#This Row],[RepID]],SalesReps!A:A,SalesReps!E:E)</f>
        <v>Active</v>
      </c>
      <c r="G817">
        <v>306</v>
      </c>
      <c r="H817" t="str">
        <f>_xlfn.XLOOKUP(Table1[[#This Row],[ProductID]],Products!A:A,Products!B:B)</f>
        <v>Clothing</v>
      </c>
      <c r="I817" t="str">
        <f>_xlfn.XLOOKUP(Table1[[#This Row],[ProductID]],Products!A:A,Products!C:C)</f>
        <v>Men</v>
      </c>
      <c r="J817">
        <v>3</v>
      </c>
      <c r="K817" s="5">
        <f>_xlfn.XLOOKUP(Table1[[#This Row],[ProductID]],Products!A:A,Products!E:E)</f>
        <v>185.69</v>
      </c>
      <c r="L817" s="5">
        <v>193.83</v>
      </c>
      <c r="M817" s="6">
        <v>0.12</v>
      </c>
      <c r="N817" t="s">
        <v>8</v>
      </c>
      <c r="O817" s="5">
        <f t="shared" si="60"/>
        <v>170.57040000000001</v>
      </c>
      <c r="P817" s="5">
        <f t="shared" si="61"/>
        <v>511.71120000000002</v>
      </c>
      <c r="Q817" s="5">
        <f>Table1[[#This Row],[Quantity]]*(Table1[[#This Row],[Saleprice]]-Table1[[#This Row],[Costprice]])</f>
        <v>-45.358799999999974</v>
      </c>
      <c r="R817">
        <f t="shared" si="62"/>
        <v>2022</v>
      </c>
      <c r="S817">
        <f t="shared" si="63"/>
        <v>12</v>
      </c>
      <c r="T817" t="str">
        <f t="shared" si="64"/>
        <v>December</v>
      </c>
    </row>
    <row r="818" spans="1:20" x14ac:dyDescent="0.3">
      <c r="A818" s="3">
        <v>44908</v>
      </c>
      <c r="B818">
        <v>110</v>
      </c>
      <c r="C818" s="3">
        <f>_xlfn.XLOOKUP(B818,Stores!A:A,Stores!E:E)</f>
        <v>44174</v>
      </c>
      <c r="D818">
        <v>217</v>
      </c>
      <c r="E818" s="3">
        <f>_xlfn.XLOOKUP(D818,SalesReps!A:A,SalesReps!D:D)</f>
        <v>44896</v>
      </c>
      <c r="F818" s="3" t="str">
        <f>_xlfn.XLOOKUP(Table1[[#This Row],[RepID]],SalesReps!A:A,SalesReps!E:E)</f>
        <v>Left</v>
      </c>
      <c r="G818">
        <v>303</v>
      </c>
      <c r="H818" t="str">
        <f>_xlfn.XLOOKUP(Table1[[#This Row],[ProductID]],Products!A:A,Products!B:B)</f>
        <v>Home &amp; Kitchen</v>
      </c>
      <c r="I818" t="str">
        <f>_xlfn.XLOOKUP(Table1[[#This Row],[ProductID]],Products!A:A,Products!C:C)</f>
        <v>Furniture</v>
      </c>
      <c r="J818">
        <v>1</v>
      </c>
      <c r="K818" s="5">
        <f>_xlfn.XLOOKUP(Table1[[#This Row],[ProductID]],Products!A:A,Products!E:E)</f>
        <v>192.04</v>
      </c>
      <c r="L818" s="5">
        <v>210.28</v>
      </c>
      <c r="M818" s="6">
        <v>0.17</v>
      </c>
      <c r="N818" t="s">
        <v>8</v>
      </c>
      <c r="O818" s="5">
        <f t="shared" si="60"/>
        <v>174.5324</v>
      </c>
      <c r="P818" s="5">
        <f t="shared" si="61"/>
        <v>174.5324</v>
      </c>
      <c r="Q818" s="5">
        <f>Table1[[#This Row],[Quantity]]*(Table1[[#This Row],[Saleprice]]-Table1[[#This Row],[Costprice]])</f>
        <v>-17.507599999999996</v>
      </c>
      <c r="R818">
        <f t="shared" si="62"/>
        <v>2022</v>
      </c>
      <c r="S818">
        <f t="shared" si="63"/>
        <v>12</v>
      </c>
      <c r="T818" t="str">
        <f t="shared" si="64"/>
        <v>December</v>
      </c>
    </row>
    <row r="819" spans="1:20" x14ac:dyDescent="0.3">
      <c r="A819" s="3">
        <v>44908</v>
      </c>
      <c r="B819">
        <v>102</v>
      </c>
      <c r="C819" s="3">
        <f>_xlfn.XLOOKUP(B819,Stores!A:A,Stores!E:E)</f>
        <v>44875</v>
      </c>
      <c r="D819">
        <v>219</v>
      </c>
      <c r="E819" s="3">
        <f>_xlfn.XLOOKUP(D819,SalesReps!A:A,SalesReps!D:D)</f>
        <v>44883</v>
      </c>
      <c r="F819" s="3" t="str">
        <f>_xlfn.XLOOKUP(Table1[[#This Row],[RepID]],SalesReps!A:A,SalesReps!E:E)</f>
        <v>Active</v>
      </c>
      <c r="G819">
        <v>310</v>
      </c>
      <c r="H819" t="str">
        <f>_xlfn.XLOOKUP(Table1[[#This Row],[ProductID]],Products!A:A,Products!B:B)</f>
        <v>Home &amp; Kitchen</v>
      </c>
      <c r="I819" t="str">
        <f>_xlfn.XLOOKUP(Table1[[#This Row],[ProductID]],Products!A:A,Products!C:C)</f>
        <v>Furniture</v>
      </c>
      <c r="J819">
        <v>4</v>
      </c>
      <c r="K819" s="5">
        <f>_xlfn.XLOOKUP(Table1[[#This Row],[ProductID]],Products!A:A,Products!E:E)</f>
        <v>160.31</v>
      </c>
      <c r="L819" s="5">
        <v>251.39</v>
      </c>
      <c r="M819" s="6">
        <v>0.14000000000000001</v>
      </c>
      <c r="N819" t="s">
        <v>8</v>
      </c>
      <c r="O819" s="5">
        <f t="shared" si="60"/>
        <v>216.19539999999998</v>
      </c>
      <c r="P819" s="5">
        <f t="shared" si="61"/>
        <v>864.78159999999991</v>
      </c>
      <c r="Q819" s="5">
        <f>Table1[[#This Row],[Quantity]]*(Table1[[#This Row],[Saleprice]]-Table1[[#This Row],[Costprice]])</f>
        <v>223.5415999999999</v>
      </c>
      <c r="R819">
        <f t="shared" si="62"/>
        <v>2022</v>
      </c>
      <c r="S819">
        <f t="shared" si="63"/>
        <v>12</v>
      </c>
      <c r="T819" t="str">
        <f t="shared" si="64"/>
        <v>December</v>
      </c>
    </row>
    <row r="820" spans="1:20" x14ac:dyDescent="0.3">
      <c r="A820" s="3">
        <v>44908</v>
      </c>
      <c r="B820">
        <v>107</v>
      </c>
      <c r="C820" s="3">
        <f>_xlfn.XLOOKUP(B820,Stores!A:A,Stores!E:E)</f>
        <v>44702</v>
      </c>
      <c r="D820">
        <v>215</v>
      </c>
      <c r="E820" s="3">
        <f>_xlfn.XLOOKUP(D820,SalesReps!A:A,SalesReps!D:D)</f>
        <v>44878</v>
      </c>
      <c r="F820" s="3" t="str">
        <f>_xlfn.XLOOKUP(Table1[[#This Row],[RepID]],SalesReps!A:A,SalesReps!E:E)</f>
        <v>Active</v>
      </c>
      <c r="G820">
        <v>315</v>
      </c>
      <c r="H820" t="str">
        <f>_xlfn.XLOOKUP(Table1[[#This Row],[ProductID]],Products!A:A,Products!B:B)</f>
        <v>Toys</v>
      </c>
      <c r="I820" t="str">
        <f>_xlfn.XLOOKUP(Table1[[#This Row],[ProductID]],Products!A:A,Products!C:C)</f>
        <v>Board Games</v>
      </c>
      <c r="J820">
        <v>8</v>
      </c>
      <c r="K820" s="5">
        <f>_xlfn.XLOOKUP(Table1[[#This Row],[ProductID]],Products!A:A,Products!E:E)</f>
        <v>247.9</v>
      </c>
      <c r="L820" s="5">
        <v>254.53</v>
      </c>
      <c r="M820" s="6">
        <v>0.2</v>
      </c>
      <c r="N820" t="s">
        <v>8</v>
      </c>
      <c r="O820" s="5">
        <f t="shared" si="60"/>
        <v>203.62400000000002</v>
      </c>
      <c r="P820" s="5">
        <f t="shared" si="61"/>
        <v>1628.9920000000002</v>
      </c>
      <c r="Q820" s="5">
        <f>Table1[[#This Row],[Quantity]]*(Table1[[#This Row],[Saleprice]]-Table1[[#This Row],[Costprice]])</f>
        <v>-354.20799999999986</v>
      </c>
      <c r="R820">
        <f t="shared" si="62"/>
        <v>2022</v>
      </c>
      <c r="S820">
        <f t="shared" si="63"/>
        <v>12</v>
      </c>
      <c r="T820" t="str">
        <f t="shared" si="64"/>
        <v>December</v>
      </c>
    </row>
    <row r="821" spans="1:20" x14ac:dyDescent="0.3">
      <c r="A821" s="3">
        <v>44909</v>
      </c>
      <c r="B821">
        <v>110</v>
      </c>
      <c r="C821" s="3">
        <f>_xlfn.XLOOKUP(B821,Stores!A:A,Stores!E:E)</f>
        <v>44174</v>
      </c>
      <c r="D821">
        <v>217</v>
      </c>
      <c r="E821" s="3">
        <f>_xlfn.XLOOKUP(D821,SalesReps!A:A,SalesReps!D:D)</f>
        <v>44896</v>
      </c>
      <c r="F821" s="3" t="str">
        <f>_xlfn.XLOOKUP(Table1[[#This Row],[RepID]],SalesReps!A:A,SalesReps!E:E)</f>
        <v>Left</v>
      </c>
      <c r="G821">
        <v>315</v>
      </c>
      <c r="H821" t="str">
        <f>_xlfn.XLOOKUP(Table1[[#This Row],[ProductID]],Products!A:A,Products!B:B)</f>
        <v>Toys</v>
      </c>
      <c r="I821" t="str">
        <f>_xlfn.XLOOKUP(Table1[[#This Row],[ProductID]],Products!A:A,Products!C:C)</f>
        <v>Board Games</v>
      </c>
      <c r="J821">
        <v>3</v>
      </c>
      <c r="K821" s="5">
        <f>_xlfn.XLOOKUP(Table1[[#This Row],[ProductID]],Products!A:A,Products!E:E)</f>
        <v>247.9</v>
      </c>
      <c r="L821" s="5">
        <v>257.47000000000003</v>
      </c>
      <c r="M821" s="6">
        <v>0.24</v>
      </c>
      <c r="N821" t="s">
        <v>8</v>
      </c>
      <c r="O821" s="5">
        <f t="shared" si="60"/>
        <v>195.67720000000003</v>
      </c>
      <c r="P821" s="5">
        <f t="shared" si="61"/>
        <v>587.03160000000003</v>
      </c>
      <c r="Q821" s="5">
        <f>Table1[[#This Row],[Quantity]]*(Table1[[#This Row],[Saleprice]]-Table1[[#This Row],[Costprice]])</f>
        <v>-156.66839999999993</v>
      </c>
      <c r="R821">
        <f t="shared" si="62"/>
        <v>2022</v>
      </c>
      <c r="S821">
        <f t="shared" si="63"/>
        <v>12</v>
      </c>
      <c r="T821" t="str">
        <f t="shared" si="64"/>
        <v>December</v>
      </c>
    </row>
    <row r="822" spans="1:20" x14ac:dyDescent="0.3">
      <c r="A822" s="3">
        <v>44909</v>
      </c>
      <c r="B822">
        <v>110</v>
      </c>
      <c r="C822" s="3">
        <f>_xlfn.XLOOKUP(B822,Stores!A:A,Stores!E:E)</f>
        <v>44174</v>
      </c>
      <c r="D822">
        <v>217</v>
      </c>
      <c r="E822" s="3">
        <f>_xlfn.XLOOKUP(D822,SalesReps!A:A,SalesReps!D:D)</f>
        <v>44896</v>
      </c>
      <c r="F822" s="3" t="str">
        <f>_xlfn.XLOOKUP(Table1[[#This Row],[RepID]],SalesReps!A:A,SalesReps!E:E)</f>
        <v>Left</v>
      </c>
      <c r="G822">
        <v>304</v>
      </c>
      <c r="H822" t="str">
        <f>_xlfn.XLOOKUP(Table1[[#This Row],[ProductID]],Products!A:A,Products!B:B)</f>
        <v>Home &amp; Kitchen</v>
      </c>
      <c r="I822" t="str">
        <f>_xlfn.XLOOKUP(Table1[[#This Row],[ProductID]],Products!A:A,Products!C:C)</f>
        <v>Furniture</v>
      </c>
      <c r="J822">
        <v>1</v>
      </c>
      <c r="K822" s="5">
        <f>_xlfn.XLOOKUP(Table1[[#This Row],[ProductID]],Products!A:A,Products!E:E)</f>
        <v>345.38</v>
      </c>
      <c r="L822" s="5">
        <v>411.91</v>
      </c>
      <c r="M822" s="6">
        <v>0.05</v>
      </c>
      <c r="N822" t="s">
        <v>8</v>
      </c>
      <c r="O822" s="5">
        <f t="shared" si="60"/>
        <v>391.31450000000001</v>
      </c>
      <c r="P822" s="5">
        <f t="shared" si="61"/>
        <v>391.31450000000001</v>
      </c>
      <c r="Q822" s="5">
        <f>Table1[[#This Row],[Quantity]]*(Table1[[#This Row],[Saleprice]]-Table1[[#This Row],[Costprice]])</f>
        <v>45.934500000000014</v>
      </c>
      <c r="R822">
        <f t="shared" si="62"/>
        <v>2022</v>
      </c>
      <c r="S822">
        <f t="shared" si="63"/>
        <v>12</v>
      </c>
      <c r="T822" t="str">
        <f t="shared" si="64"/>
        <v>December</v>
      </c>
    </row>
    <row r="823" spans="1:20" x14ac:dyDescent="0.3">
      <c r="A823" s="3">
        <v>44909</v>
      </c>
      <c r="B823">
        <v>102</v>
      </c>
      <c r="C823" s="3">
        <f>_xlfn.XLOOKUP(B823,Stores!A:A,Stores!E:E)</f>
        <v>44875</v>
      </c>
      <c r="D823">
        <v>219</v>
      </c>
      <c r="E823" s="3">
        <f>_xlfn.XLOOKUP(D823,SalesReps!A:A,SalesReps!D:D)</f>
        <v>44883</v>
      </c>
      <c r="F823" s="3" t="str">
        <f>_xlfn.XLOOKUP(Table1[[#This Row],[RepID]],SalesReps!A:A,SalesReps!E:E)</f>
        <v>Active</v>
      </c>
      <c r="G823">
        <v>302</v>
      </c>
      <c r="H823" t="str">
        <f>_xlfn.XLOOKUP(Table1[[#This Row],[ProductID]],Products!A:A,Products!B:B)</f>
        <v>Toys</v>
      </c>
      <c r="I823" t="str">
        <f>_xlfn.XLOOKUP(Table1[[#This Row],[ProductID]],Products!A:A,Products!C:C)</f>
        <v>Outdoor</v>
      </c>
      <c r="J823">
        <v>6</v>
      </c>
      <c r="K823" s="5">
        <f>_xlfn.XLOOKUP(Table1[[#This Row],[ProductID]],Products!A:A,Products!E:E)</f>
        <v>393.46</v>
      </c>
      <c r="L823" s="5">
        <v>399.95</v>
      </c>
      <c r="M823" s="6">
        <v>0.13</v>
      </c>
      <c r="N823" t="s">
        <v>8</v>
      </c>
      <c r="O823" s="5">
        <f t="shared" si="60"/>
        <v>347.95650000000001</v>
      </c>
      <c r="P823" s="5">
        <f t="shared" si="61"/>
        <v>2087.739</v>
      </c>
      <c r="Q823" s="5">
        <f>Table1[[#This Row],[Quantity]]*(Table1[[#This Row],[Saleprice]]-Table1[[#This Row],[Costprice]])</f>
        <v>-273.02099999999984</v>
      </c>
      <c r="R823">
        <f t="shared" si="62"/>
        <v>2022</v>
      </c>
      <c r="S823">
        <f t="shared" si="63"/>
        <v>12</v>
      </c>
      <c r="T823" t="str">
        <f t="shared" si="64"/>
        <v>December</v>
      </c>
    </row>
    <row r="824" spans="1:20" x14ac:dyDescent="0.3">
      <c r="A824" s="3">
        <v>44909</v>
      </c>
      <c r="B824">
        <v>102</v>
      </c>
      <c r="C824" s="3">
        <f>_xlfn.XLOOKUP(B824,Stores!A:A,Stores!E:E)</f>
        <v>44875</v>
      </c>
      <c r="D824">
        <v>219</v>
      </c>
      <c r="E824" s="3">
        <f>_xlfn.XLOOKUP(D824,SalesReps!A:A,SalesReps!D:D)</f>
        <v>44883</v>
      </c>
      <c r="F824" s="3" t="str">
        <f>_xlfn.XLOOKUP(Table1[[#This Row],[RepID]],SalesReps!A:A,SalesReps!E:E)</f>
        <v>Active</v>
      </c>
      <c r="G824">
        <v>316</v>
      </c>
      <c r="H824" t="str">
        <f>_xlfn.XLOOKUP(Table1[[#This Row],[ProductID]],Products!A:A,Products!B:B)</f>
        <v>Home &amp; Kitchen</v>
      </c>
      <c r="I824" t="str">
        <f>_xlfn.XLOOKUP(Table1[[#This Row],[ProductID]],Products!A:A,Products!C:C)</f>
        <v>Furniture</v>
      </c>
      <c r="J824">
        <v>8</v>
      </c>
      <c r="K824" s="5">
        <f>_xlfn.XLOOKUP(Table1[[#This Row],[ProductID]],Products!A:A,Products!E:E)</f>
        <v>334.95</v>
      </c>
      <c r="L824" s="5">
        <v>341.4</v>
      </c>
      <c r="M824" s="6">
        <v>0.24</v>
      </c>
      <c r="N824" t="s">
        <v>8</v>
      </c>
      <c r="O824" s="5">
        <f t="shared" si="60"/>
        <v>259.464</v>
      </c>
      <c r="P824" s="5">
        <f t="shared" si="61"/>
        <v>2075.712</v>
      </c>
      <c r="Q824" s="5">
        <f>Table1[[#This Row],[Quantity]]*(Table1[[#This Row],[Saleprice]]-Table1[[#This Row],[Costprice]])</f>
        <v>-603.88799999999992</v>
      </c>
      <c r="R824">
        <f t="shared" si="62"/>
        <v>2022</v>
      </c>
      <c r="S824">
        <f t="shared" si="63"/>
        <v>12</v>
      </c>
      <c r="T824" t="str">
        <f t="shared" si="64"/>
        <v>December</v>
      </c>
    </row>
    <row r="825" spans="1:20" x14ac:dyDescent="0.3">
      <c r="A825" s="3">
        <v>44910</v>
      </c>
      <c r="B825">
        <v>110</v>
      </c>
      <c r="C825" s="3">
        <f>_xlfn.XLOOKUP(B825,Stores!A:A,Stores!E:E)</f>
        <v>44174</v>
      </c>
      <c r="D825">
        <v>217</v>
      </c>
      <c r="E825" s="3">
        <f>_xlfn.XLOOKUP(D825,SalesReps!A:A,SalesReps!D:D)</f>
        <v>44896</v>
      </c>
      <c r="F825" s="3" t="str">
        <f>_xlfn.XLOOKUP(Table1[[#This Row],[RepID]],SalesReps!A:A,SalesReps!E:E)</f>
        <v>Left</v>
      </c>
      <c r="G825">
        <v>319</v>
      </c>
      <c r="H825" t="str">
        <f>_xlfn.XLOOKUP(Table1[[#This Row],[ProductID]],Products!A:A,Products!B:B)</f>
        <v>Toys</v>
      </c>
      <c r="I825" t="str">
        <f>_xlfn.XLOOKUP(Table1[[#This Row],[ProductID]],Products!A:A,Products!C:C)</f>
        <v>Board Games</v>
      </c>
      <c r="J825">
        <v>4</v>
      </c>
      <c r="K825" s="5">
        <f>_xlfn.XLOOKUP(Table1[[#This Row],[ProductID]],Products!A:A,Products!E:E)</f>
        <v>81.069999999999993</v>
      </c>
      <c r="L825" s="5">
        <v>180.68</v>
      </c>
      <c r="M825" s="6">
        <v>0.06</v>
      </c>
      <c r="N825" t="s">
        <v>8</v>
      </c>
      <c r="O825" s="5">
        <f t="shared" si="60"/>
        <v>169.83920000000001</v>
      </c>
      <c r="P825" s="5">
        <f t="shared" si="61"/>
        <v>679.35680000000002</v>
      </c>
      <c r="Q825" s="5">
        <f>Table1[[#This Row],[Quantity]]*(Table1[[#This Row],[Saleprice]]-Table1[[#This Row],[Costprice]])</f>
        <v>355.07680000000005</v>
      </c>
      <c r="R825">
        <f t="shared" si="62"/>
        <v>2022</v>
      </c>
      <c r="S825">
        <f t="shared" si="63"/>
        <v>12</v>
      </c>
      <c r="T825" t="str">
        <f t="shared" si="64"/>
        <v>December</v>
      </c>
    </row>
    <row r="826" spans="1:20" x14ac:dyDescent="0.3">
      <c r="A826" s="3">
        <v>44911</v>
      </c>
      <c r="B826">
        <v>110</v>
      </c>
      <c r="C826" s="3">
        <f>_xlfn.XLOOKUP(B826,Stores!A:A,Stores!E:E)</f>
        <v>44174</v>
      </c>
      <c r="D826">
        <v>217</v>
      </c>
      <c r="E826" s="3">
        <f>_xlfn.XLOOKUP(D826,SalesReps!A:A,SalesReps!D:D)</f>
        <v>44896</v>
      </c>
      <c r="F826" s="3" t="str">
        <f>_xlfn.XLOOKUP(Table1[[#This Row],[RepID]],SalesReps!A:A,SalesReps!E:E)</f>
        <v>Left</v>
      </c>
      <c r="G826">
        <v>306</v>
      </c>
      <c r="H826" t="str">
        <f>_xlfn.XLOOKUP(Table1[[#This Row],[ProductID]],Products!A:A,Products!B:B)</f>
        <v>Clothing</v>
      </c>
      <c r="I826" t="str">
        <f>_xlfn.XLOOKUP(Table1[[#This Row],[ProductID]],Products!A:A,Products!C:C)</f>
        <v>Men</v>
      </c>
      <c r="J826">
        <v>8</v>
      </c>
      <c r="K826" s="5">
        <f>_xlfn.XLOOKUP(Table1[[#This Row],[ProductID]],Products!A:A,Products!E:E)</f>
        <v>185.69</v>
      </c>
      <c r="L826" s="5">
        <v>266.52999999999997</v>
      </c>
      <c r="M826" s="6">
        <v>0.08</v>
      </c>
      <c r="N826" t="s">
        <v>8</v>
      </c>
      <c r="O826" s="5">
        <f t="shared" si="60"/>
        <v>245.20759999999999</v>
      </c>
      <c r="P826" s="5">
        <f t="shared" si="61"/>
        <v>1961.6607999999999</v>
      </c>
      <c r="Q826" s="5">
        <f>Table1[[#This Row],[Quantity]]*(Table1[[#This Row],[Saleprice]]-Table1[[#This Row],[Costprice]])</f>
        <v>476.1407999999999</v>
      </c>
      <c r="R826">
        <f t="shared" si="62"/>
        <v>2022</v>
      </c>
      <c r="S826">
        <f t="shared" si="63"/>
        <v>12</v>
      </c>
      <c r="T826" t="str">
        <f t="shared" si="64"/>
        <v>December</v>
      </c>
    </row>
    <row r="827" spans="1:20" x14ac:dyDescent="0.3">
      <c r="A827" s="3">
        <v>44912</v>
      </c>
      <c r="B827">
        <v>107</v>
      </c>
      <c r="C827" s="3">
        <f>_xlfn.XLOOKUP(B827,Stores!A:A,Stores!E:E)</f>
        <v>44702</v>
      </c>
      <c r="D827">
        <v>215</v>
      </c>
      <c r="E827" s="3">
        <f>_xlfn.XLOOKUP(D827,SalesReps!A:A,SalesReps!D:D)</f>
        <v>44878</v>
      </c>
      <c r="F827" s="3" t="str">
        <f>_xlfn.XLOOKUP(Table1[[#This Row],[RepID]],SalesReps!A:A,SalesReps!E:E)</f>
        <v>Active</v>
      </c>
      <c r="G827">
        <v>312</v>
      </c>
      <c r="H827" t="str">
        <f>_xlfn.XLOOKUP(Table1[[#This Row],[ProductID]],Products!A:A,Products!B:B)</f>
        <v>Toys</v>
      </c>
      <c r="I827" t="str">
        <f>_xlfn.XLOOKUP(Table1[[#This Row],[ProductID]],Products!A:A,Products!C:C)</f>
        <v>Board Games</v>
      </c>
      <c r="J827">
        <v>3</v>
      </c>
      <c r="K827" s="5">
        <f>_xlfn.XLOOKUP(Table1[[#This Row],[ProductID]],Products!A:A,Products!E:E)</f>
        <v>100.05</v>
      </c>
      <c r="L827" s="5">
        <v>142.74</v>
      </c>
      <c r="M827" s="6">
        <v>0.06</v>
      </c>
      <c r="N827" t="s">
        <v>8</v>
      </c>
      <c r="O827" s="5">
        <f t="shared" si="60"/>
        <v>134.1756</v>
      </c>
      <c r="P827" s="5">
        <f t="shared" si="61"/>
        <v>402.52679999999998</v>
      </c>
      <c r="Q827" s="5">
        <f>Table1[[#This Row],[Quantity]]*(Table1[[#This Row],[Saleprice]]-Table1[[#This Row],[Costprice]])</f>
        <v>102.37680000000002</v>
      </c>
      <c r="R827">
        <f t="shared" si="62"/>
        <v>2022</v>
      </c>
      <c r="S827">
        <f t="shared" si="63"/>
        <v>12</v>
      </c>
      <c r="T827" t="str">
        <f t="shared" si="64"/>
        <v>December</v>
      </c>
    </row>
    <row r="828" spans="1:20" x14ac:dyDescent="0.3">
      <c r="A828" s="3">
        <v>44912</v>
      </c>
      <c r="B828">
        <v>102</v>
      </c>
      <c r="C828" s="3">
        <f>_xlfn.XLOOKUP(B828,Stores!A:A,Stores!E:E)</f>
        <v>44875</v>
      </c>
      <c r="D828">
        <v>219</v>
      </c>
      <c r="E828" s="3">
        <f>_xlfn.XLOOKUP(D828,SalesReps!A:A,SalesReps!D:D)</f>
        <v>44883</v>
      </c>
      <c r="F828" s="3" t="str">
        <f>_xlfn.XLOOKUP(Table1[[#This Row],[RepID]],SalesReps!A:A,SalesReps!E:E)</f>
        <v>Active</v>
      </c>
      <c r="G828">
        <v>301</v>
      </c>
      <c r="H828" t="str">
        <f>_xlfn.XLOOKUP(Table1[[#This Row],[ProductID]],Products!A:A,Products!B:B)</f>
        <v>Electronics</v>
      </c>
      <c r="I828" t="str">
        <f>_xlfn.XLOOKUP(Table1[[#This Row],[ProductID]],Products!A:A,Products!C:C)</f>
        <v>Mobiles</v>
      </c>
      <c r="J828">
        <v>4</v>
      </c>
      <c r="K828" s="5">
        <f>_xlfn.XLOOKUP(Table1[[#This Row],[ProductID]],Products!A:A,Products!E:E)</f>
        <v>159.16</v>
      </c>
      <c r="L828" s="5">
        <v>218.09</v>
      </c>
      <c r="M828" s="6">
        <v>0.06</v>
      </c>
      <c r="N828" t="s">
        <v>8</v>
      </c>
      <c r="O828" s="5">
        <f t="shared" si="60"/>
        <v>205.00459999999998</v>
      </c>
      <c r="P828" s="5">
        <f t="shared" si="61"/>
        <v>820.01839999999993</v>
      </c>
      <c r="Q828" s="5">
        <f>Table1[[#This Row],[Quantity]]*(Table1[[#This Row],[Saleprice]]-Table1[[#This Row],[Costprice]])</f>
        <v>183.37839999999994</v>
      </c>
      <c r="R828">
        <f t="shared" si="62"/>
        <v>2022</v>
      </c>
      <c r="S828">
        <f t="shared" si="63"/>
        <v>12</v>
      </c>
      <c r="T828" t="str">
        <f t="shared" si="64"/>
        <v>December</v>
      </c>
    </row>
    <row r="829" spans="1:20" x14ac:dyDescent="0.3">
      <c r="A829" s="3">
        <v>44912</v>
      </c>
      <c r="B829">
        <v>102</v>
      </c>
      <c r="C829" s="3">
        <f>_xlfn.XLOOKUP(B829,Stores!A:A,Stores!E:E)</f>
        <v>44875</v>
      </c>
      <c r="D829">
        <v>219</v>
      </c>
      <c r="E829" s="3">
        <f>_xlfn.XLOOKUP(D829,SalesReps!A:A,SalesReps!D:D)</f>
        <v>44883</v>
      </c>
      <c r="F829" s="3" t="str">
        <f>_xlfn.XLOOKUP(Table1[[#This Row],[RepID]],SalesReps!A:A,SalesReps!E:E)</f>
        <v>Active</v>
      </c>
      <c r="G829">
        <v>302</v>
      </c>
      <c r="H829" t="str">
        <f>_xlfn.XLOOKUP(Table1[[#This Row],[ProductID]],Products!A:A,Products!B:B)</f>
        <v>Toys</v>
      </c>
      <c r="I829" t="str">
        <f>_xlfn.XLOOKUP(Table1[[#This Row],[ProductID]],Products!A:A,Products!C:C)</f>
        <v>Outdoor</v>
      </c>
      <c r="J829">
        <v>4</v>
      </c>
      <c r="K829" s="5">
        <f>_xlfn.XLOOKUP(Table1[[#This Row],[ProductID]],Products!A:A,Products!E:E)</f>
        <v>393.46</v>
      </c>
      <c r="L829" s="5">
        <v>399.95</v>
      </c>
      <c r="M829" s="6">
        <v>0.13</v>
      </c>
      <c r="N829" t="s">
        <v>8</v>
      </c>
      <c r="O829" s="5">
        <f t="shared" si="60"/>
        <v>347.95650000000001</v>
      </c>
      <c r="P829" s="5">
        <f t="shared" si="61"/>
        <v>1391.826</v>
      </c>
      <c r="Q829" s="5">
        <f>Table1[[#This Row],[Quantity]]*(Table1[[#This Row],[Saleprice]]-Table1[[#This Row],[Costprice]])</f>
        <v>-182.0139999999999</v>
      </c>
      <c r="R829">
        <f t="shared" si="62"/>
        <v>2022</v>
      </c>
      <c r="S829">
        <f t="shared" si="63"/>
        <v>12</v>
      </c>
      <c r="T829" t="str">
        <f t="shared" si="64"/>
        <v>December</v>
      </c>
    </row>
    <row r="830" spans="1:20" x14ac:dyDescent="0.3">
      <c r="A830" s="3">
        <v>44912</v>
      </c>
      <c r="B830">
        <v>102</v>
      </c>
      <c r="C830" s="3">
        <f>_xlfn.XLOOKUP(B830,Stores!A:A,Stores!E:E)</f>
        <v>44875</v>
      </c>
      <c r="D830">
        <v>219</v>
      </c>
      <c r="E830" s="3">
        <f>_xlfn.XLOOKUP(D830,SalesReps!A:A,SalesReps!D:D)</f>
        <v>44883</v>
      </c>
      <c r="F830" s="3" t="str">
        <f>_xlfn.XLOOKUP(Table1[[#This Row],[RepID]],SalesReps!A:A,SalesReps!E:E)</f>
        <v>Active</v>
      </c>
      <c r="G830">
        <v>314</v>
      </c>
      <c r="H830" t="str">
        <f>_xlfn.XLOOKUP(Table1[[#This Row],[ProductID]],Products!A:A,Products!B:B)</f>
        <v>Clothing</v>
      </c>
      <c r="I830" t="str">
        <f>_xlfn.XLOOKUP(Table1[[#This Row],[ProductID]],Products!A:A,Products!C:C)</f>
        <v>Kids</v>
      </c>
      <c r="J830">
        <v>4</v>
      </c>
      <c r="K830" s="5">
        <f>_xlfn.XLOOKUP(Table1[[#This Row],[ProductID]],Products!A:A,Products!E:E)</f>
        <v>276.47000000000003</v>
      </c>
      <c r="L830" s="5">
        <v>319.36</v>
      </c>
      <c r="M830" s="6">
        <v>0.14000000000000001</v>
      </c>
      <c r="N830" t="s">
        <v>8</v>
      </c>
      <c r="O830" s="5">
        <f t="shared" si="60"/>
        <v>274.64960000000002</v>
      </c>
      <c r="P830" s="5">
        <f t="shared" si="61"/>
        <v>1098.5984000000001</v>
      </c>
      <c r="Q830" s="5">
        <f>Table1[[#This Row],[Quantity]]*(Table1[[#This Row],[Saleprice]]-Table1[[#This Row],[Costprice]])</f>
        <v>-7.2816000000000258</v>
      </c>
      <c r="R830">
        <f t="shared" si="62"/>
        <v>2022</v>
      </c>
      <c r="S830">
        <f t="shared" si="63"/>
        <v>12</v>
      </c>
      <c r="T830" t="str">
        <f t="shared" si="64"/>
        <v>December</v>
      </c>
    </row>
    <row r="831" spans="1:20" x14ac:dyDescent="0.3">
      <c r="A831" s="3">
        <v>44913</v>
      </c>
      <c r="B831">
        <v>102</v>
      </c>
      <c r="C831" s="3">
        <f>_xlfn.XLOOKUP(B831,Stores!A:A,Stores!E:E)</f>
        <v>44875</v>
      </c>
      <c r="D831">
        <v>219</v>
      </c>
      <c r="E831" s="3">
        <f>_xlfn.XLOOKUP(D831,SalesReps!A:A,SalesReps!D:D)</f>
        <v>44883</v>
      </c>
      <c r="F831" s="3" t="str">
        <f>_xlfn.XLOOKUP(Table1[[#This Row],[RepID]],SalesReps!A:A,SalesReps!E:E)</f>
        <v>Active</v>
      </c>
      <c r="G831">
        <v>302</v>
      </c>
      <c r="H831" t="str">
        <f>_xlfn.XLOOKUP(Table1[[#This Row],[ProductID]],Products!A:A,Products!B:B)</f>
        <v>Toys</v>
      </c>
      <c r="I831" t="str">
        <f>_xlfn.XLOOKUP(Table1[[#This Row],[ProductID]],Products!A:A,Products!C:C)</f>
        <v>Outdoor</v>
      </c>
      <c r="J831">
        <v>6</v>
      </c>
      <c r="K831" s="5">
        <f>_xlfn.XLOOKUP(Table1[[#This Row],[ProductID]],Products!A:A,Products!E:E)</f>
        <v>393.46</v>
      </c>
      <c r="L831" s="5">
        <v>399.95</v>
      </c>
      <c r="M831" s="6">
        <v>0.13</v>
      </c>
      <c r="N831" t="s">
        <v>8</v>
      </c>
      <c r="O831" s="5">
        <f t="shared" si="60"/>
        <v>347.95650000000001</v>
      </c>
      <c r="P831" s="5">
        <f t="shared" si="61"/>
        <v>2087.739</v>
      </c>
      <c r="Q831" s="5">
        <f>Table1[[#This Row],[Quantity]]*(Table1[[#This Row],[Saleprice]]-Table1[[#This Row],[Costprice]])</f>
        <v>-273.02099999999984</v>
      </c>
      <c r="R831">
        <f t="shared" si="62"/>
        <v>2022</v>
      </c>
      <c r="S831">
        <f t="shared" si="63"/>
        <v>12</v>
      </c>
      <c r="T831" t="str">
        <f t="shared" si="64"/>
        <v>December</v>
      </c>
    </row>
    <row r="832" spans="1:20" x14ac:dyDescent="0.3">
      <c r="A832" s="3">
        <v>44913</v>
      </c>
      <c r="B832">
        <v>102</v>
      </c>
      <c r="C832" s="3">
        <f>_xlfn.XLOOKUP(B832,Stores!A:A,Stores!E:E)</f>
        <v>44875</v>
      </c>
      <c r="D832">
        <v>219</v>
      </c>
      <c r="E832" s="3">
        <f>_xlfn.XLOOKUP(D832,SalesReps!A:A,SalesReps!D:D)</f>
        <v>44883</v>
      </c>
      <c r="F832" s="3" t="str">
        <f>_xlfn.XLOOKUP(Table1[[#This Row],[RepID]],SalesReps!A:A,SalesReps!E:E)</f>
        <v>Active</v>
      </c>
      <c r="G832">
        <v>315</v>
      </c>
      <c r="H832" t="str">
        <f>_xlfn.XLOOKUP(Table1[[#This Row],[ProductID]],Products!A:A,Products!B:B)</f>
        <v>Toys</v>
      </c>
      <c r="I832" t="str">
        <f>_xlfn.XLOOKUP(Table1[[#This Row],[ProductID]],Products!A:A,Products!C:C)</f>
        <v>Board Games</v>
      </c>
      <c r="J832">
        <v>1</v>
      </c>
      <c r="K832" s="5">
        <f>_xlfn.XLOOKUP(Table1[[#This Row],[ProductID]],Products!A:A,Products!E:E)</f>
        <v>247.9</v>
      </c>
      <c r="L832" s="5">
        <v>257.43</v>
      </c>
      <c r="M832" s="6">
        <v>0.16</v>
      </c>
      <c r="N832" t="s">
        <v>8</v>
      </c>
      <c r="O832" s="5">
        <f t="shared" si="60"/>
        <v>216.24119999999999</v>
      </c>
      <c r="P832" s="5">
        <f t="shared" si="61"/>
        <v>216.24119999999999</v>
      </c>
      <c r="Q832" s="5">
        <f>Table1[[#This Row],[Quantity]]*(Table1[[#This Row],[Saleprice]]-Table1[[#This Row],[Costprice]])</f>
        <v>-31.658800000000014</v>
      </c>
      <c r="R832">
        <f t="shared" si="62"/>
        <v>2022</v>
      </c>
      <c r="S832">
        <f t="shared" si="63"/>
        <v>12</v>
      </c>
      <c r="T832" t="str">
        <f t="shared" si="64"/>
        <v>December</v>
      </c>
    </row>
    <row r="833" spans="1:20" x14ac:dyDescent="0.3">
      <c r="A833" s="3">
        <v>44914</v>
      </c>
      <c r="B833">
        <v>110</v>
      </c>
      <c r="C833" s="3">
        <f>_xlfn.XLOOKUP(B833,Stores!A:A,Stores!E:E)</f>
        <v>44174</v>
      </c>
      <c r="D833">
        <v>217</v>
      </c>
      <c r="E833" s="3">
        <f>_xlfn.XLOOKUP(D833,SalesReps!A:A,SalesReps!D:D)</f>
        <v>44896</v>
      </c>
      <c r="F833" s="3" t="str">
        <f>_xlfn.XLOOKUP(Table1[[#This Row],[RepID]],SalesReps!A:A,SalesReps!E:E)</f>
        <v>Left</v>
      </c>
      <c r="G833">
        <v>318</v>
      </c>
      <c r="H833" t="str">
        <f>_xlfn.XLOOKUP(Table1[[#This Row],[ProductID]],Products!A:A,Products!B:B)</f>
        <v>Electronics</v>
      </c>
      <c r="I833" t="str">
        <f>_xlfn.XLOOKUP(Table1[[#This Row],[ProductID]],Products!A:A,Products!C:C)</f>
        <v>Mobiles</v>
      </c>
      <c r="J833">
        <v>6</v>
      </c>
      <c r="K833" s="5">
        <f>_xlfn.XLOOKUP(Table1[[#This Row],[ProductID]],Products!A:A,Products!E:E)</f>
        <v>162.51</v>
      </c>
      <c r="L833" s="5">
        <v>195.79</v>
      </c>
      <c r="M833" s="6">
        <v>7.0000000000000007E-2</v>
      </c>
      <c r="N833" t="s">
        <v>8</v>
      </c>
      <c r="O833" s="5">
        <f t="shared" si="60"/>
        <v>182.08469999999997</v>
      </c>
      <c r="P833" s="5">
        <f t="shared" si="61"/>
        <v>1092.5081999999998</v>
      </c>
      <c r="Q833" s="5">
        <f>Table1[[#This Row],[Quantity]]*(Table1[[#This Row],[Saleprice]]-Table1[[#This Row],[Costprice]])</f>
        <v>117.44819999999987</v>
      </c>
      <c r="R833">
        <f t="shared" si="62"/>
        <v>2022</v>
      </c>
      <c r="S833">
        <f t="shared" si="63"/>
        <v>12</v>
      </c>
      <c r="T833" t="str">
        <f t="shared" si="64"/>
        <v>December</v>
      </c>
    </row>
    <row r="834" spans="1:20" x14ac:dyDescent="0.3">
      <c r="A834" s="3">
        <v>44914</v>
      </c>
      <c r="B834">
        <v>102</v>
      </c>
      <c r="C834" s="3">
        <f>_xlfn.XLOOKUP(B834,Stores!A:A,Stores!E:E)</f>
        <v>44875</v>
      </c>
      <c r="D834">
        <v>219</v>
      </c>
      <c r="E834" s="3">
        <f>_xlfn.XLOOKUP(D834,SalesReps!A:A,SalesReps!D:D)</f>
        <v>44883</v>
      </c>
      <c r="F834" s="3" t="str">
        <f>_xlfn.XLOOKUP(Table1[[#This Row],[RepID]],SalesReps!A:A,SalesReps!E:E)</f>
        <v>Active</v>
      </c>
      <c r="G834">
        <v>314</v>
      </c>
      <c r="H834" t="str">
        <f>_xlfn.XLOOKUP(Table1[[#This Row],[ProductID]],Products!A:A,Products!B:B)</f>
        <v>Clothing</v>
      </c>
      <c r="I834" t="str">
        <f>_xlfn.XLOOKUP(Table1[[#This Row],[ProductID]],Products!A:A,Products!C:C)</f>
        <v>Kids</v>
      </c>
      <c r="J834">
        <v>9</v>
      </c>
      <c r="K834" s="5">
        <f>_xlfn.XLOOKUP(Table1[[#This Row],[ProductID]],Products!A:A,Products!E:E)</f>
        <v>276.47000000000003</v>
      </c>
      <c r="L834" s="5">
        <v>319.36</v>
      </c>
      <c r="M834" s="6">
        <v>0.14000000000000001</v>
      </c>
      <c r="N834" t="s">
        <v>8</v>
      </c>
      <c r="O834" s="5">
        <f t="shared" ref="O834:O897" si="65">L834*(1-M834)</f>
        <v>274.64960000000002</v>
      </c>
      <c r="P834" s="5">
        <f t="shared" ref="P834:P897" si="66">O834*J834</f>
        <v>2471.8464000000004</v>
      </c>
      <c r="Q834" s="5">
        <f>Table1[[#This Row],[Quantity]]*(Table1[[#This Row],[Saleprice]]-Table1[[#This Row],[Costprice]])</f>
        <v>-16.383600000000058</v>
      </c>
      <c r="R834">
        <f t="shared" ref="R834:R897" si="67">YEAR(A834)</f>
        <v>2022</v>
      </c>
      <c r="S834">
        <f t="shared" ref="S834:S897" si="68">MONTH(A834)</f>
        <v>12</v>
      </c>
      <c r="T834" t="str">
        <f t="shared" ref="T834:T897" si="69">TEXT(A834,"MMMM")</f>
        <v>December</v>
      </c>
    </row>
    <row r="835" spans="1:20" x14ac:dyDescent="0.3">
      <c r="A835" s="3">
        <v>44915</v>
      </c>
      <c r="B835">
        <v>102</v>
      </c>
      <c r="C835" s="3">
        <f>_xlfn.XLOOKUP(B835,Stores!A:A,Stores!E:E)</f>
        <v>44875</v>
      </c>
      <c r="D835">
        <v>219</v>
      </c>
      <c r="E835" s="3">
        <f>_xlfn.XLOOKUP(D835,SalesReps!A:A,SalesReps!D:D)</f>
        <v>44883</v>
      </c>
      <c r="F835" s="3" t="str">
        <f>_xlfn.XLOOKUP(Table1[[#This Row],[RepID]],SalesReps!A:A,SalesReps!E:E)</f>
        <v>Active</v>
      </c>
      <c r="G835">
        <v>311</v>
      </c>
      <c r="H835" t="str">
        <f>_xlfn.XLOOKUP(Table1[[#This Row],[ProductID]],Products!A:A,Products!B:B)</f>
        <v>Home &amp; Kitchen</v>
      </c>
      <c r="I835" t="str">
        <f>_xlfn.XLOOKUP(Table1[[#This Row],[ProductID]],Products!A:A,Products!C:C)</f>
        <v>Furniture</v>
      </c>
      <c r="J835">
        <v>8</v>
      </c>
      <c r="K835" s="5">
        <f>_xlfn.XLOOKUP(Table1[[#This Row],[ProductID]],Products!A:A,Products!E:E)</f>
        <v>16.23</v>
      </c>
      <c r="L835" s="5">
        <v>114.36</v>
      </c>
      <c r="M835" s="6">
        <v>7.0000000000000007E-2</v>
      </c>
      <c r="N835" t="s">
        <v>8</v>
      </c>
      <c r="O835" s="5">
        <f t="shared" si="65"/>
        <v>106.3548</v>
      </c>
      <c r="P835" s="5">
        <f t="shared" si="66"/>
        <v>850.83839999999998</v>
      </c>
      <c r="Q835" s="5">
        <f>Table1[[#This Row],[Quantity]]*(Table1[[#This Row],[Saleprice]]-Table1[[#This Row],[Costprice]])</f>
        <v>720.99839999999995</v>
      </c>
      <c r="R835">
        <f t="shared" si="67"/>
        <v>2022</v>
      </c>
      <c r="S835">
        <f t="shared" si="68"/>
        <v>12</v>
      </c>
      <c r="T835" t="str">
        <f t="shared" si="69"/>
        <v>December</v>
      </c>
    </row>
    <row r="836" spans="1:20" x14ac:dyDescent="0.3">
      <c r="A836" s="3">
        <v>44915</v>
      </c>
      <c r="B836">
        <v>110</v>
      </c>
      <c r="C836" s="3">
        <f>_xlfn.XLOOKUP(B836,Stores!A:A,Stores!E:E)</f>
        <v>44174</v>
      </c>
      <c r="D836">
        <v>217</v>
      </c>
      <c r="E836" s="3">
        <f>_xlfn.XLOOKUP(D836,SalesReps!A:A,SalesReps!D:D)</f>
        <v>44896</v>
      </c>
      <c r="F836" s="3" t="str">
        <f>_xlfn.XLOOKUP(Table1[[#This Row],[RepID]],SalesReps!A:A,SalesReps!E:E)</f>
        <v>Left</v>
      </c>
      <c r="G836">
        <v>319</v>
      </c>
      <c r="H836" t="str">
        <f>_xlfn.XLOOKUP(Table1[[#This Row],[ProductID]],Products!A:A,Products!B:B)</f>
        <v>Toys</v>
      </c>
      <c r="I836" t="str">
        <f>_xlfn.XLOOKUP(Table1[[#This Row],[ProductID]],Products!A:A,Products!C:C)</f>
        <v>Board Games</v>
      </c>
      <c r="J836">
        <v>6</v>
      </c>
      <c r="K836" s="5">
        <f>_xlfn.XLOOKUP(Table1[[#This Row],[ProductID]],Products!A:A,Products!E:E)</f>
        <v>81.069999999999993</v>
      </c>
      <c r="L836" s="5">
        <v>180.68</v>
      </c>
      <c r="M836" s="6">
        <v>0.06</v>
      </c>
      <c r="N836" t="s">
        <v>8</v>
      </c>
      <c r="O836" s="5">
        <f t="shared" si="65"/>
        <v>169.83920000000001</v>
      </c>
      <c r="P836" s="5">
        <f t="shared" si="66"/>
        <v>1019.0352</v>
      </c>
      <c r="Q836" s="5">
        <f>Table1[[#This Row],[Quantity]]*(Table1[[#This Row],[Saleprice]]-Table1[[#This Row],[Costprice]])</f>
        <v>532.61520000000007</v>
      </c>
      <c r="R836">
        <f t="shared" si="67"/>
        <v>2022</v>
      </c>
      <c r="S836">
        <f t="shared" si="68"/>
        <v>12</v>
      </c>
      <c r="T836" t="str">
        <f t="shared" si="69"/>
        <v>December</v>
      </c>
    </row>
    <row r="837" spans="1:20" x14ac:dyDescent="0.3">
      <c r="A837" s="3">
        <v>44915</v>
      </c>
      <c r="B837">
        <v>110</v>
      </c>
      <c r="C837" s="3">
        <f>_xlfn.XLOOKUP(B837,Stores!A:A,Stores!E:E)</f>
        <v>44174</v>
      </c>
      <c r="D837">
        <v>217</v>
      </c>
      <c r="E837" s="3">
        <f>_xlfn.XLOOKUP(D837,SalesReps!A:A,SalesReps!D:D)</f>
        <v>44896</v>
      </c>
      <c r="F837" s="3" t="str">
        <f>_xlfn.XLOOKUP(Table1[[#This Row],[RepID]],SalesReps!A:A,SalesReps!E:E)</f>
        <v>Left</v>
      </c>
      <c r="G837">
        <v>308</v>
      </c>
      <c r="H837" t="str">
        <f>_xlfn.XLOOKUP(Table1[[#This Row],[ProductID]],Products!A:A,Products!B:B)</f>
        <v>Home &amp; Kitchen</v>
      </c>
      <c r="I837" t="str">
        <f>_xlfn.XLOOKUP(Table1[[#This Row],[ProductID]],Products!A:A,Products!C:C)</f>
        <v>Furniture</v>
      </c>
      <c r="J837">
        <v>2</v>
      </c>
      <c r="K837" s="5">
        <f>_xlfn.XLOOKUP(Table1[[#This Row],[ProductID]],Products!A:A,Products!E:E)</f>
        <v>377.46</v>
      </c>
      <c r="L837" s="5">
        <v>437.63</v>
      </c>
      <c r="M837" s="6">
        <v>0.12</v>
      </c>
      <c r="N837" t="s">
        <v>8</v>
      </c>
      <c r="O837" s="5">
        <f t="shared" si="65"/>
        <v>385.11439999999999</v>
      </c>
      <c r="P837" s="5">
        <f t="shared" si="66"/>
        <v>770.22879999999998</v>
      </c>
      <c r="Q837" s="5">
        <f>Table1[[#This Row],[Quantity]]*(Table1[[#This Row],[Saleprice]]-Table1[[#This Row],[Costprice]])</f>
        <v>15.308800000000019</v>
      </c>
      <c r="R837">
        <f t="shared" si="67"/>
        <v>2022</v>
      </c>
      <c r="S837">
        <f t="shared" si="68"/>
        <v>12</v>
      </c>
      <c r="T837" t="str">
        <f t="shared" si="69"/>
        <v>December</v>
      </c>
    </row>
    <row r="838" spans="1:20" x14ac:dyDescent="0.3">
      <c r="A838" s="3">
        <v>44915</v>
      </c>
      <c r="B838">
        <v>107</v>
      </c>
      <c r="C838" s="3">
        <f>_xlfn.XLOOKUP(B838,Stores!A:A,Stores!E:E)</f>
        <v>44702</v>
      </c>
      <c r="D838">
        <v>215</v>
      </c>
      <c r="E838" s="3">
        <f>_xlfn.XLOOKUP(D838,SalesReps!A:A,SalesReps!D:D)</f>
        <v>44878</v>
      </c>
      <c r="F838" s="3" t="str">
        <f>_xlfn.XLOOKUP(Table1[[#This Row],[RepID]],SalesReps!A:A,SalesReps!E:E)</f>
        <v>Active</v>
      </c>
      <c r="G838">
        <v>310</v>
      </c>
      <c r="H838" t="str">
        <f>_xlfn.XLOOKUP(Table1[[#This Row],[ProductID]],Products!A:A,Products!B:B)</f>
        <v>Home &amp; Kitchen</v>
      </c>
      <c r="I838" t="str">
        <f>_xlfn.XLOOKUP(Table1[[#This Row],[ProductID]],Products!A:A,Products!C:C)</f>
        <v>Furniture</v>
      </c>
      <c r="J838">
        <v>3</v>
      </c>
      <c r="K838" s="5">
        <f>_xlfn.XLOOKUP(Table1[[#This Row],[ProductID]],Products!A:A,Products!E:E)</f>
        <v>160.31</v>
      </c>
      <c r="L838" s="5">
        <v>169.45</v>
      </c>
      <c r="M838" s="6">
        <v>0.25</v>
      </c>
      <c r="N838" t="s">
        <v>8</v>
      </c>
      <c r="O838" s="5">
        <f t="shared" si="65"/>
        <v>127.08749999999999</v>
      </c>
      <c r="P838" s="5">
        <f t="shared" si="66"/>
        <v>381.26249999999999</v>
      </c>
      <c r="Q838" s="5">
        <f>Table1[[#This Row],[Quantity]]*(Table1[[#This Row],[Saleprice]]-Table1[[#This Row],[Costprice]])</f>
        <v>-99.667500000000032</v>
      </c>
      <c r="R838">
        <f t="shared" si="67"/>
        <v>2022</v>
      </c>
      <c r="S838">
        <f t="shared" si="68"/>
        <v>12</v>
      </c>
      <c r="T838" t="str">
        <f t="shared" si="69"/>
        <v>December</v>
      </c>
    </row>
    <row r="839" spans="1:20" x14ac:dyDescent="0.3">
      <c r="A839" s="3">
        <v>44915</v>
      </c>
      <c r="B839">
        <v>102</v>
      </c>
      <c r="C839" s="3">
        <f>_xlfn.XLOOKUP(B839,Stores!A:A,Stores!E:E)</f>
        <v>44875</v>
      </c>
      <c r="D839">
        <v>219</v>
      </c>
      <c r="E839" s="3">
        <f>_xlfn.XLOOKUP(D839,SalesReps!A:A,SalesReps!D:D)</f>
        <v>44883</v>
      </c>
      <c r="F839" s="3" t="str">
        <f>_xlfn.XLOOKUP(Table1[[#This Row],[RepID]],SalesReps!A:A,SalesReps!E:E)</f>
        <v>Active</v>
      </c>
      <c r="G839">
        <v>307</v>
      </c>
      <c r="H839" t="str">
        <f>_xlfn.XLOOKUP(Table1[[#This Row],[ProductID]],Products!A:A,Products!B:B)</f>
        <v>Toys</v>
      </c>
      <c r="I839" t="str">
        <f>_xlfn.XLOOKUP(Table1[[#This Row],[ProductID]],Products!A:A,Products!C:C)</f>
        <v>Outdoor</v>
      </c>
      <c r="J839">
        <v>1</v>
      </c>
      <c r="K839" s="5">
        <f>_xlfn.XLOOKUP(Table1[[#This Row],[ProductID]],Products!A:A,Products!E:E)</f>
        <v>15.17</v>
      </c>
      <c r="L839" s="5">
        <v>101.71</v>
      </c>
      <c r="M839" s="6">
        <v>0.12</v>
      </c>
      <c r="N839" t="s">
        <v>8</v>
      </c>
      <c r="O839" s="5">
        <f t="shared" si="65"/>
        <v>89.504799999999989</v>
      </c>
      <c r="P839" s="5">
        <f t="shared" si="66"/>
        <v>89.504799999999989</v>
      </c>
      <c r="Q839" s="5">
        <f>Table1[[#This Row],[Quantity]]*(Table1[[#This Row],[Saleprice]]-Table1[[#This Row],[Costprice]])</f>
        <v>74.334799999999987</v>
      </c>
      <c r="R839">
        <f t="shared" si="67"/>
        <v>2022</v>
      </c>
      <c r="S839">
        <f t="shared" si="68"/>
        <v>12</v>
      </c>
      <c r="T839" t="str">
        <f t="shared" si="69"/>
        <v>December</v>
      </c>
    </row>
    <row r="840" spans="1:20" x14ac:dyDescent="0.3">
      <c r="A840" s="3">
        <v>44915</v>
      </c>
      <c r="B840">
        <v>110</v>
      </c>
      <c r="C840" s="3">
        <f>_xlfn.XLOOKUP(B840,Stores!A:A,Stores!E:E)</f>
        <v>44174</v>
      </c>
      <c r="D840">
        <v>217</v>
      </c>
      <c r="E840" s="3">
        <f>_xlfn.XLOOKUP(D840,SalesReps!A:A,SalesReps!D:D)</f>
        <v>44896</v>
      </c>
      <c r="F840" s="3" t="str">
        <f>_xlfn.XLOOKUP(Table1[[#This Row],[RepID]],SalesReps!A:A,SalesReps!E:E)</f>
        <v>Left</v>
      </c>
      <c r="G840">
        <v>301</v>
      </c>
      <c r="H840" t="str">
        <f>_xlfn.XLOOKUP(Table1[[#This Row],[ProductID]],Products!A:A,Products!B:B)</f>
        <v>Electronics</v>
      </c>
      <c r="I840" t="str">
        <f>_xlfn.XLOOKUP(Table1[[#This Row],[ProductID]],Products!A:A,Products!C:C)</f>
        <v>Mobiles</v>
      </c>
      <c r="J840">
        <v>7</v>
      </c>
      <c r="K840" s="5">
        <f>_xlfn.XLOOKUP(Table1[[#This Row],[ProductID]],Products!A:A,Products!E:E)</f>
        <v>159.16</v>
      </c>
      <c r="L840" s="5">
        <v>221.83</v>
      </c>
      <c r="M840" s="6">
        <v>0.11</v>
      </c>
      <c r="N840" t="s">
        <v>8</v>
      </c>
      <c r="O840" s="5">
        <f t="shared" si="65"/>
        <v>197.42870000000002</v>
      </c>
      <c r="P840" s="5">
        <f t="shared" si="66"/>
        <v>1382.0009000000002</v>
      </c>
      <c r="Q840" s="5">
        <f>Table1[[#This Row],[Quantity]]*(Table1[[#This Row],[Saleprice]]-Table1[[#This Row],[Costprice]])</f>
        <v>267.88090000000017</v>
      </c>
      <c r="R840">
        <f t="shared" si="67"/>
        <v>2022</v>
      </c>
      <c r="S840">
        <f t="shared" si="68"/>
        <v>12</v>
      </c>
      <c r="T840" t="str">
        <f t="shared" si="69"/>
        <v>December</v>
      </c>
    </row>
    <row r="841" spans="1:20" x14ac:dyDescent="0.3">
      <c r="A841" s="3">
        <v>44916</v>
      </c>
      <c r="B841">
        <v>110</v>
      </c>
      <c r="C841" s="3">
        <f>_xlfn.XLOOKUP(B841,Stores!A:A,Stores!E:E)</f>
        <v>44174</v>
      </c>
      <c r="D841">
        <v>217</v>
      </c>
      <c r="E841" s="3">
        <f>_xlfn.XLOOKUP(D841,SalesReps!A:A,SalesReps!D:D)</f>
        <v>44896</v>
      </c>
      <c r="F841" s="3" t="str">
        <f>_xlfn.XLOOKUP(Table1[[#This Row],[RepID]],SalesReps!A:A,SalesReps!E:E)</f>
        <v>Left</v>
      </c>
      <c r="G841">
        <v>309</v>
      </c>
      <c r="H841" t="str">
        <f>_xlfn.XLOOKUP(Table1[[#This Row],[ProductID]],Products!A:A,Products!B:B)</f>
        <v>Electronics</v>
      </c>
      <c r="I841" t="str">
        <f>_xlfn.XLOOKUP(Table1[[#This Row],[ProductID]],Products!A:A,Products!C:C)</f>
        <v>Laptops</v>
      </c>
      <c r="J841">
        <v>2</v>
      </c>
      <c r="K841" s="5">
        <f>_xlfn.XLOOKUP(Table1[[#This Row],[ProductID]],Products!A:A,Products!E:E)</f>
        <v>229.68</v>
      </c>
      <c r="L841" s="5">
        <v>258.47000000000003</v>
      </c>
      <c r="M841" s="6">
        <v>0.17</v>
      </c>
      <c r="N841" t="s">
        <v>8</v>
      </c>
      <c r="O841" s="5">
        <f t="shared" si="65"/>
        <v>214.5301</v>
      </c>
      <c r="P841" s="5">
        <f t="shared" si="66"/>
        <v>429.06020000000001</v>
      </c>
      <c r="Q841" s="5">
        <f>Table1[[#This Row],[Quantity]]*(Table1[[#This Row],[Saleprice]]-Table1[[#This Row],[Costprice]])</f>
        <v>-30.299800000000005</v>
      </c>
      <c r="R841">
        <f t="shared" si="67"/>
        <v>2022</v>
      </c>
      <c r="S841">
        <f t="shared" si="68"/>
        <v>12</v>
      </c>
      <c r="T841" t="str">
        <f t="shared" si="69"/>
        <v>December</v>
      </c>
    </row>
    <row r="842" spans="1:20" x14ac:dyDescent="0.3">
      <c r="A842" s="3">
        <v>44916</v>
      </c>
      <c r="B842">
        <v>102</v>
      </c>
      <c r="C842" s="3">
        <f>_xlfn.XLOOKUP(B842,Stores!A:A,Stores!E:E)</f>
        <v>44875</v>
      </c>
      <c r="D842">
        <v>219</v>
      </c>
      <c r="E842" s="3">
        <f>_xlfn.XLOOKUP(D842,SalesReps!A:A,SalesReps!D:D)</f>
        <v>44883</v>
      </c>
      <c r="F842" s="3" t="str">
        <f>_xlfn.XLOOKUP(Table1[[#This Row],[RepID]],SalesReps!A:A,SalesReps!E:E)</f>
        <v>Active</v>
      </c>
      <c r="G842">
        <v>318</v>
      </c>
      <c r="H842" t="str">
        <f>_xlfn.XLOOKUP(Table1[[#This Row],[ProductID]],Products!A:A,Products!B:B)</f>
        <v>Electronics</v>
      </c>
      <c r="I842" t="str">
        <f>_xlfn.XLOOKUP(Table1[[#This Row],[ProductID]],Products!A:A,Products!C:C)</f>
        <v>Mobiles</v>
      </c>
      <c r="J842">
        <v>9</v>
      </c>
      <c r="K842" s="5">
        <f>_xlfn.XLOOKUP(Table1[[#This Row],[ProductID]],Products!A:A,Products!E:E)</f>
        <v>162.51</v>
      </c>
      <c r="L842" s="5">
        <v>221.52</v>
      </c>
      <c r="M842" s="6">
        <v>0.17</v>
      </c>
      <c r="N842" t="s">
        <v>8</v>
      </c>
      <c r="O842" s="5">
        <f t="shared" si="65"/>
        <v>183.86160000000001</v>
      </c>
      <c r="P842" s="5">
        <f t="shared" si="66"/>
        <v>1654.7544</v>
      </c>
      <c r="Q842" s="5">
        <f>Table1[[#This Row],[Quantity]]*(Table1[[#This Row],[Saleprice]]-Table1[[#This Row],[Costprice]])</f>
        <v>192.16440000000017</v>
      </c>
      <c r="R842">
        <f t="shared" si="67"/>
        <v>2022</v>
      </c>
      <c r="S842">
        <f t="shared" si="68"/>
        <v>12</v>
      </c>
      <c r="T842" t="str">
        <f t="shared" si="69"/>
        <v>December</v>
      </c>
    </row>
    <row r="843" spans="1:20" x14ac:dyDescent="0.3">
      <c r="A843" s="3">
        <v>44916</v>
      </c>
      <c r="B843">
        <v>102</v>
      </c>
      <c r="C843" s="3">
        <f>_xlfn.XLOOKUP(B843,Stores!A:A,Stores!E:E)</f>
        <v>44875</v>
      </c>
      <c r="D843">
        <v>219</v>
      </c>
      <c r="E843" s="3">
        <f>_xlfn.XLOOKUP(D843,SalesReps!A:A,SalesReps!D:D)</f>
        <v>44883</v>
      </c>
      <c r="F843" s="3" t="str">
        <f>_xlfn.XLOOKUP(Table1[[#This Row],[RepID]],SalesReps!A:A,SalesReps!E:E)</f>
        <v>Active</v>
      </c>
      <c r="G843">
        <v>317</v>
      </c>
      <c r="H843" t="str">
        <f>_xlfn.XLOOKUP(Table1[[#This Row],[ProductID]],Products!A:A,Products!B:B)</f>
        <v>Toys</v>
      </c>
      <c r="I843" t="str">
        <f>_xlfn.XLOOKUP(Table1[[#This Row],[ProductID]],Products!A:A,Products!C:C)</f>
        <v>Educational</v>
      </c>
      <c r="J843">
        <v>9</v>
      </c>
      <c r="K843" s="5">
        <f>_xlfn.XLOOKUP(Table1[[#This Row],[ProductID]],Products!A:A,Products!E:E)</f>
        <v>77.61</v>
      </c>
      <c r="L843" s="5">
        <v>108.64</v>
      </c>
      <c r="M843" s="6">
        <v>0.09</v>
      </c>
      <c r="N843" t="s">
        <v>8</v>
      </c>
      <c r="O843" s="5">
        <f t="shared" si="65"/>
        <v>98.862400000000008</v>
      </c>
      <c r="P843" s="5">
        <f t="shared" si="66"/>
        <v>889.76160000000004</v>
      </c>
      <c r="Q843" s="5">
        <f>Table1[[#This Row],[Quantity]]*(Table1[[#This Row],[Saleprice]]-Table1[[#This Row],[Costprice]])</f>
        <v>191.27160000000009</v>
      </c>
      <c r="R843">
        <f t="shared" si="67"/>
        <v>2022</v>
      </c>
      <c r="S843">
        <f t="shared" si="68"/>
        <v>12</v>
      </c>
      <c r="T843" t="str">
        <f t="shared" si="69"/>
        <v>December</v>
      </c>
    </row>
    <row r="844" spans="1:20" x14ac:dyDescent="0.3">
      <c r="A844" s="3">
        <v>44918</v>
      </c>
      <c r="B844">
        <v>102</v>
      </c>
      <c r="C844" s="3">
        <f>_xlfn.XLOOKUP(B844,Stores!A:A,Stores!E:E)</f>
        <v>44875</v>
      </c>
      <c r="D844">
        <v>219</v>
      </c>
      <c r="E844" s="3">
        <f>_xlfn.XLOOKUP(D844,SalesReps!A:A,SalesReps!D:D)</f>
        <v>44883</v>
      </c>
      <c r="F844" s="3" t="str">
        <f>_xlfn.XLOOKUP(Table1[[#This Row],[RepID]],SalesReps!A:A,SalesReps!E:E)</f>
        <v>Active</v>
      </c>
      <c r="G844">
        <v>309</v>
      </c>
      <c r="H844" t="str">
        <f>_xlfn.XLOOKUP(Table1[[#This Row],[ProductID]],Products!A:A,Products!B:B)</f>
        <v>Electronics</v>
      </c>
      <c r="I844" t="str">
        <f>_xlfn.XLOOKUP(Table1[[#This Row],[ProductID]],Products!A:A,Products!C:C)</f>
        <v>Laptops</v>
      </c>
      <c r="J844">
        <v>8</v>
      </c>
      <c r="K844" s="5">
        <f>_xlfn.XLOOKUP(Table1[[#This Row],[ProductID]],Products!A:A,Products!E:E)</f>
        <v>229.68</v>
      </c>
      <c r="L844" s="5">
        <v>261.64999999999998</v>
      </c>
      <c r="M844" s="6">
        <v>0.11</v>
      </c>
      <c r="N844" t="s">
        <v>8</v>
      </c>
      <c r="O844" s="5">
        <f t="shared" si="65"/>
        <v>232.86849999999998</v>
      </c>
      <c r="P844" s="5">
        <f t="shared" si="66"/>
        <v>1862.9479999999999</v>
      </c>
      <c r="Q844" s="5">
        <f>Table1[[#This Row],[Quantity]]*(Table1[[#This Row],[Saleprice]]-Table1[[#This Row],[Costprice]])</f>
        <v>25.507999999999811</v>
      </c>
      <c r="R844">
        <f t="shared" si="67"/>
        <v>2022</v>
      </c>
      <c r="S844">
        <f t="shared" si="68"/>
        <v>12</v>
      </c>
      <c r="T844" t="str">
        <f t="shared" si="69"/>
        <v>December</v>
      </c>
    </row>
    <row r="845" spans="1:20" x14ac:dyDescent="0.3">
      <c r="A845" s="3">
        <v>44918</v>
      </c>
      <c r="B845">
        <v>102</v>
      </c>
      <c r="C845" s="3">
        <f>_xlfn.XLOOKUP(B845,Stores!A:A,Stores!E:E)</f>
        <v>44875</v>
      </c>
      <c r="D845">
        <v>219</v>
      </c>
      <c r="E845" s="3">
        <f>_xlfn.XLOOKUP(D845,SalesReps!A:A,SalesReps!D:D)</f>
        <v>44883</v>
      </c>
      <c r="F845" s="3" t="str">
        <f>_xlfn.XLOOKUP(Table1[[#This Row],[RepID]],SalesReps!A:A,SalesReps!E:E)</f>
        <v>Active</v>
      </c>
      <c r="G845">
        <v>306</v>
      </c>
      <c r="H845" t="str">
        <f>_xlfn.XLOOKUP(Table1[[#This Row],[ProductID]],Products!A:A,Products!B:B)</f>
        <v>Clothing</v>
      </c>
      <c r="I845" t="str">
        <f>_xlfn.XLOOKUP(Table1[[#This Row],[ProductID]],Products!A:A,Products!C:C)</f>
        <v>Men</v>
      </c>
      <c r="J845">
        <v>4</v>
      </c>
      <c r="K845" s="5">
        <f>_xlfn.XLOOKUP(Table1[[#This Row],[ProductID]],Products!A:A,Products!E:E)</f>
        <v>185.69</v>
      </c>
      <c r="L845" s="5">
        <v>193.83</v>
      </c>
      <c r="M845" s="6">
        <v>0.12</v>
      </c>
      <c r="N845" t="s">
        <v>8</v>
      </c>
      <c r="O845" s="5">
        <f t="shared" si="65"/>
        <v>170.57040000000001</v>
      </c>
      <c r="P845" s="5">
        <f t="shared" si="66"/>
        <v>682.28160000000003</v>
      </c>
      <c r="Q845" s="5">
        <f>Table1[[#This Row],[Quantity]]*(Table1[[#This Row],[Saleprice]]-Table1[[#This Row],[Costprice]])</f>
        <v>-60.478399999999965</v>
      </c>
      <c r="R845">
        <f t="shared" si="67"/>
        <v>2022</v>
      </c>
      <c r="S845">
        <f t="shared" si="68"/>
        <v>12</v>
      </c>
      <c r="T845" t="str">
        <f t="shared" si="69"/>
        <v>December</v>
      </c>
    </row>
    <row r="846" spans="1:20" x14ac:dyDescent="0.3">
      <c r="A846" s="3">
        <v>44919</v>
      </c>
      <c r="B846">
        <v>110</v>
      </c>
      <c r="C846" s="3">
        <f>_xlfn.XLOOKUP(B846,Stores!A:A,Stores!E:E)</f>
        <v>44174</v>
      </c>
      <c r="D846">
        <v>217</v>
      </c>
      <c r="E846" s="3">
        <f>_xlfn.XLOOKUP(D846,SalesReps!A:A,SalesReps!D:D)</f>
        <v>44896</v>
      </c>
      <c r="F846" s="3" t="str">
        <f>_xlfn.XLOOKUP(Table1[[#This Row],[RepID]],SalesReps!A:A,SalesReps!E:E)</f>
        <v>Left</v>
      </c>
      <c r="G846">
        <v>311</v>
      </c>
      <c r="H846" t="str">
        <f>_xlfn.XLOOKUP(Table1[[#This Row],[ProductID]],Products!A:A,Products!B:B)</f>
        <v>Home &amp; Kitchen</v>
      </c>
      <c r="I846" t="str">
        <f>_xlfn.XLOOKUP(Table1[[#This Row],[ProductID]],Products!A:A,Products!C:C)</f>
        <v>Furniture</v>
      </c>
      <c r="J846">
        <v>8</v>
      </c>
      <c r="K846" s="5">
        <f>_xlfn.XLOOKUP(Table1[[#This Row],[ProductID]],Products!A:A,Products!E:E)</f>
        <v>16.23</v>
      </c>
      <c r="L846" s="5">
        <v>51.87</v>
      </c>
      <c r="M846" s="6">
        <v>0.22</v>
      </c>
      <c r="N846" t="s">
        <v>8</v>
      </c>
      <c r="O846" s="5">
        <f t="shared" si="65"/>
        <v>40.458599999999997</v>
      </c>
      <c r="P846" s="5">
        <f t="shared" si="66"/>
        <v>323.66879999999998</v>
      </c>
      <c r="Q846" s="5">
        <f>Table1[[#This Row],[Quantity]]*(Table1[[#This Row],[Saleprice]]-Table1[[#This Row],[Costprice]])</f>
        <v>193.82879999999997</v>
      </c>
      <c r="R846">
        <f t="shared" si="67"/>
        <v>2022</v>
      </c>
      <c r="S846">
        <f t="shared" si="68"/>
        <v>12</v>
      </c>
      <c r="T846" t="str">
        <f t="shared" si="69"/>
        <v>December</v>
      </c>
    </row>
    <row r="847" spans="1:20" x14ac:dyDescent="0.3">
      <c r="A847" s="3">
        <v>44919</v>
      </c>
      <c r="B847">
        <v>110</v>
      </c>
      <c r="C847" s="3">
        <f>_xlfn.XLOOKUP(B847,Stores!A:A,Stores!E:E)</f>
        <v>44174</v>
      </c>
      <c r="D847">
        <v>217</v>
      </c>
      <c r="E847" s="3">
        <f>_xlfn.XLOOKUP(D847,SalesReps!A:A,SalesReps!D:D)</f>
        <v>44896</v>
      </c>
      <c r="F847" s="3" t="str">
        <f>_xlfn.XLOOKUP(Table1[[#This Row],[RepID]],SalesReps!A:A,SalesReps!E:E)</f>
        <v>Left</v>
      </c>
      <c r="G847">
        <v>304</v>
      </c>
      <c r="H847" t="str">
        <f>_xlfn.XLOOKUP(Table1[[#This Row],[ProductID]],Products!A:A,Products!B:B)</f>
        <v>Home &amp; Kitchen</v>
      </c>
      <c r="I847" t="str">
        <f>_xlfn.XLOOKUP(Table1[[#This Row],[ProductID]],Products!A:A,Products!C:C)</f>
        <v>Furniture</v>
      </c>
      <c r="J847">
        <v>6</v>
      </c>
      <c r="K847" s="5">
        <f>_xlfn.XLOOKUP(Table1[[#This Row],[ProductID]],Products!A:A,Products!E:E)</f>
        <v>345.38</v>
      </c>
      <c r="L847" s="5">
        <v>411.91</v>
      </c>
      <c r="M847" s="6">
        <v>0.05</v>
      </c>
      <c r="N847" t="s">
        <v>8</v>
      </c>
      <c r="O847" s="5">
        <f t="shared" si="65"/>
        <v>391.31450000000001</v>
      </c>
      <c r="P847" s="5">
        <f t="shared" si="66"/>
        <v>2347.8870000000002</v>
      </c>
      <c r="Q847" s="5">
        <f>Table1[[#This Row],[Quantity]]*(Table1[[#This Row],[Saleprice]]-Table1[[#This Row],[Costprice]])</f>
        <v>275.60700000000008</v>
      </c>
      <c r="R847">
        <f t="shared" si="67"/>
        <v>2022</v>
      </c>
      <c r="S847">
        <f t="shared" si="68"/>
        <v>12</v>
      </c>
      <c r="T847" t="str">
        <f t="shared" si="69"/>
        <v>December</v>
      </c>
    </row>
    <row r="848" spans="1:20" x14ac:dyDescent="0.3">
      <c r="A848" s="3">
        <v>44920</v>
      </c>
      <c r="B848">
        <v>110</v>
      </c>
      <c r="C848" s="3">
        <f>_xlfn.XLOOKUP(B848,Stores!A:A,Stores!E:E)</f>
        <v>44174</v>
      </c>
      <c r="D848">
        <v>217</v>
      </c>
      <c r="E848" s="3">
        <f>_xlfn.XLOOKUP(D848,SalesReps!A:A,SalesReps!D:D)</f>
        <v>44896</v>
      </c>
      <c r="F848" s="3" t="str">
        <f>_xlfn.XLOOKUP(Table1[[#This Row],[RepID]],SalesReps!A:A,SalesReps!E:E)</f>
        <v>Left</v>
      </c>
      <c r="G848">
        <v>309</v>
      </c>
      <c r="H848" t="str">
        <f>_xlfn.XLOOKUP(Table1[[#This Row],[ProductID]],Products!A:A,Products!B:B)</f>
        <v>Electronics</v>
      </c>
      <c r="I848" t="str">
        <f>_xlfn.XLOOKUP(Table1[[#This Row],[ProductID]],Products!A:A,Products!C:C)</f>
        <v>Laptops</v>
      </c>
      <c r="J848">
        <v>7</v>
      </c>
      <c r="K848" s="5">
        <f>_xlfn.XLOOKUP(Table1[[#This Row],[ProductID]],Products!A:A,Products!E:E)</f>
        <v>229.68</v>
      </c>
      <c r="L848" s="5">
        <v>258.47000000000003</v>
      </c>
      <c r="M848" s="6">
        <v>0.17</v>
      </c>
      <c r="N848" t="s">
        <v>8</v>
      </c>
      <c r="O848" s="5">
        <f t="shared" si="65"/>
        <v>214.5301</v>
      </c>
      <c r="P848" s="5">
        <f t="shared" si="66"/>
        <v>1501.7107000000001</v>
      </c>
      <c r="Q848" s="5">
        <f>Table1[[#This Row],[Quantity]]*(Table1[[#This Row],[Saleprice]]-Table1[[#This Row],[Costprice]])</f>
        <v>-106.04930000000002</v>
      </c>
      <c r="R848">
        <f t="shared" si="67"/>
        <v>2022</v>
      </c>
      <c r="S848">
        <f t="shared" si="68"/>
        <v>12</v>
      </c>
      <c r="T848" t="str">
        <f t="shared" si="69"/>
        <v>December</v>
      </c>
    </row>
    <row r="849" spans="1:20" x14ac:dyDescent="0.3">
      <c r="A849" s="3">
        <v>44920</v>
      </c>
      <c r="B849">
        <v>110</v>
      </c>
      <c r="C849" s="3">
        <f>_xlfn.XLOOKUP(B849,Stores!A:A,Stores!E:E)</f>
        <v>44174</v>
      </c>
      <c r="D849">
        <v>217</v>
      </c>
      <c r="E849" s="3">
        <f>_xlfn.XLOOKUP(D849,SalesReps!A:A,SalesReps!D:D)</f>
        <v>44896</v>
      </c>
      <c r="F849" s="3" t="str">
        <f>_xlfn.XLOOKUP(Table1[[#This Row],[RepID]],SalesReps!A:A,SalesReps!E:E)</f>
        <v>Left</v>
      </c>
      <c r="G849">
        <v>304</v>
      </c>
      <c r="H849" t="str">
        <f>_xlfn.XLOOKUP(Table1[[#This Row],[ProductID]],Products!A:A,Products!B:B)</f>
        <v>Home &amp; Kitchen</v>
      </c>
      <c r="I849" t="str">
        <f>_xlfn.XLOOKUP(Table1[[#This Row],[ProductID]],Products!A:A,Products!C:C)</f>
        <v>Furniture</v>
      </c>
      <c r="J849">
        <v>7</v>
      </c>
      <c r="K849" s="5">
        <f>_xlfn.XLOOKUP(Table1[[#This Row],[ProductID]],Products!A:A,Products!E:E)</f>
        <v>345.38</v>
      </c>
      <c r="L849" s="5">
        <v>411.91</v>
      </c>
      <c r="M849" s="6">
        <v>0.05</v>
      </c>
      <c r="N849" t="s">
        <v>8</v>
      </c>
      <c r="O849" s="5">
        <f t="shared" si="65"/>
        <v>391.31450000000001</v>
      </c>
      <c r="P849" s="5">
        <f t="shared" si="66"/>
        <v>2739.2015000000001</v>
      </c>
      <c r="Q849" s="5">
        <f>Table1[[#This Row],[Quantity]]*(Table1[[#This Row],[Saleprice]]-Table1[[#This Row],[Costprice]])</f>
        <v>321.5415000000001</v>
      </c>
      <c r="R849">
        <f t="shared" si="67"/>
        <v>2022</v>
      </c>
      <c r="S849">
        <f t="shared" si="68"/>
        <v>12</v>
      </c>
      <c r="T849" t="str">
        <f t="shared" si="69"/>
        <v>December</v>
      </c>
    </row>
    <row r="850" spans="1:20" x14ac:dyDescent="0.3">
      <c r="A850" s="3">
        <v>44920</v>
      </c>
      <c r="B850">
        <v>107</v>
      </c>
      <c r="C850" s="3">
        <f>_xlfn.XLOOKUP(B850,Stores!A:A,Stores!E:E)</f>
        <v>44702</v>
      </c>
      <c r="D850">
        <v>215</v>
      </c>
      <c r="E850" s="3">
        <f>_xlfn.XLOOKUP(D850,SalesReps!A:A,SalesReps!D:D)</f>
        <v>44878</v>
      </c>
      <c r="F850" s="3" t="str">
        <f>_xlfn.XLOOKUP(Table1[[#This Row],[RepID]],SalesReps!A:A,SalesReps!E:E)</f>
        <v>Active</v>
      </c>
      <c r="G850">
        <v>307</v>
      </c>
      <c r="H850" t="str">
        <f>_xlfn.XLOOKUP(Table1[[#This Row],[ProductID]],Products!A:A,Products!B:B)</f>
        <v>Toys</v>
      </c>
      <c r="I850" t="str">
        <f>_xlfn.XLOOKUP(Table1[[#This Row],[ProductID]],Products!A:A,Products!C:C)</f>
        <v>Outdoor</v>
      </c>
      <c r="J850">
        <v>7</v>
      </c>
      <c r="K850" s="5">
        <f>_xlfn.XLOOKUP(Table1[[#This Row],[ProductID]],Products!A:A,Products!E:E)</f>
        <v>15.17</v>
      </c>
      <c r="L850" s="5">
        <v>99.75</v>
      </c>
      <c r="M850" s="6">
        <v>0.19</v>
      </c>
      <c r="N850" t="s">
        <v>8</v>
      </c>
      <c r="O850" s="5">
        <f t="shared" si="65"/>
        <v>80.797499999999999</v>
      </c>
      <c r="P850" s="5">
        <f t="shared" si="66"/>
        <v>565.58249999999998</v>
      </c>
      <c r="Q850" s="5">
        <f>Table1[[#This Row],[Quantity]]*(Table1[[#This Row],[Saleprice]]-Table1[[#This Row],[Costprice]])</f>
        <v>459.39249999999998</v>
      </c>
      <c r="R850">
        <f t="shared" si="67"/>
        <v>2022</v>
      </c>
      <c r="S850">
        <f t="shared" si="68"/>
        <v>12</v>
      </c>
      <c r="T850" t="str">
        <f t="shared" si="69"/>
        <v>December</v>
      </c>
    </row>
    <row r="851" spans="1:20" x14ac:dyDescent="0.3">
      <c r="A851" s="3">
        <v>44920</v>
      </c>
      <c r="B851">
        <v>110</v>
      </c>
      <c r="C851" s="3">
        <f>_xlfn.XLOOKUP(B851,Stores!A:A,Stores!E:E)</f>
        <v>44174</v>
      </c>
      <c r="D851">
        <v>217</v>
      </c>
      <c r="E851" s="3">
        <f>_xlfn.XLOOKUP(D851,SalesReps!A:A,SalesReps!D:D)</f>
        <v>44896</v>
      </c>
      <c r="F851" s="3" t="str">
        <f>_xlfn.XLOOKUP(Table1[[#This Row],[RepID]],SalesReps!A:A,SalesReps!E:E)</f>
        <v>Left</v>
      </c>
      <c r="G851">
        <v>318</v>
      </c>
      <c r="H851" t="str">
        <f>_xlfn.XLOOKUP(Table1[[#This Row],[ProductID]],Products!A:A,Products!B:B)</f>
        <v>Electronics</v>
      </c>
      <c r="I851" t="str">
        <f>_xlfn.XLOOKUP(Table1[[#This Row],[ProductID]],Products!A:A,Products!C:C)</f>
        <v>Mobiles</v>
      </c>
      <c r="J851">
        <v>6</v>
      </c>
      <c r="K851" s="5">
        <f>_xlfn.XLOOKUP(Table1[[#This Row],[ProductID]],Products!A:A,Products!E:E)</f>
        <v>162.51</v>
      </c>
      <c r="L851" s="5">
        <v>195.79</v>
      </c>
      <c r="M851" s="6">
        <v>7.0000000000000007E-2</v>
      </c>
      <c r="N851" t="s">
        <v>8</v>
      </c>
      <c r="O851" s="5">
        <f t="shared" si="65"/>
        <v>182.08469999999997</v>
      </c>
      <c r="P851" s="5">
        <f t="shared" si="66"/>
        <v>1092.5081999999998</v>
      </c>
      <c r="Q851" s="5">
        <f>Table1[[#This Row],[Quantity]]*(Table1[[#This Row],[Saleprice]]-Table1[[#This Row],[Costprice]])</f>
        <v>117.44819999999987</v>
      </c>
      <c r="R851">
        <f t="shared" si="67"/>
        <v>2022</v>
      </c>
      <c r="S851">
        <f t="shared" si="68"/>
        <v>12</v>
      </c>
      <c r="T851" t="str">
        <f t="shared" si="69"/>
        <v>December</v>
      </c>
    </row>
    <row r="852" spans="1:20" x14ac:dyDescent="0.3">
      <c r="A852" s="3">
        <v>44920</v>
      </c>
      <c r="B852">
        <v>102</v>
      </c>
      <c r="C852" s="3">
        <f>_xlfn.XLOOKUP(B852,Stores!A:A,Stores!E:E)</f>
        <v>44875</v>
      </c>
      <c r="D852">
        <v>219</v>
      </c>
      <c r="E852" s="3">
        <f>_xlfn.XLOOKUP(D852,SalesReps!A:A,SalesReps!D:D)</f>
        <v>44883</v>
      </c>
      <c r="F852" s="3" t="str">
        <f>_xlfn.XLOOKUP(Table1[[#This Row],[RepID]],SalesReps!A:A,SalesReps!E:E)</f>
        <v>Active</v>
      </c>
      <c r="G852">
        <v>311</v>
      </c>
      <c r="H852" t="str">
        <f>_xlfn.XLOOKUP(Table1[[#This Row],[ProductID]],Products!A:A,Products!B:B)</f>
        <v>Home &amp; Kitchen</v>
      </c>
      <c r="I852" t="str">
        <f>_xlfn.XLOOKUP(Table1[[#This Row],[ProductID]],Products!A:A,Products!C:C)</f>
        <v>Furniture</v>
      </c>
      <c r="J852">
        <v>2</v>
      </c>
      <c r="K852" s="5">
        <f>_xlfn.XLOOKUP(Table1[[#This Row],[ProductID]],Products!A:A,Products!E:E)</f>
        <v>16.23</v>
      </c>
      <c r="L852" s="5">
        <v>114.36</v>
      </c>
      <c r="M852" s="6">
        <v>7.0000000000000007E-2</v>
      </c>
      <c r="N852" t="s">
        <v>8</v>
      </c>
      <c r="O852" s="5">
        <f t="shared" si="65"/>
        <v>106.3548</v>
      </c>
      <c r="P852" s="5">
        <f t="shared" si="66"/>
        <v>212.70959999999999</v>
      </c>
      <c r="Q852" s="5">
        <f>Table1[[#This Row],[Quantity]]*(Table1[[#This Row],[Saleprice]]-Table1[[#This Row],[Costprice]])</f>
        <v>180.24959999999999</v>
      </c>
      <c r="R852">
        <f t="shared" si="67"/>
        <v>2022</v>
      </c>
      <c r="S852">
        <f t="shared" si="68"/>
        <v>12</v>
      </c>
      <c r="T852" t="str">
        <f t="shared" si="69"/>
        <v>December</v>
      </c>
    </row>
    <row r="853" spans="1:20" x14ac:dyDescent="0.3">
      <c r="A853" s="3">
        <v>44921</v>
      </c>
      <c r="B853">
        <v>110</v>
      </c>
      <c r="C853" s="3">
        <f>_xlfn.XLOOKUP(B853,Stores!A:A,Stores!E:E)</f>
        <v>44174</v>
      </c>
      <c r="D853">
        <v>217</v>
      </c>
      <c r="E853" s="3">
        <f>_xlfn.XLOOKUP(D853,SalesReps!A:A,SalesReps!D:D)</f>
        <v>44896</v>
      </c>
      <c r="F853" s="3" t="str">
        <f>_xlfn.XLOOKUP(Table1[[#This Row],[RepID]],SalesReps!A:A,SalesReps!E:E)</f>
        <v>Left</v>
      </c>
      <c r="G853">
        <v>305</v>
      </c>
      <c r="H853" t="str">
        <f>_xlfn.XLOOKUP(Table1[[#This Row],[ProductID]],Products!A:A,Products!B:B)</f>
        <v>Electronics</v>
      </c>
      <c r="I853" t="str">
        <f>_xlfn.XLOOKUP(Table1[[#This Row],[ProductID]],Products!A:A,Products!C:C)</f>
        <v>Accessories</v>
      </c>
      <c r="J853">
        <v>4</v>
      </c>
      <c r="K853" s="5">
        <f>_xlfn.XLOOKUP(Table1[[#This Row],[ProductID]],Products!A:A,Products!E:E)</f>
        <v>275.32</v>
      </c>
      <c r="L853" s="5">
        <v>375.11</v>
      </c>
      <c r="M853" s="6">
        <v>0.1</v>
      </c>
      <c r="N853" t="s">
        <v>8</v>
      </c>
      <c r="O853" s="5">
        <f t="shared" si="65"/>
        <v>337.59900000000005</v>
      </c>
      <c r="P853" s="5">
        <f t="shared" si="66"/>
        <v>1350.3960000000002</v>
      </c>
      <c r="Q853" s="5">
        <f>Table1[[#This Row],[Quantity]]*(Table1[[#This Row],[Saleprice]]-Table1[[#This Row],[Costprice]])</f>
        <v>249.11600000000021</v>
      </c>
      <c r="R853">
        <f t="shared" si="67"/>
        <v>2022</v>
      </c>
      <c r="S853">
        <f t="shared" si="68"/>
        <v>12</v>
      </c>
      <c r="T853" t="str">
        <f t="shared" si="69"/>
        <v>December</v>
      </c>
    </row>
    <row r="854" spans="1:20" x14ac:dyDescent="0.3">
      <c r="A854" s="3">
        <v>44921</v>
      </c>
      <c r="B854">
        <v>110</v>
      </c>
      <c r="C854" s="3">
        <f>_xlfn.XLOOKUP(B854,Stores!A:A,Stores!E:E)</f>
        <v>44174</v>
      </c>
      <c r="D854">
        <v>217</v>
      </c>
      <c r="E854" s="3">
        <f>_xlfn.XLOOKUP(D854,SalesReps!A:A,SalesReps!D:D)</f>
        <v>44896</v>
      </c>
      <c r="F854" s="3" t="str">
        <f>_xlfn.XLOOKUP(Table1[[#This Row],[RepID]],SalesReps!A:A,SalesReps!E:E)</f>
        <v>Left</v>
      </c>
      <c r="G854">
        <v>309</v>
      </c>
      <c r="H854" t="str">
        <f>_xlfn.XLOOKUP(Table1[[#This Row],[ProductID]],Products!A:A,Products!B:B)</f>
        <v>Electronics</v>
      </c>
      <c r="I854" t="str">
        <f>_xlfn.XLOOKUP(Table1[[#This Row],[ProductID]],Products!A:A,Products!C:C)</f>
        <v>Laptops</v>
      </c>
      <c r="J854">
        <v>8</v>
      </c>
      <c r="K854" s="5">
        <f>_xlfn.XLOOKUP(Table1[[#This Row],[ProductID]],Products!A:A,Products!E:E)</f>
        <v>229.68</v>
      </c>
      <c r="L854" s="5">
        <v>258.47000000000003</v>
      </c>
      <c r="M854" s="6">
        <v>0.17</v>
      </c>
      <c r="N854" t="s">
        <v>8</v>
      </c>
      <c r="O854" s="5">
        <f t="shared" si="65"/>
        <v>214.5301</v>
      </c>
      <c r="P854" s="5">
        <f t="shared" si="66"/>
        <v>1716.2408</v>
      </c>
      <c r="Q854" s="5">
        <f>Table1[[#This Row],[Quantity]]*(Table1[[#This Row],[Saleprice]]-Table1[[#This Row],[Costprice]])</f>
        <v>-121.19920000000002</v>
      </c>
      <c r="R854">
        <f t="shared" si="67"/>
        <v>2022</v>
      </c>
      <c r="S854">
        <f t="shared" si="68"/>
        <v>12</v>
      </c>
      <c r="T854" t="str">
        <f t="shared" si="69"/>
        <v>December</v>
      </c>
    </row>
    <row r="855" spans="1:20" x14ac:dyDescent="0.3">
      <c r="A855" s="3">
        <v>44921</v>
      </c>
      <c r="B855">
        <v>107</v>
      </c>
      <c r="C855" s="3">
        <f>_xlfn.XLOOKUP(B855,Stores!A:A,Stores!E:E)</f>
        <v>44702</v>
      </c>
      <c r="D855">
        <v>215</v>
      </c>
      <c r="E855" s="3">
        <f>_xlfn.XLOOKUP(D855,SalesReps!A:A,SalesReps!D:D)</f>
        <v>44878</v>
      </c>
      <c r="F855" s="3" t="str">
        <f>_xlfn.XLOOKUP(Table1[[#This Row],[RepID]],SalesReps!A:A,SalesReps!E:E)</f>
        <v>Active</v>
      </c>
      <c r="G855">
        <v>310</v>
      </c>
      <c r="H855" t="str">
        <f>_xlfn.XLOOKUP(Table1[[#This Row],[ProductID]],Products!A:A,Products!B:B)</f>
        <v>Home &amp; Kitchen</v>
      </c>
      <c r="I855" t="str">
        <f>_xlfn.XLOOKUP(Table1[[#This Row],[ProductID]],Products!A:A,Products!C:C)</f>
        <v>Furniture</v>
      </c>
      <c r="J855">
        <v>3</v>
      </c>
      <c r="K855" s="5">
        <f>_xlfn.XLOOKUP(Table1[[#This Row],[ProductID]],Products!A:A,Products!E:E)</f>
        <v>160.31</v>
      </c>
      <c r="L855" s="5">
        <v>169.45</v>
      </c>
      <c r="M855" s="6">
        <v>0.25</v>
      </c>
      <c r="N855" t="s">
        <v>8</v>
      </c>
      <c r="O855" s="5">
        <f t="shared" si="65"/>
        <v>127.08749999999999</v>
      </c>
      <c r="P855" s="5">
        <f t="shared" si="66"/>
        <v>381.26249999999999</v>
      </c>
      <c r="Q855" s="5">
        <f>Table1[[#This Row],[Quantity]]*(Table1[[#This Row],[Saleprice]]-Table1[[#This Row],[Costprice]])</f>
        <v>-99.667500000000032</v>
      </c>
      <c r="R855">
        <f t="shared" si="67"/>
        <v>2022</v>
      </c>
      <c r="S855">
        <f t="shared" si="68"/>
        <v>12</v>
      </c>
      <c r="T855" t="str">
        <f t="shared" si="69"/>
        <v>December</v>
      </c>
    </row>
    <row r="856" spans="1:20" x14ac:dyDescent="0.3">
      <c r="A856" s="3">
        <v>44922</v>
      </c>
      <c r="B856">
        <v>107</v>
      </c>
      <c r="C856" s="3">
        <f>_xlfn.XLOOKUP(B856,Stores!A:A,Stores!E:E)</f>
        <v>44702</v>
      </c>
      <c r="D856">
        <v>215</v>
      </c>
      <c r="E856" s="3">
        <f>_xlfn.XLOOKUP(D856,SalesReps!A:A,SalesReps!D:D)</f>
        <v>44878</v>
      </c>
      <c r="F856" s="3" t="str">
        <f>_xlfn.XLOOKUP(Table1[[#This Row],[RepID]],SalesReps!A:A,SalesReps!E:E)</f>
        <v>Active</v>
      </c>
      <c r="G856">
        <v>310</v>
      </c>
      <c r="H856" t="str">
        <f>_xlfn.XLOOKUP(Table1[[#This Row],[ProductID]],Products!A:A,Products!B:B)</f>
        <v>Home &amp; Kitchen</v>
      </c>
      <c r="I856" t="str">
        <f>_xlfn.XLOOKUP(Table1[[#This Row],[ProductID]],Products!A:A,Products!C:C)</f>
        <v>Furniture</v>
      </c>
      <c r="J856">
        <v>6</v>
      </c>
      <c r="K856" s="5">
        <f>_xlfn.XLOOKUP(Table1[[#This Row],[ProductID]],Products!A:A,Products!E:E)</f>
        <v>160.31</v>
      </c>
      <c r="L856" s="5">
        <v>169.45</v>
      </c>
      <c r="M856" s="6">
        <v>0.25</v>
      </c>
      <c r="N856" t="s">
        <v>8</v>
      </c>
      <c r="O856" s="5">
        <f t="shared" si="65"/>
        <v>127.08749999999999</v>
      </c>
      <c r="P856" s="5">
        <f t="shared" si="66"/>
        <v>762.52499999999998</v>
      </c>
      <c r="Q856" s="5">
        <f>Table1[[#This Row],[Quantity]]*(Table1[[#This Row],[Saleprice]]-Table1[[#This Row],[Costprice]])</f>
        <v>-199.33500000000006</v>
      </c>
      <c r="R856">
        <f t="shared" si="67"/>
        <v>2022</v>
      </c>
      <c r="S856">
        <f t="shared" si="68"/>
        <v>12</v>
      </c>
      <c r="T856" t="str">
        <f t="shared" si="69"/>
        <v>December</v>
      </c>
    </row>
    <row r="857" spans="1:20" x14ac:dyDescent="0.3">
      <c r="A857" s="3">
        <v>44922</v>
      </c>
      <c r="B857">
        <v>110</v>
      </c>
      <c r="C857" s="3">
        <f>_xlfn.XLOOKUP(B857,Stores!A:A,Stores!E:E)</f>
        <v>44174</v>
      </c>
      <c r="D857">
        <v>217</v>
      </c>
      <c r="E857" s="3">
        <f>_xlfn.XLOOKUP(D857,SalesReps!A:A,SalesReps!D:D)</f>
        <v>44896</v>
      </c>
      <c r="F857" s="3" t="str">
        <f>_xlfn.XLOOKUP(Table1[[#This Row],[RepID]],SalesReps!A:A,SalesReps!E:E)</f>
        <v>Left</v>
      </c>
      <c r="G857">
        <v>317</v>
      </c>
      <c r="H857" t="str">
        <f>_xlfn.XLOOKUP(Table1[[#This Row],[ProductID]],Products!A:A,Products!B:B)</f>
        <v>Toys</v>
      </c>
      <c r="I857" t="str">
        <f>_xlfn.XLOOKUP(Table1[[#This Row],[ProductID]],Products!A:A,Products!C:C)</f>
        <v>Educational</v>
      </c>
      <c r="J857">
        <v>2</v>
      </c>
      <c r="K857" s="5">
        <f>_xlfn.XLOOKUP(Table1[[#This Row],[ProductID]],Products!A:A,Products!E:E)</f>
        <v>77.61</v>
      </c>
      <c r="L857" s="5">
        <v>122.31</v>
      </c>
      <c r="M857" s="6">
        <v>0.24</v>
      </c>
      <c r="N857" t="s">
        <v>8</v>
      </c>
      <c r="O857" s="5">
        <f t="shared" si="65"/>
        <v>92.955600000000004</v>
      </c>
      <c r="P857" s="5">
        <f t="shared" si="66"/>
        <v>185.91120000000001</v>
      </c>
      <c r="Q857" s="5">
        <f>Table1[[#This Row],[Quantity]]*(Table1[[#This Row],[Saleprice]]-Table1[[#This Row],[Costprice]])</f>
        <v>30.691200000000009</v>
      </c>
      <c r="R857">
        <f t="shared" si="67"/>
        <v>2022</v>
      </c>
      <c r="S857">
        <f t="shared" si="68"/>
        <v>12</v>
      </c>
      <c r="T857" t="str">
        <f t="shared" si="69"/>
        <v>December</v>
      </c>
    </row>
    <row r="858" spans="1:20" x14ac:dyDescent="0.3">
      <c r="A858" s="3">
        <v>44923</v>
      </c>
      <c r="B858">
        <v>102</v>
      </c>
      <c r="C858" s="3">
        <f>_xlfn.XLOOKUP(B858,Stores!A:A,Stores!E:E)</f>
        <v>44875</v>
      </c>
      <c r="D858">
        <v>219</v>
      </c>
      <c r="E858" s="3">
        <f>_xlfn.XLOOKUP(D858,SalesReps!A:A,SalesReps!D:D)</f>
        <v>44883</v>
      </c>
      <c r="F858" s="3" t="str">
        <f>_xlfn.XLOOKUP(Table1[[#This Row],[RepID]],SalesReps!A:A,SalesReps!E:E)</f>
        <v>Active</v>
      </c>
      <c r="G858">
        <v>307</v>
      </c>
      <c r="H858" t="str">
        <f>_xlfn.XLOOKUP(Table1[[#This Row],[ProductID]],Products!A:A,Products!B:B)</f>
        <v>Toys</v>
      </c>
      <c r="I858" t="str">
        <f>_xlfn.XLOOKUP(Table1[[#This Row],[ProductID]],Products!A:A,Products!C:C)</f>
        <v>Outdoor</v>
      </c>
      <c r="J858">
        <v>3</v>
      </c>
      <c r="K858" s="5">
        <f>_xlfn.XLOOKUP(Table1[[#This Row],[ProductID]],Products!A:A,Products!E:E)</f>
        <v>15.17</v>
      </c>
      <c r="L858" s="5">
        <v>101.71</v>
      </c>
      <c r="M858" s="6">
        <v>0.12</v>
      </c>
      <c r="N858" t="s">
        <v>8</v>
      </c>
      <c r="O858" s="5">
        <f t="shared" si="65"/>
        <v>89.504799999999989</v>
      </c>
      <c r="P858" s="5">
        <f t="shared" si="66"/>
        <v>268.51439999999997</v>
      </c>
      <c r="Q858" s="5">
        <f>Table1[[#This Row],[Quantity]]*(Table1[[#This Row],[Saleprice]]-Table1[[#This Row],[Costprice]])</f>
        <v>223.00439999999998</v>
      </c>
      <c r="R858">
        <f t="shared" si="67"/>
        <v>2022</v>
      </c>
      <c r="S858">
        <f t="shared" si="68"/>
        <v>12</v>
      </c>
      <c r="T858" t="str">
        <f t="shared" si="69"/>
        <v>December</v>
      </c>
    </row>
    <row r="859" spans="1:20" x14ac:dyDescent="0.3">
      <c r="A859" s="3">
        <v>44923</v>
      </c>
      <c r="B859">
        <v>110</v>
      </c>
      <c r="C859" s="3">
        <f>_xlfn.XLOOKUP(B859,Stores!A:A,Stores!E:E)</f>
        <v>44174</v>
      </c>
      <c r="D859">
        <v>217</v>
      </c>
      <c r="E859" s="3">
        <f>_xlfn.XLOOKUP(D859,SalesReps!A:A,SalesReps!D:D)</f>
        <v>44896</v>
      </c>
      <c r="F859" s="3" t="str">
        <f>_xlfn.XLOOKUP(Table1[[#This Row],[RepID]],SalesReps!A:A,SalesReps!E:E)</f>
        <v>Left</v>
      </c>
      <c r="G859">
        <v>302</v>
      </c>
      <c r="H859" t="str">
        <f>_xlfn.XLOOKUP(Table1[[#This Row],[ProductID]],Products!A:A,Products!B:B)</f>
        <v>Toys</v>
      </c>
      <c r="I859" t="str">
        <f>_xlfn.XLOOKUP(Table1[[#This Row],[ProductID]],Products!A:A,Products!C:C)</f>
        <v>Outdoor</v>
      </c>
      <c r="J859">
        <v>6</v>
      </c>
      <c r="K859" s="5">
        <f>_xlfn.XLOOKUP(Table1[[#This Row],[ProductID]],Products!A:A,Products!E:E)</f>
        <v>393.46</v>
      </c>
      <c r="L859" s="5">
        <v>462</v>
      </c>
      <c r="M859" s="6">
        <v>0.18</v>
      </c>
      <c r="N859" t="s">
        <v>8</v>
      </c>
      <c r="O859" s="5">
        <f t="shared" si="65"/>
        <v>378.84000000000003</v>
      </c>
      <c r="P859" s="5">
        <f t="shared" si="66"/>
        <v>2273.04</v>
      </c>
      <c r="Q859" s="5">
        <f>Table1[[#This Row],[Quantity]]*(Table1[[#This Row],[Saleprice]]-Table1[[#This Row],[Costprice]])</f>
        <v>-87.719999999999686</v>
      </c>
      <c r="R859">
        <f t="shared" si="67"/>
        <v>2022</v>
      </c>
      <c r="S859">
        <f t="shared" si="68"/>
        <v>12</v>
      </c>
      <c r="T859" t="str">
        <f t="shared" si="69"/>
        <v>December</v>
      </c>
    </row>
    <row r="860" spans="1:20" x14ac:dyDescent="0.3">
      <c r="A860" s="3">
        <v>44923</v>
      </c>
      <c r="B860">
        <v>102</v>
      </c>
      <c r="C860" s="3">
        <f>_xlfn.XLOOKUP(B860,Stores!A:A,Stores!E:E)</f>
        <v>44875</v>
      </c>
      <c r="D860">
        <v>219</v>
      </c>
      <c r="E860" s="3">
        <f>_xlfn.XLOOKUP(D860,SalesReps!A:A,SalesReps!D:D)</f>
        <v>44883</v>
      </c>
      <c r="F860" s="3" t="str">
        <f>_xlfn.XLOOKUP(Table1[[#This Row],[RepID]],SalesReps!A:A,SalesReps!E:E)</f>
        <v>Active</v>
      </c>
      <c r="G860">
        <v>310</v>
      </c>
      <c r="H860" t="str">
        <f>_xlfn.XLOOKUP(Table1[[#This Row],[ProductID]],Products!A:A,Products!B:B)</f>
        <v>Home &amp; Kitchen</v>
      </c>
      <c r="I860" t="str">
        <f>_xlfn.XLOOKUP(Table1[[#This Row],[ProductID]],Products!A:A,Products!C:C)</f>
        <v>Furniture</v>
      </c>
      <c r="J860">
        <v>2</v>
      </c>
      <c r="K860" s="5">
        <f>_xlfn.XLOOKUP(Table1[[#This Row],[ProductID]],Products!A:A,Products!E:E)</f>
        <v>160.31</v>
      </c>
      <c r="L860" s="5">
        <v>251.39</v>
      </c>
      <c r="M860" s="6">
        <v>0.14000000000000001</v>
      </c>
      <c r="N860" t="s">
        <v>8</v>
      </c>
      <c r="O860" s="5">
        <f t="shared" si="65"/>
        <v>216.19539999999998</v>
      </c>
      <c r="P860" s="5">
        <f t="shared" si="66"/>
        <v>432.39079999999996</v>
      </c>
      <c r="Q860" s="5">
        <f>Table1[[#This Row],[Quantity]]*(Table1[[#This Row],[Saleprice]]-Table1[[#This Row],[Costprice]])</f>
        <v>111.77079999999995</v>
      </c>
      <c r="R860">
        <f t="shared" si="67"/>
        <v>2022</v>
      </c>
      <c r="S860">
        <f t="shared" si="68"/>
        <v>12</v>
      </c>
      <c r="T860" t="str">
        <f t="shared" si="69"/>
        <v>December</v>
      </c>
    </row>
    <row r="861" spans="1:20" x14ac:dyDescent="0.3">
      <c r="A861" s="3">
        <v>44924</v>
      </c>
      <c r="B861">
        <v>107</v>
      </c>
      <c r="C861" s="3">
        <f>_xlfn.XLOOKUP(B861,Stores!A:A,Stores!E:E)</f>
        <v>44702</v>
      </c>
      <c r="D861">
        <v>215</v>
      </c>
      <c r="E861" s="3">
        <f>_xlfn.XLOOKUP(D861,SalesReps!A:A,SalesReps!D:D)</f>
        <v>44878</v>
      </c>
      <c r="F861" s="3" t="str">
        <f>_xlfn.XLOOKUP(Table1[[#This Row],[RepID]],SalesReps!A:A,SalesReps!E:E)</f>
        <v>Active</v>
      </c>
      <c r="G861">
        <v>320</v>
      </c>
      <c r="H861" t="str">
        <f>_xlfn.XLOOKUP(Table1[[#This Row],[ProductID]],Products!A:A,Products!B:B)</f>
        <v>Toys</v>
      </c>
      <c r="I861" t="str">
        <f>_xlfn.XLOOKUP(Table1[[#This Row],[ProductID]],Products!A:A,Products!C:C)</f>
        <v>Outdoor</v>
      </c>
      <c r="J861">
        <v>9</v>
      </c>
      <c r="K861" s="5">
        <f>_xlfn.XLOOKUP(Table1[[#This Row],[ProductID]],Products!A:A,Products!E:E)</f>
        <v>304.58999999999997</v>
      </c>
      <c r="L861" s="5">
        <v>323.52</v>
      </c>
      <c r="M861" s="6">
        <v>0.15</v>
      </c>
      <c r="N861" t="s">
        <v>8</v>
      </c>
      <c r="O861" s="5">
        <f t="shared" si="65"/>
        <v>274.99199999999996</v>
      </c>
      <c r="P861" s="5">
        <f t="shared" si="66"/>
        <v>2474.9279999999999</v>
      </c>
      <c r="Q861" s="5">
        <f>Table1[[#This Row],[Quantity]]*(Table1[[#This Row],[Saleprice]]-Table1[[#This Row],[Costprice]])</f>
        <v>-266.38200000000012</v>
      </c>
      <c r="R861">
        <f t="shared" si="67"/>
        <v>2022</v>
      </c>
      <c r="S861">
        <f t="shared" si="68"/>
        <v>12</v>
      </c>
      <c r="T861" t="str">
        <f t="shared" si="69"/>
        <v>December</v>
      </c>
    </row>
    <row r="862" spans="1:20" x14ac:dyDescent="0.3">
      <c r="A862" s="3">
        <v>44924</v>
      </c>
      <c r="B862">
        <v>107</v>
      </c>
      <c r="C862" s="3">
        <f>_xlfn.XLOOKUP(B862,Stores!A:A,Stores!E:E)</f>
        <v>44702</v>
      </c>
      <c r="D862">
        <v>215</v>
      </c>
      <c r="E862" s="3">
        <f>_xlfn.XLOOKUP(D862,SalesReps!A:A,SalesReps!D:D)</f>
        <v>44878</v>
      </c>
      <c r="F862" s="3" t="str">
        <f>_xlfn.XLOOKUP(Table1[[#This Row],[RepID]],SalesReps!A:A,SalesReps!E:E)</f>
        <v>Active</v>
      </c>
      <c r="G862">
        <v>306</v>
      </c>
      <c r="H862" t="str">
        <f>_xlfn.XLOOKUP(Table1[[#This Row],[ProductID]],Products!A:A,Products!B:B)</f>
        <v>Clothing</v>
      </c>
      <c r="I862" t="str">
        <f>_xlfn.XLOOKUP(Table1[[#This Row],[ProductID]],Products!A:A,Products!C:C)</f>
        <v>Men</v>
      </c>
      <c r="J862">
        <v>6</v>
      </c>
      <c r="K862" s="5">
        <f>_xlfn.XLOOKUP(Table1[[#This Row],[ProductID]],Products!A:A,Products!E:E)</f>
        <v>185.69</v>
      </c>
      <c r="L862" s="5">
        <v>213.7</v>
      </c>
      <c r="M862" s="6">
        <v>0.21</v>
      </c>
      <c r="N862" t="s">
        <v>8</v>
      </c>
      <c r="O862" s="5">
        <f t="shared" si="65"/>
        <v>168.82300000000001</v>
      </c>
      <c r="P862" s="5">
        <f t="shared" si="66"/>
        <v>1012.9380000000001</v>
      </c>
      <c r="Q862" s="5">
        <f>Table1[[#This Row],[Quantity]]*(Table1[[#This Row],[Saleprice]]-Table1[[#This Row],[Costprice]])</f>
        <v>-101.20199999999994</v>
      </c>
      <c r="R862">
        <f t="shared" si="67"/>
        <v>2022</v>
      </c>
      <c r="S862">
        <f t="shared" si="68"/>
        <v>12</v>
      </c>
      <c r="T862" t="str">
        <f t="shared" si="69"/>
        <v>December</v>
      </c>
    </row>
    <row r="863" spans="1:20" x14ac:dyDescent="0.3">
      <c r="A863" s="3">
        <v>44924</v>
      </c>
      <c r="B863">
        <v>110</v>
      </c>
      <c r="C863" s="3">
        <f>_xlfn.XLOOKUP(B863,Stores!A:A,Stores!E:E)</f>
        <v>44174</v>
      </c>
      <c r="D863">
        <v>217</v>
      </c>
      <c r="E863" s="3">
        <f>_xlfn.XLOOKUP(D863,SalesReps!A:A,SalesReps!D:D)</f>
        <v>44896</v>
      </c>
      <c r="F863" s="3" t="str">
        <f>_xlfn.XLOOKUP(Table1[[#This Row],[RepID]],SalesReps!A:A,SalesReps!E:E)</f>
        <v>Left</v>
      </c>
      <c r="G863">
        <v>310</v>
      </c>
      <c r="H863" t="str">
        <f>_xlfn.XLOOKUP(Table1[[#This Row],[ProductID]],Products!A:A,Products!B:B)</f>
        <v>Home &amp; Kitchen</v>
      </c>
      <c r="I863" t="str">
        <f>_xlfn.XLOOKUP(Table1[[#This Row],[ProductID]],Products!A:A,Products!C:C)</f>
        <v>Furniture</v>
      </c>
      <c r="J863">
        <v>1</v>
      </c>
      <c r="K863" s="5">
        <f>_xlfn.XLOOKUP(Table1[[#This Row],[ProductID]],Products!A:A,Products!E:E)</f>
        <v>160.31</v>
      </c>
      <c r="L863" s="5">
        <v>255.85</v>
      </c>
      <c r="M863" s="6">
        <v>0.12</v>
      </c>
      <c r="N863" t="s">
        <v>8</v>
      </c>
      <c r="O863" s="5">
        <f t="shared" si="65"/>
        <v>225.148</v>
      </c>
      <c r="P863" s="5">
        <f t="shared" si="66"/>
        <v>225.148</v>
      </c>
      <c r="Q863" s="5">
        <f>Table1[[#This Row],[Quantity]]*(Table1[[#This Row],[Saleprice]]-Table1[[#This Row],[Costprice]])</f>
        <v>64.837999999999994</v>
      </c>
      <c r="R863">
        <f t="shared" si="67"/>
        <v>2022</v>
      </c>
      <c r="S863">
        <f t="shared" si="68"/>
        <v>12</v>
      </c>
      <c r="T863" t="str">
        <f t="shared" si="69"/>
        <v>December</v>
      </c>
    </row>
    <row r="864" spans="1:20" x14ac:dyDescent="0.3">
      <c r="A864" s="3">
        <v>44925</v>
      </c>
      <c r="B864">
        <v>110</v>
      </c>
      <c r="C864" s="3">
        <f>_xlfn.XLOOKUP(B864,Stores!A:A,Stores!E:E)</f>
        <v>44174</v>
      </c>
      <c r="D864">
        <v>217</v>
      </c>
      <c r="E864" s="3">
        <f>_xlfn.XLOOKUP(D864,SalesReps!A:A,SalesReps!D:D)</f>
        <v>44896</v>
      </c>
      <c r="F864" s="3" t="str">
        <f>_xlfn.XLOOKUP(Table1[[#This Row],[RepID]],SalesReps!A:A,SalesReps!E:E)</f>
        <v>Left</v>
      </c>
      <c r="G864">
        <v>306</v>
      </c>
      <c r="H864" t="str">
        <f>_xlfn.XLOOKUP(Table1[[#This Row],[ProductID]],Products!A:A,Products!B:B)</f>
        <v>Clothing</v>
      </c>
      <c r="I864" t="str">
        <f>_xlfn.XLOOKUP(Table1[[#This Row],[ProductID]],Products!A:A,Products!C:C)</f>
        <v>Men</v>
      </c>
      <c r="J864">
        <v>6</v>
      </c>
      <c r="K864" s="5">
        <f>_xlfn.XLOOKUP(Table1[[#This Row],[ProductID]],Products!A:A,Products!E:E)</f>
        <v>185.69</v>
      </c>
      <c r="L864" s="5">
        <v>266.52999999999997</v>
      </c>
      <c r="M864" s="6">
        <v>0.08</v>
      </c>
      <c r="N864" t="s">
        <v>8</v>
      </c>
      <c r="O864" s="5">
        <f t="shared" si="65"/>
        <v>245.20759999999999</v>
      </c>
      <c r="P864" s="5">
        <f t="shared" si="66"/>
        <v>1471.2456</v>
      </c>
      <c r="Q864" s="5">
        <f>Table1[[#This Row],[Quantity]]*(Table1[[#This Row],[Saleprice]]-Table1[[#This Row],[Costprice]])</f>
        <v>357.10559999999992</v>
      </c>
      <c r="R864">
        <f t="shared" si="67"/>
        <v>2022</v>
      </c>
      <c r="S864">
        <f t="shared" si="68"/>
        <v>12</v>
      </c>
      <c r="T864" t="str">
        <f t="shared" si="69"/>
        <v>December</v>
      </c>
    </row>
    <row r="865" spans="1:20" x14ac:dyDescent="0.3">
      <c r="A865" s="3">
        <v>44926</v>
      </c>
      <c r="B865">
        <v>107</v>
      </c>
      <c r="C865" s="3">
        <f>_xlfn.XLOOKUP(B865,Stores!A:A,Stores!E:E)</f>
        <v>44702</v>
      </c>
      <c r="D865">
        <v>215</v>
      </c>
      <c r="E865" s="3">
        <f>_xlfn.XLOOKUP(D865,SalesReps!A:A,SalesReps!D:D)</f>
        <v>44878</v>
      </c>
      <c r="F865" s="3" t="str">
        <f>_xlfn.XLOOKUP(Table1[[#This Row],[RepID]],SalesReps!A:A,SalesReps!E:E)</f>
        <v>Active</v>
      </c>
      <c r="G865">
        <v>311</v>
      </c>
      <c r="H865" t="str">
        <f>_xlfn.XLOOKUP(Table1[[#This Row],[ProductID]],Products!A:A,Products!B:B)</f>
        <v>Home &amp; Kitchen</v>
      </c>
      <c r="I865" t="str">
        <f>_xlfn.XLOOKUP(Table1[[#This Row],[ProductID]],Products!A:A,Products!C:C)</f>
        <v>Furniture</v>
      </c>
      <c r="J865">
        <v>4</v>
      </c>
      <c r="K865" s="5">
        <f>_xlfn.XLOOKUP(Table1[[#This Row],[ProductID]],Products!A:A,Products!E:E)</f>
        <v>16.23</v>
      </c>
      <c r="L865" s="5">
        <v>27.92</v>
      </c>
      <c r="M865" s="6">
        <v>0.09</v>
      </c>
      <c r="N865" t="s">
        <v>8</v>
      </c>
      <c r="O865" s="5">
        <f t="shared" si="65"/>
        <v>25.407200000000003</v>
      </c>
      <c r="P865" s="5">
        <f t="shared" si="66"/>
        <v>101.62880000000001</v>
      </c>
      <c r="Q865" s="5">
        <f>Table1[[#This Row],[Quantity]]*(Table1[[#This Row],[Saleprice]]-Table1[[#This Row],[Costprice]])</f>
        <v>36.708800000000011</v>
      </c>
      <c r="R865">
        <f t="shared" si="67"/>
        <v>2022</v>
      </c>
      <c r="S865">
        <f t="shared" si="68"/>
        <v>12</v>
      </c>
      <c r="T865" t="str">
        <f t="shared" si="69"/>
        <v>December</v>
      </c>
    </row>
    <row r="866" spans="1:20" x14ac:dyDescent="0.3">
      <c r="A866" s="3">
        <v>44926</v>
      </c>
      <c r="B866">
        <v>110</v>
      </c>
      <c r="C866" s="3">
        <f>_xlfn.XLOOKUP(B866,Stores!A:A,Stores!E:E)</f>
        <v>44174</v>
      </c>
      <c r="D866">
        <v>217</v>
      </c>
      <c r="E866" s="3">
        <f>_xlfn.XLOOKUP(D866,SalesReps!A:A,SalesReps!D:D)</f>
        <v>44896</v>
      </c>
      <c r="F866" s="3" t="str">
        <f>_xlfn.XLOOKUP(Table1[[#This Row],[RepID]],SalesReps!A:A,SalesReps!E:E)</f>
        <v>Left</v>
      </c>
      <c r="G866">
        <v>315</v>
      </c>
      <c r="H866" t="str">
        <f>_xlfn.XLOOKUP(Table1[[#This Row],[ProductID]],Products!A:A,Products!B:B)</f>
        <v>Toys</v>
      </c>
      <c r="I866" t="str">
        <f>_xlfn.XLOOKUP(Table1[[#This Row],[ProductID]],Products!A:A,Products!C:C)</f>
        <v>Board Games</v>
      </c>
      <c r="J866">
        <v>6</v>
      </c>
      <c r="K866" s="5">
        <f>_xlfn.XLOOKUP(Table1[[#This Row],[ProductID]],Products!A:A,Products!E:E)</f>
        <v>247.9</v>
      </c>
      <c r="L866" s="5">
        <v>257.47000000000003</v>
      </c>
      <c r="M866" s="6">
        <v>0.24</v>
      </c>
      <c r="N866" t="s">
        <v>8</v>
      </c>
      <c r="O866" s="5">
        <f t="shared" si="65"/>
        <v>195.67720000000003</v>
      </c>
      <c r="P866" s="5">
        <f t="shared" si="66"/>
        <v>1174.0632000000001</v>
      </c>
      <c r="Q866" s="5">
        <f>Table1[[#This Row],[Quantity]]*(Table1[[#This Row],[Saleprice]]-Table1[[#This Row],[Costprice]])</f>
        <v>-313.33679999999987</v>
      </c>
      <c r="R866">
        <f t="shared" si="67"/>
        <v>2022</v>
      </c>
      <c r="S866">
        <f t="shared" si="68"/>
        <v>12</v>
      </c>
      <c r="T866" t="str">
        <f t="shared" si="69"/>
        <v>December</v>
      </c>
    </row>
    <row r="867" spans="1:20" x14ac:dyDescent="0.3">
      <c r="A867" s="3">
        <v>44926</v>
      </c>
      <c r="B867">
        <v>107</v>
      </c>
      <c r="C867" s="3">
        <f>_xlfn.XLOOKUP(B867,Stores!A:A,Stores!E:E)</f>
        <v>44702</v>
      </c>
      <c r="D867">
        <v>215</v>
      </c>
      <c r="E867" s="3">
        <f>_xlfn.XLOOKUP(D867,SalesReps!A:A,SalesReps!D:D)</f>
        <v>44878</v>
      </c>
      <c r="F867" s="3" t="str">
        <f>_xlfn.XLOOKUP(Table1[[#This Row],[RepID]],SalesReps!A:A,SalesReps!E:E)</f>
        <v>Active</v>
      </c>
      <c r="G867">
        <v>320</v>
      </c>
      <c r="H867" t="str">
        <f>_xlfn.XLOOKUP(Table1[[#This Row],[ProductID]],Products!A:A,Products!B:B)</f>
        <v>Toys</v>
      </c>
      <c r="I867" t="str">
        <f>_xlfn.XLOOKUP(Table1[[#This Row],[ProductID]],Products!A:A,Products!C:C)</f>
        <v>Outdoor</v>
      </c>
      <c r="J867">
        <v>8</v>
      </c>
      <c r="K867" s="5">
        <f>_xlfn.XLOOKUP(Table1[[#This Row],[ProductID]],Products!A:A,Products!E:E)</f>
        <v>304.58999999999997</v>
      </c>
      <c r="L867" s="5">
        <v>323.52</v>
      </c>
      <c r="M867" s="6">
        <v>0.15</v>
      </c>
      <c r="N867" t="s">
        <v>8</v>
      </c>
      <c r="O867" s="5">
        <f t="shared" si="65"/>
        <v>274.99199999999996</v>
      </c>
      <c r="P867" s="5">
        <f t="shared" si="66"/>
        <v>2199.9359999999997</v>
      </c>
      <c r="Q867" s="5">
        <f>Table1[[#This Row],[Quantity]]*(Table1[[#This Row],[Saleprice]]-Table1[[#This Row],[Costprice]])</f>
        <v>-236.78400000000011</v>
      </c>
      <c r="R867">
        <f t="shared" si="67"/>
        <v>2022</v>
      </c>
      <c r="S867">
        <f t="shared" si="68"/>
        <v>12</v>
      </c>
      <c r="T867" t="str">
        <f t="shared" si="69"/>
        <v>December</v>
      </c>
    </row>
    <row r="868" spans="1:20" x14ac:dyDescent="0.3">
      <c r="A868" s="3">
        <v>44926</v>
      </c>
      <c r="B868">
        <v>102</v>
      </c>
      <c r="C868" s="3">
        <f>_xlfn.XLOOKUP(B868,Stores!A:A,Stores!E:E)</f>
        <v>44875</v>
      </c>
      <c r="D868">
        <v>219</v>
      </c>
      <c r="E868" s="3">
        <f>_xlfn.XLOOKUP(D868,SalesReps!A:A,SalesReps!D:D)</f>
        <v>44883</v>
      </c>
      <c r="F868" s="3" t="str">
        <f>_xlfn.XLOOKUP(Table1[[#This Row],[RepID]],SalesReps!A:A,SalesReps!E:E)</f>
        <v>Active</v>
      </c>
      <c r="G868">
        <v>310</v>
      </c>
      <c r="H868" t="str">
        <f>_xlfn.XLOOKUP(Table1[[#This Row],[ProductID]],Products!A:A,Products!B:B)</f>
        <v>Home &amp; Kitchen</v>
      </c>
      <c r="I868" t="str">
        <f>_xlfn.XLOOKUP(Table1[[#This Row],[ProductID]],Products!A:A,Products!C:C)</f>
        <v>Furniture</v>
      </c>
      <c r="J868">
        <v>8</v>
      </c>
      <c r="K868" s="5">
        <f>_xlfn.XLOOKUP(Table1[[#This Row],[ProductID]],Products!A:A,Products!E:E)</f>
        <v>160.31</v>
      </c>
      <c r="L868" s="5">
        <v>251.39</v>
      </c>
      <c r="M868" s="6">
        <v>0.14000000000000001</v>
      </c>
      <c r="N868" t="s">
        <v>8</v>
      </c>
      <c r="O868" s="5">
        <f t="shared" si="65"/>
        <v>216.19539999999998</v>
      </c>
      <c r="P868" s="5">
        <f t="shared" si="66"/>
        <v>1729.5631999999998</v>
      </c>
      <c r="Q868" s="5">
        <f>Table1[[#This Row],[Quantity]]*(Table1[[#This Row],[Saleprice]]-Table1[[#This Row],[Costprice]])</f>
        <v>447.08319999999981</v>
      </c>
      <c r="R868">
        <f t="shared" si="67"/>
        <v>2022</v>
      </c>
      <c r="S868">
        <f t="shared" si="68"/>
        <v>12</v>
      </c>
      <c r="T868" t="str">
        <f t="shared" si="69"/>
        <v>December</v>
      </c>
    </row>
    <row r="869" spans="1:20" x14ac:dyDescent="0.3">
      <c r="A869" s="3">
        <v>44927</v>
      </c>
      <c r="B869">
        <v>102</v>
      </c>
      <c r="C869" s="3">
        <f>_xlfn.XLOOKUP(B869,Stores!A:A,Stores!E:E)</f>
        <v>44875</v>
      </c>
      <c r="D869">
        <v>219</v>
      </c>
      <c r="E869" s="3">
        <f>_xlfn.XLOOKUP(D869,SalesReps!A:A,SalesReps!D:D)</f>
        <v>44883</v>
      </c>
      <c r="F869" s="3" t="str">
        <f>_xlfn.XLOOKUP(Table1[[#This Row],[RepID]],SalesReps!A:A,SalesReps!E:E)</f>
        <v>Active</v>
      </c>
      <c r="G869">
        <v>301</v>
      </c>
      <c r="H869" t="str">
        <f>_xlfn.XLOOKUP(Table1[[#This Row],[ProductID]],Products!A:A,Products!B:B)</f>
        <v>Electronics</v>
      </c>
      <c r="I869" t="str">
        <f>_xlfn.XLOOKUP(Table1[[#This Row],[ProductID]],Products!A:A,Products!C:C)</f>
        <v>Mobiles</v>
      </c>
      <c r="J869">
        <v>4</v>
      </c>
      <c r="K869" s="5">
        <f>_xlfn.XLOOKUP(Table1[[#This Row],[ProductID]],Products!A:A,Products!E:E)</f>
        <v>159.16</v>
      </c>
      <c r="L869" s="5">
        <v>218.09</v>
      </c>
      <c r="M869" s="6">
        <v>0.06</v>
      </c>
      <c r="N869" t="s">
        <v>8</v>
      </c>
      <c r="O869" s="5">
        <f t="shared" si="65"/>
        <v>205.00459999999998</v>
      </c>
      <c r="P869" s="5">
        <f t="shared" si="66"/>
        <v>820.01839999999993</v>
      </c>
      <c r="Q869" s="5">
        <f>Table1[[#This Row],[Quantity]]*(Table1[[#This Row],[Saleprice]]-Table1[[#This Row],[Costprice]])</f>
        <v>183.37839999999994</v>
      </c>
      <c r="R869">
        <f t="shared" si="67"/>
        <v>2023</v>
      </c>
      <c r="S869">
        <f t="shared" si="68"/>
        <v>1</v>
      </c>
      <c r="T869" t="str">
        <f t="shared" si="69"/>
        <v>January</v>
      </c>
    </row>
    <row r="870" spans="1:20" x14ac:dyDescent="0.3">
      <c r="A870" s="3">
        <v>44927</v>
      </c>
      <c r="B870">
        <v>110</v>
      </c>
      <c r="C870" s="3">
        <f>_xlfn.XLOOKUP(B870,Stores!A:A,Stores!E:E)</f>
        <v>44174</v>
      </c>
      <c r="D870">
        <v>217</v>
      </c>
      <c r="E870" s="3">
        <f>_xlfn.XLOOKUP(D870,SalesReps!A:A,SalesReps!D:D)</f>
        <v>44896</v>
      </c>
      <c r="F870" s="3" t="str">
        <f>_xlfn.XLOOKUP(Table1[[#This Row],[RepID]],SalesReps!A:A,SalesReps!E:E)</f>
        <v>Left</v>
      </c>
      <c r="G870">
        <v>310</v>
      </c>
      <c r="H870" t="str">
        <f>_xlfn.XLOOKUP(Table1[[#This Row],[ProductID]],Products!A:A,Products!B:B)</f>
        <v>Home &amp; Kitchen</v>
      </c>
      <c r="I870" t="str">
        <f>_xlfn.XLOOKUP(Table1[[#This Row],[ProductID]],Products!A:A,Products!C:C)</f>
        <v>Furniture</v>
      </c>
      <c r="J870">
        <v>6</v>
      </c>
      <c r="K870" s="5">
        <f>_xlfn.XLOOKUP(Table1[[#This Row],[ProductID]],Products!A:A,Products!E:E)</f>
        <v>160.31</v>
      </c>
      <c r="L870" s="5">
        <v>255.85</v>
      </c>
      <c r="M870" s="6">
        <v>0.12</v>
      </c>
      <c r="N870" t="s">
        <v>8</v>
      </c>
      <c r="O870" s="5">
        <f t="shared" si="65"/>
        <v>225.148</v>
      </c>
      <c r="P870" s="5">
        <f t="shared" si="66"/>
        <v>1350.8879999999999</v>
      </c>
      <c r="Q870" s="5">
        <f>Table1[[#This Row],[Quantity]]*(Table1[[#This Row],[Saleprice]]-Table1[[#This Row],[Costprice]])</f>
        <v>389.02799999999996</v>
      </c>
      <c r="R870">
        <f t="shared" si="67"/>
        <v>2023</v>
      </c>
      <c r="S870">
        <f t="shared" si="68"/>
        <v>1</v>
      </c>
      <c r="T870" t="str">
        <f t="shared" si="69"/>
        <v>January</v>
      </c>
    </row>
    <row r="871" spans="1:20" x14ac:dyDescent="0.3">
      <c r="A871" s="3">
        <v>44927</v>
      </c>
      <c r="B871">
        <v>102</v>
      </c>
      <c r="C871" s="3">
        <f>_xlfn.XLOOKUP(B871,Stores!A:A,Stores!E:E)</f>
        <v>44875</v>
      </c>
      <c r="D871">
        <v>219</v>
      </c>
      <c r="E871" s="3">
        <f>_xlfn.XLOOKUP(D871,SalesReps!A:A,SalesReps!D:D)</f>
        <v>44883</v>
      </c>
      <c r="F871" s="3" t="str">
        <f>_xlfn.XLOOKUP(Table1[[#This Row],[RepID]],SalesReps!A:A,SalesReps!E:E)</f>
        <v>Active</v>
      </c>
      <c r="G871">
        <v>307</v>
      </c>
      <c r="H871" t="str">
        <f>_xlfn.XLOOKUP(Table1[[#This Row],[ProductID]],Products!A:A,Products!B:B)</f>
        <v>Toys</v>
      </c>
      <c r="I871" t="str">
        <f>_xlfn.XLOOKUP(Table1[[#This Row],[ProductID]],Products!A:A,Products!C:C)</f>
        <v>Outdoor</v>
      </c>
      <c r="J871">
        <v>6</v>
      </c>
      <c r="K871" s="5">
        <f>_xlfn.XLOOKUP(Table1[[#This Row],[ProductID]],Products!A:A,Products!E:E)</f>
        <v>15.17</v>
      </c>
      <c r="L871" s="5">
        <v>101.71</v>
      </c>
      <c r="M871" s="6">
        <v>0.12</v>
      </c>
      <c r="N871" t="s">
        <v>8</v>
      </c>
      <c r="O871" s="5">
        <f t="shared" si="65"/>
        <v>89.504799999999989</v>
      </c>
      <c r="P871" s="5">
        <f t="shared" si="66"/>
        <v>537.02879999999993</v>
      </c>
      <c r="Q871" s="5">
        <f>Table1[[#This Row],[Quantity]]*(Table1[[#This Row],[Saleprice]]-Table1[[#This Row],[Costprice]])</f>
        <v>446.00879999999995</v>
      </c>
      <c r="R871">
        <f t="shared" si="67"/>
        <v>2023</v>
      </c>
      <c r="S871">
        <f t="shared" si="68"/>
        <v>1</v>
      </c>
      <c r="T871" t="str">
        <f t="shared" si="69"/>
        <v>January</v>
      </c>
    </row>
    <row r="872" spans="1:20" x14ac:dyDescent="0.3">
      <c r="A872" s="3">
        <v>44928</v>
      </c>
      <c r="B872">
        <v>102</v>
      </c>
      <c r="C872" s="3">
        <f>_xlfn.XLOOKUP(B872,Stores!A:A,Stores!E:E)</f>
        <v>44875</v>
      </c>
      <c r="D872">
        <v>219</v>
      </c>
      <c r="E872" s="3">
        <f>_xlfn.XLOOKUP(D872,SalesReps!A:A,SalesReps!D:D)</f>
        <v>44883</v>
      </c>
      <c r="F872" s="3" t="str">
        <f>_xlfn.XLOOKUP(Table1[[#This Row],[RepID]],SalesReps!A:A,SalesReps!E:E)</f>
        <v>Active</v>
      </c>
      <c r="G872">
        <v>312</v>
      </c>
      <c r="H872" t="str">
        <f>_xlfn.XLOOKUP(Table1[[#This Row],[ProductID]],Products!A:A,Products!B:B)</f>
        <v>Toys</v>
      </c>
      <c r="I872" t="str">
        <f>_xlfn.XLOOKUP(Table1[[#This Row],[ProductID]],Products!A:A,Products!C:C)</f>
        <v>Board Games</v>
      </c>
      <c r="J872">
        <v>4</v>
      </c>
      <c r="K872" s="5">
        <f>_xlfn.XLOOKUP(Table1[[#This Row],[ProductID]],Products!A:A,Products!E:E)</f>
        <v>100.05</v>
      </c>
      <c r="L872" s="5">
        <v>157.57</v>
      </c>
      <c r="M872" s="6">
        <v>0.11</v>
      </c>
      <c r="N872" t="s">
        <v>8</v>
      </c>
      <c r="O872" s="5">
        <f t="shared" si="65"/>
        <v>140.2373</v>
      </c>
      <c r="P872" s="5">
        <f t="shared" si="66"/>
        <v>560.94920000000002</v>
      </c>
      <c r="Q872" s="5">
        <f>Table1[[#This Row],[Quantity]]*(Table1[[#This Row],[Saleprice]]-Table1[[#This Row],[Costprice]])</f>
        <v>160.74920000000003</v>
      </c>
      <c r="R872">
        <f t="shared" si="67"/>
        <v>2023</v>
      </c>
      <c r="S872">
        <f t="shared" si="68"/>
        <v>1</v>
      </c>
      <c r="T872" t="str">
        <f t="shared" si="69"/>
        <v>January</v>
      </c>
    </row>
    <row r="873" spans="1:20" x14ac:dyDescent="0.3">
      <c r="A873" s="3">
        <v>44928</v>
      </c>
      <c r="B873">
        <v>102</v>
      </c>
      <c r="C873" s="3">
        <f>_xlfn.XLOOKUP(B873,Stores!A:A,Stores!E:E)</f>
        <v>44875</v>
      </c>
      <c r="D873">
        <v>219</v>
      </c>
      <c r="E873" s="3">
        <f>_xlfn.XLOOKUP(D873,SalesReps!A:A,SalesReps!D:D)</f>
        <v>44883</v>
      </c>
      <c r="F873" s="3" t="str">
        <f>_xlfn.XLOOKUP(Table1[[#This Row],[RepID]],SalesReps!A:A,SalesReps!E:E)</f>
        <v>Active</v>
      </c>
      <c r="G873">
        <v>315</v>
      </c>
      <c r="H873" t="str">
        <f>_xlfn.XLOOKUP(Table1[[#This Row],[ProductID]],Products!A:A,Products!B:B)</f>
        <v>Toys</v>
      </c>
      <c r="I873" t="str">
        <f>_xlfn.XLOOKUP(Table1[[#This Row],[ProductID]],Products!A:A,Products!C:C)</f>
        <v>Board Games</v>
      </c>
      <c r="J873">
        <v>7</v>
      </c>
      <c r="K873" s="5">
        <f>_xlfn.XLOOKUP(Table1[[#This Row],[ProductID]],Products!A:A,Products!E:E)</f>
        <v>247.9</v>
      </c>
      <c r="L873" s="5">
        <v>257.43</v>
      </c>
      <c r="M873" s="6">
        <v>0.16</v>
      </c>
      <c r="N873" t="s">
        <v>8</v>
      </c>
      <c r="O873" s="5">
        <f t="shared" si="65"/>
        <v>216.24119999999999</v>
      </c>
      <c r="P873" s="5">
        <f t="shared" si="66"/>
        <v>1513.6884</v>
      </c>
      <c r="Q873" s="5">
        <f>Table1[[#This Row],[Quantity]]*(Table1[[#This Row],[Saleprice]]-Table1[[#This Row],[Costprice]])</f>
        <v>-221.6116000000001</v>
      </c>
      <c r="R873">
        <f t="shared" si="67"/>
        <v>2023</v>
      </c>
      <c r="S873">
        <f t="shared" si="68"/>
        <v>1</v>
      </c>
      <c r="T873" t="str">
        <f t="shared" si="69"/>
        <v>January</v>
      </c>
    </row>
    <row r="874" spans="1:20" x14ac:dyDescent="0.3">
      <c r="A874" s="3">
        <v>44928</v>
      </c>
      <c r="B874">
        <v>107</v>
      </c>
      <c r="C874" s="3">
        <f>_xlfn.XLOOKUP(B874,Stores!A:A,Stores!E:E)</f>
        <v>44702</v>
      </c>
      <c r="D874">
        <v>215</v>
      </c>
      <c r="E874" s="3">
        <f>_xlfn.XLOOKUP(D874,SalesReps!A:A,SalesReps!D:D)</f>
        <v>44878</v>
      </c>
      <c r="F874" s="3" t="str">
        <f>_xlfn.XLOOKUP(Table1[[#This Row],[RepID]],SalesReps!A:A,SalesReps!E:E)</f>
        <v>Active</v>
      </c>
      <c r="G874">
        <v>319</v>
      </c>
      <c r="H874" t="str">
        <f>_xlfn.XLOOKUP(Table1[[#This Row],[ProductID]],Products!A:A,Products!B:B)</f>
        <v>Toys</v>
      </c>
      <c r="I874" t="str">
        <f>_xlfn.XLOOKUP(Table1[[#This Row],[ProductID]],Products!A:A,Products!C:C)</f>
        <v>Board Games</v>
      </c>
      <c r="J874">
        <v>6</v>
      </c>
      <c r="K874" s="5">
        <f>_xlfn.XLOOKUP(Table1[[#This Row],[ProductID]],Products!A:A,Products!E:E)</f>
        <v>81.069999999999993</v>
      </c>
      <c r="L874" s="5">
        <v>106.28</v>
      </c>
      <c r="M874" s="6">
        <v>0.24</v>
      </c>
      <c r="N874" t="s">
        <v>8</v>
      </c>
      <c r="O874" s="5">
        <f t="shared" si="65"/>
        <v>80.772800000000004</v>
      </c>
      <c r="P874" s="5">
        <f t="shared" si="66"/>
        <v>484.63679999999999</v>
      </c>
      <c r="Q874" s="5">
        <f>Table1[[#This Row],[Quantity]]*(Table1[[#This Row],[Saleprice]]-Table1[[#This Row],[Costprice]])</f>
        <v>-1.7831999999999368</v>
      </c>
      <c r="R874">
        <f t="shared" si="67"/>
        <v>2023</v>
      </c>
      <c r="S874">
        <f t="shared" si="68"/>
        <v>1</v>
      </c>
      <c r="T874" t="str">
        <f t="shared" si="69"/>
        <v>January</v>
      </c>
    </row>
    <row r="875" spans="1:20" x14ac:dyDescent="0.3">
      <c r="A875" s="3">
        <v>44929</v>
      </c>
      <c r="B875">
        <v>102</v>
      </c>
      <c r="C875" s="3">
        <f>_xlfn.XLOOKUP(B875,Stores!A:A,Stores!E:E)</f>
        <v>44875</v>
      </c>
      <c r="D875">
        <v>219</v>
      </c>
      <c r="E875" s="3">
        <f>_xlfn.XLOOKUP(D875,SalesReps!A:A,SalesReps!D:D)</f>
        <v>44883</v>
      </c>
      <c r="F875" s="3" t="str">
        <f>_xlfn.XLOOKUP(Table1[[#This Row],[RepID]],SalesReps!A:A,SalesReps!E:E)</f>
        <v>Active</v>
      </c>
      <c r="G875">
        <v>310</v>
      </c>
      <c r="H875" t="str">
        <f>_xlfn.XLOOKUP(Table1[[#This Row],[ProductID]],Products!A:A,Products!B:B)</f>
        <v>Home &amp; Kitchen</v>
      </c>
      <c r="I875" t="str">
        <f>_xlfn.XLOOKUP(Table1[[#This Row],[ProductID]],Products!A:A,Products!C:C)</f>
        <v>Furniture</v>
      </c>
      <c r="J875">
        <v>8</v>
      </c>
      <c r="K875" s="5">
        <f>_xlfn.XLOOKUP(Table1[[#This Row],[ProductID]],Products!A:A,Products!E:E)</f>
        <v>160.31</v>
      </c>
      <c r="L875" s="5">
        <v>251.39</v>
      </c>
      <c r="M875" s="6">
        <v>0.14000000000000001</v>
      </c>
      <c r="N875" t="s">
        <v>8</v>
      </c>
      <c r="O875" s="5">
        <f t="shared" si="65"/>
        <v>216.19539999999998</v>
      </c>
      <c r="P875" s="5">
        <f t="shared" si="66"/>
        <v>1729.5631999999998</v>
      </c>
      <c r="Q875" s="5">
        <f>Table1[[#This Row],[Quantity]]*(Table1[[#This Row],[Saleprice]]-Table1[[#This Row],[Costprice]])</f>
        <v>447.08319999999981</v>
      </c>
      <c r="R875">
        <f t="shared" si="67"/>
        <v>2023</v>
      </c>
      <c r="S875">
        <f t="shared" si="68"/>
        <v>1</v>
      </c>
      <c r="T875" t="str">
        <f t="shared" si="69"/>
        <v>January</v>
      </c>
    </row>
    <row r="876" spans="1:20" x14ac:dyDescent="0.3">
      <c r="A876" s="3">
        <v>44929</v>
      </c>
      <c r="B876">
        <v>107</v>
      </c>
      <c r="C876" s="3">
        <f>_xlfn.XLOOKUP(B876,Stores!A:A,Stores!E:E)</f>
        <v>44702</v>
      </c>
      <c r="D876">
        <v>215</v>
      </c>
      <c r="E876" s="3">
        <f>_xlfn.XLOOKUP(D876,SalesReps!A:A,SalesReps!D:D)</f>
        <v>44878</v>
      </c>
      <c r="F876" s="3" t="str">
        <f>_xlfn.XLOOKUP(Table1[[#This Row],[RepID]],SalesReps!A:A,SalesReps!E:E)</f>
        <v>Active</v>
      </c>
      <c r="G876">
        <v>305</v>
      </c>
      <c r="H876" t="str">
        <f>_xlfn.XLOOKUP(Table1[[#This Row],[ProductID]],Products!A:A,Products!B:B)</f>
        <v>Electronics</v>
      </c>
      <c r="I876" t="str">
        <f>_xlfn.XLOOKUP(Table1[[#This Row],[ProductID]],Products!A:A,Products!C:C)</f>
        <v>Accessories</v>
      </c>
      <c r="J876">
        <v>6</v>
      </c>
      <c r="K876" s="5">
        <f>_xlfn.XLOOKUP(Table1[[#This Row],[ProductID]],Products!A:A,Products!E:E)</f>
        <v>275.32</v>
      </c>
      <c r="L876" s="5">
        <v>286.48</v>
      </c>
      <c r="M876" s="6">
        <v>0.1</v>
      </c>
      <c r="N876" t="s">
        <v>8</v>
      </c>
      <c r="O876" s="5">
        <f t="shared" si="65"/>
        <v>257.83200000000005</v>
      </c>
      <c r="P876" s="5">
        <f t="shared" si="66"/>
        <v>1546.9920000000002</v>
      </c>
      <c r="Q876" s="5">
        <f>Table1[[#This Row],[Quantity]]*(Table1[[#This Row],[Saleprice]]-Table1[[#This Row],[Costprice]])</f>
        <v>-104.92799999999966</v>
      </c>
      <c r="R876">
        <f t="shared" si="67"/>
        <v>2023</v>
      </c>
      <c r="S876">
        <f t="shared" si="68"/>
        <v>1</v>
      </c>
      <c r="T876" t="str">
        <f t="shared" si="69"/>
        <v>January</v>
      </c>
    </row>
    <row r="877" spans="1:20" x14ac:dyDescent="0.3">
      <c r="A877" s="3">
        <v>44930</v>
      </c>
      <c r="B877">
        <v>110</v>
      </c>
      <c r="C877" s="3">
        <f>_xlfn.XLOOKUP(B877,Stores!A:A,Stores!E:E)</f>
        <v>44174</v>
      </c>
      <c r="D877">
        <v>217</v>
      </c>
      <c r="E877" s="3">
        <f>_xlfn.XLOOKUP(D877,SalesReps!A:A,SalesReps!D:D)</f>
        <v>44896</v>
      </c>
      <c r="F877" s="3" t="str">
        <f>_xlfn.XLOOKUP(Table1[[#This Row],[RepID]],SalesReps!A:A,SalesReps!E:E)</f>
        <v>Left</v>
      </c>
      <c r="G877">
        <v>315</v>
      </c>
      <c r="H877" t="str">
        <f>_xlfn.XLOOKUP(Table1[[#This Row],[ProductID]],Products!A:A,Products!B:B)</f>
        <v>Toys</v>
      </c>
      <c r="I877" t="str">
        <f>_xlfn.XLOOKUP(Table1[[#This Row],[ProductID]],Products!A:A,Products!C:C)</f>
        <v>Board Games</v>
      </c>
      <c r="J877">
        <v>9</v>
      </c>
      <c r="K877" s="5">
        <f>_xlfn.XLOOKUP(Table1[[#This Row],[ProductID]],Products!A:A,Products!E:E)</f>
        <v>247.9</v>
      </c>
      <c r="L877" s="5">
        <v>257.47000000000003</v>
      </c>
      <c r="M877" s="6">
        <v>0.24</v>
      </c>
      <c r="N877" t="s">
        <v>8</v>
      </c>
      <c r="O877" s="5">
        <f t="shared" si="65"/>
        <v>195.67720000000003</v>
      </c>
      <c r="P877" s="5">
        <f t="shared" si="66"/>
        <v>1761.0948000000003</v>
      </c>
      <c r="Q877" s="5">
        <f>Table1[[#This Row],[Quantity]]*(Table1[[#This Row],[Saleprice]]-Table1[[#This Row],[Costprice]])</f>
        <v>-470.00519999999983</v>
      </c>
      <c r="R877">
        <f t="shared" si="67"/>
        <v>2023</v>
      </c>
      <c r="S877">
        <f t="shared" si="68"/>
        <v>1</v>
      </c>
      <c r="T877" t="str">
        <f t="shared" si="69"/>
        <v>January</v>
      </c>
    </row>
    <row r="878" spans="1:20" x14ac:dyDescent="0.3">
      <c r="A878" s="3">
        <v>44930</v>
      </c>
      <c r="B878">
        <v>110</v>
      </c>
      <c r="C878" s="3">
        <f>_xlfn.XLOOKUP(B878,Stores!A:A,Stores!E:E)</f>
        <v>44174</v>
      </c>
      <c r="D878">
        <v>217</v>
      </c>
      <c r="E878" s="3">
        <f>_xlfn.XLOOKUP(D878,SalesReps!A:A,SalesReps!D:D)</f>
        <v>44896</v>
      </c>
      <c r="F878" s="3" t="str">
        <f>_xlfn.XLOOKUP(Table1[[#This Row],[RepID]],SalesReps!A:A,SalesReps!E:E)</f>
        <v>Left</v>
      </c>
      <c r="G878">
        <v>306</v>
      </c>
      <c r="H878" t="str">
        <f>_xlfn.XLOOKUP(Table1[[#This Row],[ProductID]],Products!A:A,Products!B:B)</f>
        <v>Clothing</v>
      </c>
      <c r="I878" t="str">
        <f>_xlfn.XLOOKUP(Table1[[#This Row],[ProductID]],Products!A:A,Products!C:C)</f>
        <v>Men</v>
      </c>
      <c r="J878">
        <v>2</v>
      </c>
      <c r="K878" s="5">
        <f>_xlfn.XLOOKUP(Table1[[#This Row],[ProductID]],Products!A:A,Products!E:E)</f>
        <v>185.69</v>
      </c>
      <c r="L878" s="5">
        <v>266.52999999999997</v>
      </c>
      <c r="M878" s="6">
        <v>0.08</v>
      </c>
      <c r="N878" t="s">
        <v>8</v>
      </c>
      <c r="O878" s="5">
        <f t="shared" si="65"/>
        <v>245.20759999999999</v>
      </c>
      <c r="P878" s="5">
        <f t="shared" si="66"/>
        <v>490.41519999999997</v>
      </c>
      <c r="Q878" s="5">
        <f>Table1[[#This Row],[Quantity]]*(Table1[[#This Row],[Saleprice]]-Table1[[#This Row],[Costprice]])</f>
        <v>119.03519999999997</v>
      </c>
      <c r="R878">
        <f t="shared" si="67"/>
        <v>2023</v>
      </c>
      <c r="S878">
        <f t="shared" si="68"/>
        <v>1</v>
      </c>
      <c r="T878" t="str">
        <f t="shared" si="69"/>
        <v>January</v>
      </c>
    </row>
    <row r="879" spans="1:20" x14ac:dyDescent="0.3">
      <c r="A879" s="3">
        <v>44931</v>
      </c>
      <c r="B879">
        <v>102</v>
      </c>
      <c r="C879" s="3">
        <f>_xlfn.XLOOKUP(B879,Stores!A:A,Stores!E:E)</f>
        <v>44875</v>
      </c>
      <c r="D879">
        <v>219</v>
      </c>
      <c r="E879" s="3">
        <f>_xlfn.XLOOKUP(D879,SalesReps!A:A,SalesReps!D:D)</f>
        <v>44883</v>
      </c>
      <c r="F879" s="3" t="str">
        <f>_xlfn.XLOOKUP(Table1[[#This Row],[RepID]],SalesReps!A:A,SalesReps!E:E)</f>
        <v>Active</v>
      </c>
      <c r="G879">
        <v>305</v>
      </c>
      <c r="H879" t="str">
        <f>_xlfn.XLOOKUP(Table1[[#This Row],[ProductID]],Products!A:A,Products!B:B)</f>
        <v>Electronics</v>
      </c>
      <c r="I879" t="str">
        <f>_xlfn.XLOOKUP(Table1[[#This Row],[ProductID]],Products!A:A,Products!C:C)</f>
        <v>Accessories</v>
      </c>
      <c r="J879">
        <v>2</v>
      </c>
      <c r="K879" s="5">
        <f>_xlfn.XLOOKUP(Table1[[#This Row],[ProductID]],Products!A:A,Products!E:E)</f>
        <v>275.32</v>
      </c>
      <c r="L879" s="5">
        <v>295.95999999999998</v>
      </c>
      <c r="M879" s="6">
        <v>0.16</v>
      </c>
      <c r="N879" t="s">
        <v>8</v>
      </c>
      <c r="O879" s="5">
        <f t="shared" si="65"/>
        <v>248.60639999999998</v>
      </c>
      <c r="P879" s="5">
        <f t="shared" si="66"/>
        <v>497.21279999999996</v>
      </c>
      <c r="Q879" s="5">
        <f>Table1[[#This Row],[Quantity]]*(Table1[[#This Row],[Saleprice]]-Table1[[#This Row],[Costprice]])</f>
        <v>-53.427200000000028</v>
      </c>
      <c r="R879">
        <f t="shared" si="67"/>
        <v>2023</v>
      </c>
      <c r="S879">
        <f t="shared" si="68"/>
        <v>1</v>
      </c>
      <c r="T879" t="str">
        <f t="shared" si="69"/>
        <v>January</v>
      </c>
    </row>
    <row r="880" spans="1:20" x14ac:dyDescent="0.3">
      <c r="A880" s="3">
        <v>44932</v>
      </c>
      <c r="B880">
        <v>107</v>
      </c>
      <c r="C880" s="3">
        <f>_xlfn.XLOOKUP(B880,Stores!A:A,Stores!E:E)</f>
        <v>44702</v>
      </c>
      <c r="D880">
        <v>215</v>
      </c>
      <c r="E880" s="3">
        <f>_xlfn.XLOOKUP(D880,SalesReps!A:A,SalesReps!D:D)</f>
        <v>44878</v>
      </c>
      <c r="F880" s="3" t="str">
        <f>_xlfn.XLOOKUP(Table1[[#This Row],[RepID]],SalesReps!A:A,SalesReps!E:E)</f>
        <v>Active</v>
      </c>
      <c r="G880">
        <v>310</v>
      </c>
      <c r="H880" t="str">
        <f>_xlfn.XLOOKUP(Table1[[#This Row],[ProductID]],Products!A:A,Products!B:B)</f>
        <v>Home &amp; Kitchen</v>
      </c>
      <c r="I880" t="str">
        <f>_xlfn.XLOOKUP(Table1[[#This Row],[ProductID]],Products!A:A,Products!C:C)</f>
        <v>Furniture</v>
      </c>
      <c r="J880">
        <v>4</v>
      </c>
      <c r="K880" s="5">
        <f>_xlfn.XLOOKUP(Table1[[#This Row],[ProductID]],Products!A:A,Products!E:E)</f>
        <v>160.31</v>
      </c>
      <c r="L880" s="5">
        <v>169.45</v>
      </c>
      <c r="M880" s="6">
        <v>0.25</v>
      </c>
      <c r="N880" t="s">
        <v>8</v>
      </c>
      <c r="O880" s="5">
        <f t="shared" si="65"/>
        <v>127.08749999999999</v>
      </c>
      <c r="P880" s="5">
        <f t="shared" si="66"/>
        <v>508.34999999999997</v>
      </c>
      <c r="Q880" s="5">
        <f>Table1[[#This Row],[Quantity]]*(Table1[[#This Row],[Saleprice]]-Table1[[#This Row],[Costprice]])</f>
        <v>-132.89000000000004</v>
      </c>
      <c r="R880">
        <f t="shared" si="67"/>
        <v>2023</v>
      </c>
      <c r="S880">
        <f t="shared" si="68"/>
        <v>1</v>
      </c>
      <c r="T880" t="str">
        <f t="shared" si="69"/>
        <v>January</v>
      </c>
    </row>
    <row r="881" spans="1:20" x14ac:dyDescent="0.3">
      <c r="A881" s="3">
        <v>44933</v>
      </c>
      <c r="B881">
        <v>110</v>
      </c>
      <c r="C881" s="3">
        <f>_xlfn.XLOOKUP(B881,Stores!A:A,Stores!E:E)</f>
        <v>44174</v>
      </c>
      <c r="D881">
        <v>217</v>
      </c>
      <c r="E881" s="3">
        <f>_xlfn.XLOOKUP(D881,SalesReps!A:A,SalesReps!D:D)</f>
        <v>44896</v>
      </c>
      <c r="F881" s="3" t="str">
        <f>_xlfn.XLOOKUP(Table1[[#This Row],[RepID]],SalesReps!A:A,SalesReps!E:E)</f>
        <v>Left</v>
      </c>
      <c r="G881">
        <v>310</v>
      </c>
      <c r="H881" t="str">
        <f>_xlfn.XLOOKUP(Table1[[#This Row],[ProductID]],Products!A:A,Products!B:B)</f>
        <v>Home &amp; Kitchen</v>
      </c>
      <c r="I881" t="str">
        <f>_xlfn.XLOOKUP(Table1[[#This Row],[ProductID]],Products!A:A,Products!C:C)</f>
        <v>Furniture</v>
      </c>
      <c r="J881">
        <v>7</v>
      </c>
      <c r="K881" s="5">
        <f>_xlfn.XLOOKUP(Table1[[#This Row],[ProductID]],Products!A:A,Products!E:E)</f>
        <v>160.31</v>
      </c>
      <c r="L881" s="5">
        <v>255.85</v>
      </c>
      <c r="M881" s="6">
        <v>0.12</v>
      </c>
      <c r="N881" t="s">
        <v>8</v>
      </c>
      <c r="O881" s="5">
        <f t="shared" si="65"/>
        <v>225.148</v>
      </c>
      <c r="P881" s="5">
        <f t="shared" si="66"/>
        <v>1576.0360000000001</v>
      </c>
      <c r="Q881" s="5">
        <f>Table1[[#This Row],[Quantity]]*(Table1[[#This Row],[Saleprice]]-Table1[[#This Row],[Costprice]])</f>
        <v>453.86599999999999</v>
      </c>
      <c r="R881">
        <f t="shared" si="67"/>
        <v>2023</v>
      </c>
      <c r="S881">
        <f t="shared" si="68"/>
        <v>1</v>
      </c>
      <c r="T881" t="str">
        <f t="shared" si="69"/>
        <v>January</v>
      </c>
    </row>
    <row r="882" spans="1:20" x14ac:dyDescent="0.3">
      <c r="A882" s="3">
        <v>44933</v>
      </c>
      <c r="B882">
        <v>102</v>
      </c>
      <c r="C882" s="3">
        <f>_xlfn.XLOOKUP(B882,Stores!A:A,Stores!E:E)</f>
        <v>44875</v>
      </c>
      <c r="D882">
        <v>219</v>
      </c>
      <c r="E882" s="3">
        <f>_xlfn.XLOOKUP(D882,SalesReps!A:A,SalesReps!D:D)</f>
        <v>44883</v>
      </c>
      <c r="F882" s="3" t="str">
        <f>_xlfn.XLOOKUP(Table1[[#This Row],[RepID]],SalesReps!A:A,SalesReps!E:E)</f>
        <v>Active</v>
      </c>
      <c r="G882">
        <v>312</v>
      </c>
      <c r="H882" t="str">
        <f>_xlfn.XLOOKUP(Table1[[#This Row],[ProductID]],Products!A:A,Products!B:B)</f>
        <v>Toys</v>
      </c>
      <c r="I882" t="str">
        <f>_xlfn.XLOOKUP(Table1[[#This Row],[ProductID]],Products!A:A,Products!C:C)</f>
        <v>Board Games</v>
      </c>
      <c r="J882">
        <v>7</v>
      </c>
      <c r="K882" s="5">
        <f>_xlfn.XLOOKUP(Table1[[#This Row],[ProductID]],Products!A:A,Products!E:E)</f>
        <v>100.05</v>
      </c>
      <c r="L882" s="5">
        <v>157.57</v>
      </c>
      <c r="M882" s="6">
        <v>0.11</v>
      </c>
      <c r="N882" t="s">
        <v>8</v>
      </c>
      <c r="O882" s="5">
        <f t="shared" si="65"/>
        <v>140.2373</v>
      </c>
      <c r="P882" s="5">
        <f t="shared" si="66"/>
        <v>981.66110000000003</v>
      </c>
      <c r="Q882" s="5">
        <f>Table1[[#This Row],[Quantity]]*(Table1[[#This Row],[Saleprice]]-Table1[[#This Row],[Costprice]])</f>
        <v>281.31110000000007</v>
      </c>
      <c r="R882">
        <f t="shared" si="67"/>
        <v>2023</v>
      </c>
      <c r="S882">
        <f t="shared" si="68"/>
        <v>1</v>
      </c>
      <c r="T882" t="str">
        <f t="shared" si="69"/>
        <v>January</v>
      </c>
    </row>
    <row r="883" spans="1:20" x14ac:dyDescent="0.3">
      <c r="A883" s="3">
        <v>44934</v>
      </c>
      <c r="B883">
        <v>102</v>
      </c>
      <c r="C883" s="3">
        <f>_xlfn.XLOOKUP(B883,Stores!A:A,Stores!E:E)</f>
        <v>44875</v>
      </c>
      <c r="D883">
        <v>219</v>
      </c>
      <c r="E883" s="3">
        <f>_xlfn.XLOOKUP(D883,SalesReps!A:A,SalesReps!D:D)</f>
        <v>44883</v>
      </c>
      <c r="F883" s="3" t="str">
        <f>_xlfn.XLOOKUP(Table1[[#This Row],[RepID]],SalesReps!A:A,SalesReps!E:E)</f>
        <v>Active</v>
      </c>
      <c r="G883">
        <v>314</v>
      </c>
      <c r="H883" t="str">
        <f>_xlfn.XLOOKUP(Table1[[#This Row],[ProductID]],Products!A:A,Products!B:B)</f>
        <v>Clothing</v>
      </c>
      <c r="I883" t="str">
        <f>_xlfn.XLOOKUP(Table1[[#This Row],[ProductID]],Products!A:A,Products!C:C)</f>
        <v>Kids</v>
      </c>
      <c r="J883">
        <v>1</v>
      </c>
      <c r="K883" s="5">
        <f>_xlfn.XLOOKUP(Table1[[#This Row],[ProductID]],Products!A:A,Products!E:E)</f>
        <v>276.47000000000003</v>
      </c>
      <c r="L883" s="5">
        <v>319.36</v>
      </c>
      <c r="M883" s="6">
        <v>0.14000000000000001</v>
      </c>
      <c r="N883" t="s">
        <v>8</v>
      </c>
      <c r="O883" s="5">
        <f t="shared" si="65"/>
        <v>274.64960000000002</v>
      </c>
      <c r="P883" s="5">
        <f t="shared" si="66"/>
        <v>274.64960000000002</v>
      </c>
      <c r="Q883" s="5">
        <f>Table1[[#This Row],[Quantity]]*(Table1[[#This Row],[Saleprice]]-Table1[[#This Row],[Costprice]])</f>
        <v>-1.8204000000000065</v>
      </c>
      <c r="R883">
        <f t="shared" si="67"/>
        <v>2023</v>
      </c>
      <c r="S883">
        <f t="shared" si="68"/>
        <v>1</v>
      </c>
      <c r="T883" t="str">
        <f t="shared" si="69"/>
        <v>January</v>
      </c>
    </row>
    <row r="884" spans="1:20" x14ac:dyDescent="0.3">
      <c r="A884" s="3">
        <v>44934</v>
      </c>
      <c r="B884">
        <v>102</v>
      </c>
      <c r="C884" s="3">
        <f>_xlfn.XLOOKUP(B884,Stores!A:A,Stores!E:E)</f>
        <v>44875</v>
      </c>
      <c r="D884">
        <v>219</v>
      </c>
      <c r="E884" s="3">
        <f>_xlfn.XLOOKUP(D884,SalesReps!A:A,SalesReps!D:D)</f>
        <v>44883</v>
      </c>
      <c r="F884" s="3" t="str">
        <f>_xlfn.XLOOKUP(Table1[[#This Row],[RepID]],SalesReps!A:A,SalesReps!E:E)</f>
        <v>Active</v>
      </c>
      <c r="G884">
        <v>316</v>
      </c>
      <c r="H884" t="str">
        <f>_xlfn.XLOOKUP(Table1[[#This Row],[ProductID]],Products!A:A,Products!B:B)</f>
        <v>Home &amp; Kitchen</v>
      </c>
      <c r="I884" t="str">
        <f>_xlfn.XLOOKUP(Table1[[#This Row],[ProductID]],Products!A:A,Products!C:C)</f>
        <v>Furniture</v>
      </c>
      <c r="J884">
        <v>5</v>
      </c>
      <c r="K884" s="5">
        <f>_xlfn.XLOOKUP(Table1[[#This Row],[ProductID]],Products!A:A,Products!E:E)</f>
        <v>334.95</v>
      </c>
      <c r="L884" s="5">
        <v>341.4</v>
      </c>
      <c r="M884" s="6">
        <v>0.24</v>
      </c>
      <c r="N884" t="s">
        <v>8</v>
      </c>
      <c r="O884" s="5">
        <f t="shared" si="65"/>
        <v>259.464</v>
      </c>
      <c r="P884" s="5">
        <f t="shared" si="66"/>
        <v>1297.32</v>
      </c>
      <c r="Q884" s="5">
        <f>Table1[[#This Row],[Quantity]]*(Table1[[#This Row],[Saleprice]]-Table1[[#This Row],[Costprice]])</f>
        <v>-377.42999999999995</v>
      </c>
      <c r="R884">
        <f t="shared" si="67"/>
        <v>2023</v>
      </c>
      <c r="S884">
        <f t="shared" si="68"/>
        <v>1</v>
      </c>
      <c r="T884" t="str">
        <f t="shared" si="69"/>
        <v>January</v>
      </c>
    </row>
    <row r="885" spans="1:20" x14ac:dyDescent="0.3">
      <c r="A885" s="3">
        <v>44934</v>
      </c>
      <c r="B885">
        <v>107</v>
      </c>
      <c r="C885" s="3">
        <f>_xlfn.XLOOKUP(B885,Stores!A:A,Stores!E:E)</f>
        <v>44702</v>
      </c>
      <c r="D885">
        <v>215</v>
      </c>
      <c r="E885" s="3">
        <f>_xlfn.XLOOKUP(D885,SalesReps!A:A,SalesReps!D:D)</f>
        <v>44878</v>
      </c>
      <c r="F885" s="3" t="str">
        <f>_xlfn.XLOOKUP(Table1[[#This Row],[RepID]],SalesReps!A:A,SalesReps!E:E)</f>
        <v>Active</v>
      </c>
      <c r="G885">
        <v>303</v>
      </c>
      <c r="H885" t="str">
        <f>_xlfn.XLOOKUP(Table1[[#This Row],[ProductID]],Products!A:A,Products!B:B)</f>
        <v>Home &amp; Kitchen</v>
      </c>
      <c r="I885" t="str">
        <f>_xlfn.XLOOKUP(Table1[[#This Row],[ProductID]],Products!A:A,Products!C:C)</f>
        <v>Furniture</v>
      </c>
      <c r="J885">
        <v>4</v>
      </c>
      <c r="K885" s="5">
        <f>_xlfn.XLOOKUP(Table1[[#This Row],[ProductID]],Products!A:A,Products!E:E)</f>
        <v>192.04</v>
      </c>
      <c r="L885" s="5">
        <v>238.78</v>
      </c>
      <c r="M885" s="6">
        <v>0.09</v>
      </c>
      <c r="N885" t="s">
        <v>8</v>
      </c>
      <c r="O885" s="5">
        <f t="shared" si="65"/>
        <v>217.28980000000001</v>
      </c>
      <c r="P885" s="5">
        <f t="shared" si="66"/>
        <v>869.15920000000006</v>
      </c>
      <c r="Q885" s="5">
        <f>Table1[[#This Row],[Quantity]]*(Table1[[#This Row],[Saleprice]]-Table1[[#This Row],[Costprice]])</f>
        <v>100.99920000000009</v>
      </c>
      <c r="R885">
        <f t="shared" si="67"/>
        <v>2023</v>
      </c>
      <c r="S885">
        <f t="shared" si="68"/>
        <v>1</v>
      </c>
      <c r="T885" t="str">
        <f t="shared" si="69"/>
        <v>January</v>
      </c>
    </row>
    <row r="886" spans="1:20" x14ac:dyDescent="0.3">
      <c r="A886" s="3">
        <v>44934</v>
      </c>
      <c r="B886">
        <v>102</v>
      </c>
      <c r="C886" s="3">
        <f>_xlfn.XLOOKUP(B886,Stores!A:A,Stores!E:E)</f>
        <v>44875</v>
      </c>
      <c r="D886">
        <v>219</v>
      </c>
      <c r="E886" s="3">
        <f>_xlfn.XLOOKUP(D886,SalesReps!A:A,SalesReps!D:D)</f>
        <v>44883</v>
      </c>
      <c r="F886" s="3" t="str">
        <f>_xlfn.XLOOKUP(Table1[[#This Row],[RepID]],SalesReps!A:A,SalesReps!E:E)</f>
        <v>Active</v>
      </c>
      <c r="G886">
        <v>318</v>
      </c>
      <c r="H886" t="str">
        <f>_xlfn.XLOOKUP(Table1[[#This Row],[ProductID]],Products!A:A,Products!B:B)</f>
        <v>Electronics</v>
      </c>
      <c r="I886" t="str">
        <f>_xlfn.XLOOKUP(Table1[[#This Row],[ProductID]],Products!A:A,Products!C:C)</f>
        <v>Mobiles</v>
      </c>
      <c r="J886">
        <v>2</v>
      </c>
      <c r="K886" s="5">
        <f>_xlfn.XLOOKUP(Table1[[#This Row],[ProductID]],Products!A:A,Products!E:E)</f>
        <v>162.51</v>
      </c>
      <c r="L886" s="5">
        <v>221.52</v>
      </c>
      <c r="M886" s="6">
        <v>0.17</v>
      </c>
      <c r="N886" t="s">
        <v>8</v>
      </c>
      <c r="O886" s="5">
        <f t="shared" si="65"/>
        <v>183.86160000000001</v>
      </c>
      <c r="P886" s="5">
        <f t="shared" si="66"/>
        <v>367.72320000000002</v>
      </c>
      <c r="Q886" s="5">
        <f>Table1[[#This Row],[Quantity]]*(Table1[[#This Row],[Saleprice]]-Table1[[#This Row],[Costprice]])</f>
        <v>42.703200000000038</v>
      </c>
      <c r="R886">
        <f t="shared" si="67"/>
        <v>2023</v>
      </c>
      <c r="S886">
        <f t="shared" si="68"/>
        <v>1</v>
      </c>
      <c r="T886" t="str">
        <f t="shared" si="69"/>
        <v>January</v>
      </c>
    </row>
    <row r="887" spans="1:20" x14ac:dyDescent="0.3">
      <c r="A887" s="3">
        <v>44935</v>
      </c>
      <c r="B887">
        <v>110</v>
      </c>
      <c r="C887" s="3">
        <f>_xlfn.XLOOKUP(B887,Stores!A:A,Stores!E:E)</f>
        <v>44174</v>
      </c>
      <c r="D887">
        <v>217</v>
      </c>
      <c r="E887" s="3">
        <f>_xlfn.XLOOKUP(D887,SalesReps!A:A,SalesReps!D:D)</f>
        <v>44896</v>
      </c>
      <c r="F887" s="3" t="str">
        <f>_xlfn.XLOOKUP(Table1[[#This Row],[RepID]],SalesReps!A:A,SalesReps!E:E)</f>
        <v>Left</v>
      </c>
      <c r="G887">
        <v>309</v>
      </c>
      <c r="H887" t="str">
        <f>_xlfn.XLOOKUP(Table1[[#This Row],[ProductID]],Products!A:A,Products!B:B)</f>
        <v>Electronics</v>
      </c>
      <c r="I887" t="str">
        <f>_xlfn.XLOOKUP(Table1[[#This Row],[ProductID]],Products!A:A,Products!C:C)</f>
        <v>Laptops</v>
      </c>
      <c r="J887">
        <v>5</v>
      </c>
      <c r="K887" s="5">
        <f>_xlfn.XLOOKUP(Table1[[#This Row],[ProductID]],Products!A:A,Products!E:E)</f>
        <v>229.68</v>
      </c>
      <c r="L887" s="5">
        <v>258.47000000000003</v>
      </c>
      <c r="M887" s="6">
        <v>0.17</v>
      </c>
      <c r="N887" t="s">
        <v>8</v>
      </c>
      <c r="O887" s="5">
        <f t="shared" si="65"/>
        <v>214.5301</v>
      </c>
      <c r="P887" s="5">
        <f t="shared" si="66"/>
        <v>1072.6505</v>
      </c>
      <c r="Q887" s="5">
        <f>Table1[[#This Row],[Quantity]]*(Table1[[#This Row],[Saleprice]]-Table1[[#This Row],[Costprice]])</f>
        <v>-75.749500000000012</v>
      </c>
      <c r="R887">
        <f t="shared" si="67"/>
        <v>2023</v>
      </c>
      <c r="S887">
        <f t="shared" si="68"/>
        <v>1</v>
      </c>
      <c r="T887" t="str">
        <f t="shared" si="69"/>
        <v>January</v>
      </c>
    </row>
    <row r="888" spans="1:20" x14ac:dyDescent="0.3">
      <c r="A888" s="3">
        <v>44936</v>
      </c>
      <c r="B888">
        <v>102</v>
      </c>
      <c r="C888" s="3">
        <f>_xlfn.XLOOKUP(B888,Stores!A:A,Stores!E:E)</f>
        <v>44875</v>
      </c>
      <c r="D888">
        <v>219</v>
      </c>
      <c r="E888" s="3">
        <f>_xlfn.XLOOKUP(D888,SalesReps!A:A,SalesReps!D:D)</f>
        <v>44883</v>
      </c>
      <c r="F888" s="3" t="str">
        <f>_xlfn.XLOOKUP(Table1[[#This Row],[RepID]],SalesReps!A:A,SalesReps!E:E)</f>
        <v>Active</v>
      </c>
      <c r="G888">
        <v>314</v>
      </c>
      <c r="H888" t="str">
        <f>_xlfn.XLOOKUP(Table1[[#This Row],[ProductID]],Products!A:A,Products!B:B)</f>
        <v>Clothing</v>
      </c>
      <c r="I888" t="str">
        <f>_xlfn.XLOOKUP(Table1[[#This Row],[ProductID]],Products!A:A,Products!C:C)</f>
        <v>Kids</v>
      </c>
      <c r="J888">
        <v>5</v>
      </c>
      <c r="K888" s="5">
        <f>_xlfn.XLOOKUP(Table1[[#This Row],[ProductID]],Products!A:A,Products!E:E)</f>
        <v>276.47000000000003</v>
      </c>
      <c r="L888" s="5">
        <v>319.36</v>
      </c>
      <c r="M888" s="6">
        <v>0.14000000000000001</v>
      </c>
      <c r="N888" t="s">
        <v>8</v>
      </c>
      <c r="O888" s="5">
        <f t="shared" si="65"/>
        <v>274.64960000000002</v>
      </c>
      <c r="P888" s="5">
        <f t="shared" si="66"/>
        <v>1373.248</v>
      </c>
      <c r="Q888" s="5">
        <f>Table1[[#This Row],[Quantity]]*(Table1[[#This Row],[Saleprice]]-Table1[[#This Row],[Costprice]])</f>
        <v>-9.1020000000000323</v>
      </c>
      <c r="R888">
        <f t="shared" si="67"/>
        <v>2023</v>
      </c>
      <c r="S888">
        <f t="shared" si="68"/>
        <v>1</v>
      </c>
      <c r="T888" t="str">
        <f t="shared" si="69"/>
        <v>January</v>
      </c>
    </row>
    <row r="889" spans="1:20" x14ac:dyDescent="0.3">
      <c r="A889" s="3">
        <v>44936</v>
      </c>
      <c r="B889">
        <v>102</v>
      </c>
      <c r="C889" s="3">
        <f>_xlfn.XLOOKUP(B889,Stores!A:A,Stores!E:E)</f>
        <v>44875</v>
      </c>
      <c r="D889">
        <v>219</v>
      </c>
      <c r="E889" s="3">
        <f>_xlfn.XLOOKUP(D889,SalesReps!A:A,SalesReps!D:D)</f>
        <v>44883</v>
      </c>
      <c r="F889" s="3" t="str">
        <f>_xlfn.XLOOKUP(Table1[[#This Row],[RepID]],SalesReps!A:A,SalesReps!E:E)</f>
        <v>Active</v>
      </c>
      <c r="G889">
        <v>312</v>
      </c>
      <c r="H889" t="str">
        <f>_xlfn.XLOOKUP(Table1[[#This Row],[ProductID]],Products!A:A,Products!B:B)</f>
        <v>Toys</v>
      </c>
      <c r="I889" t="str">
        <f>_xlfn.XLOOKUP(Table1[[#This Row],[ProductID]],Products!A:A,Products!C:C)</f>
        <v>Board Games</v>
      </c>
      <c r="J889">
        <v>2</v>
      </c>
      <c r="K889" s="5">
        <f>_xlfn.XLOOKUP(Table1[[#This Row],[ProductID]],Products!A:A,Products!E:E)</f>
        <v>100.05</v>
      </c>
      <c r="L889" s="5">
        <v>157.57</v>
      </c>
      <c r="M889" s="6">
        <v>0.11</v>
      </c>
      <c r="N889" t="s">
        <v>8</v>
      </c>
      <c r="O889" s="5">
        <f t="shared" si="65"/>
        <v>140.2373</v>
      </c>
      <c r="P889" s="5">
        <f t="shared" si="66"/>
        <v>280.47460000000001</v>
      </c>
      <c r="Q889" s="5">
        <f>Table1[[#This Row],[Quantity]]*(Table1[[#This Row],[Saleprice]]-Table1[[#This Row],[Costprice]])</f>
        <v>80.374600000000015</v>
      </c>
      <c r="R889">
        <f t="shared" si="67"/>
        <v>2023</v>
      </c>
      <c r="S889">
        <f t="shared" si="68"/>
        <v>1</v>
      </c>
      <c r="T889" t="str">
        <f t="shared" si="69"/>
        <v>January</v>
      </c>
    </row>
    <row r="890" spans="1:20" x14ac:dyDescent="0.3">
      <c r="A890" s="3">
        <v>44937</v>
      </c>
      <c r="B890">
        <v>102</v>
      </c>
      <c r="C890" s="3">
        <f>_xlfn.XLOOKUP(B890,Stores!A:A,Stores!E:E)</f>
        <v>44875</v>
      </c>
      <c r="D890">
        <v>219</v>
      </c>
      <c r="E890" s="3">
        <f>_xlfn.XLOOKUP(D890,SalesReps!A:A,SalesReps!D:D)</f>
        <v>44883</v>
      </c>
      <c r="F890" s="3" t="str">
        <f>_xlfn.XLOOKUP(Table1[[#This Row],[RepID]],SalesReps!A:A,SalesReps!E:E)</f>
        <v>Active</v>
      </c>
      <c r="G890">
        <v>305</v>
      </c>
      <c r="H890" t="str">
        <f>_xlfn.XLOOKUP(Table1[[#This Row],[ProductID]],Products!A:A,Products!B:B)</f>
        <v>Electronics</v>
      </c>
      <c r="I890" t="str">
        <f>_xlfn.XLOOKUP(Table1[[#This Row],[ProductID]],Products!A:A,Products!C:C)</f>
        <v>Accessories</v>
      </c>
      <c r="J890">
        <v>7</v>
      </c>
      <c r="K890" s="5">
        <f>_xlfn.XLOOKUP(Table1[[#This Row],[ProductID]],Products!A:A,Products!E:E)</f>
        <v>275.32</v>
      </c>
      <c r="L890" s="5">
        <v>295.95999999999998</v>
      </c>
      <c r="M890" s="6">
        <v>0.16</v>
      </c>
      <c r="N890" t="s">
        <v>8</v>
      </c>
      <c r="O890" s="5">
        <f t="shared" si="65"/>
        <v>248.60639999999998</v>
      </c>
      <c r="P890" s="5">
        <f t="shared" si="66"/>
        <v>1740.2447999999999</v>
      </c>
      <c r="Q890" s="5">
        <f>Table1[[#This Row],[Quantity]]*(Table1[[#This Row],[Saleprice]]-Table1[[#This Row],[Costprice]])</f>
        <v>-186.9952000000001</v>
      </c>
      <c r="R890">
        <f t="shared" si="67"/>
        <v>2023</v>
      </c>
      <c r="S890">
        <f t="shared" si="68"/>
        <v>1</v>
      </c>
      <c r="T890" t="str">
        <f t="shared" si="69"/>
        <v>January</v>
      </c>
    </row>
    <row r="891" spans="1:20" x14ac:dyDescent="0.3">
      <c r="A891" s="3">
        <v>44937</v>
      </c>
      <c r="B891">
        <v>107</v>
      </c>
      <c r="C891" s="3">
        <f>_xlfn.XLOOKUP(B891,Stores!A:A,Stores!E:E)</f>
        <v>44702</v>
      </c>
      <c r="D891">
        <v>215</v>
      </c>
      <c r="E891" s="3">
        <f>_xlfn.XLOOKUP(D891,SalesReps!A:A,SalesReps!D:D)</f>
        <v>44878</v>
      </c>
      <c r="F891" s="3" t="str">
        <f>_xlfn.XLOOKUP(Table1[[#This Row],[RepID]],SalesReps!A:A,SalesReps!E:E)</f>
        <v>Active</v>
      </c>
      <c r="G891">
        <v>301</v>
      </c>
      <c r="H891" t="str">
        <f>_xlfn.XLOOKUP(Table1[[#This Row],[ProductID]],Products!A:A,Products!B:B)</f>
        <v>Electronics</v>
      </c>
      <c r="I891" t="str">
        <f>_xlfn.XLOOKUP(Table1[[#This Row],[ProductID]],Products!A:A,Products!C:C)</f>
        <v>Mobiles</v>
      </c>
      <c r="J891">
        <v>5</v>
      </c>
      <c r="K891" s="5">
        <f>_xlfn.XLOOKUP(Table1[[#This Row],[ProductID]],Products!A:A,Products!E:E)</f>
        <v>159.16</v>
      </c>
      <c r="L891" s="5">
        <v>255.47</v>
      </c>
      <c r="M891" s="6">
        <v>0.22</v>
      </c>
      <c r="N891" t="s">
        <v>8</v>
      </c>
      <c r="O891" s="5">
        <f t="shared" si="65"/>
        <v>199.26660000000001</v>
      </c>
      <c r="P891" s="5">
        <f t="shared" si="66"/>
        <v>996.33300000000008</v>
      </c>
      <c r="Q891" s="5">
        <f>Table1[[#This Row],[Quantity]]*(Table1[[#This Row],[Saleprice]]-Table1[[#This Row],[Costprice]])</f>
        <v>200.53300000000007</v>
      </c>
      <c r="R891">
        <f t="shared" si="67"/>
        <v>2023</v>
      </c>
      <c r="S891">
        <f t="shared" si="68"/>
        <v>1</v>
      </c>
      <c r="T891" t="str">
        <f t="shared" si="69"/>
        <v>January</v>
      </c>
    </row>
    <row r="892" spans="1:20" x14ac:dyDescent="0.3">
      <c r="A892" s="3">
        <v>44938</v>
      </c>
      <c r="B892">
        <v>110</v>
      </c>
      <c r="C892" s="3">
        <f>_xlfn.XLOOKUP(B892,Stores!A:A,Stores!E:E)</f>
        <v>44174</v>
      </c>
      <c r="D892">
        <v>217</v>
      </c>
      <c r="E892" s="3">
        <f>_xlfn.XLOOKUP(D892,SalesReps!A:A,SalesReps!D:D)</f>
        <v>44896</v>
      </c>
      <c r="F892" s="3" t="str">
        <f>_xlfn.XLOOKUP(Table1[[#This Row],[RepID]],SalesReps!A:A,SalesReps!E:E)</f>
        <v>Left</v>
      </c>
      <c r="G892">
        <v>305</v>
      </c>
      <c r="H892" t="str">
        <f>_xlfn.XLOOKUP(Table1[[#This Row],[ProductID]],Products!A:A,Products!B:B)</f>
        <v>Electronics</v>
      </c>
      <c r="I892" t="str">
        <f>_xlfn.XLOOKUP(Table1[[#This Row],[ProductID]],Products!A:A,Products!C:C)</f>
        <v>Accessories</v>
      </c>
      <c r="J892">
        <v>6</v>
      </c>
      <c r="K892" s="5">
        <f>_xlfn.XLOOKUP(Table1[[#This Row],[ProductID]],Products!A:A,Products!E:E)</f>
        <v>275.32</v>
      </c>
      <c r="L892" s="5">
        <v>375.11</v>
      </c>
      <c r="M892" s="6">
        <v>0.1</v>
      </c>
      <c r="N892" t="s">
        <v>8</v>
      </c>
      <c r="O892" s="5">
        <f t="shared" si="65"/>
        <v>337.59900000000005</v>
      </c>
      <c r="P892" s="5">
        <f t="shared" si="66"/>
        <v>2025.5940000000003</v>
      </c>
      <c r="Q892" s="5">
        <f>Table1[[#This Row],[Quantity]]*(Table1[[#This Row],[Saleprice]]-Table1[[#This Row],[Costprice]])</f>
        <v>373.67400000000032</v>
      </c>
      <c r="R892">
        <f t="shared" si="67"/>
        <v>2023</v>
      </c>
      <c r="S892">
        <f t="shared" si="68"/>
        <v>1</v>
      </c>
      <c r="T892" t="str">
        <f t="shared" si="69"/>
        <v>January</v>
      </c>
    </row>
    <row r="893" spans="1:20" x14ac:dyDescent="0.3">
      <c r="A893" s="3">
        <v>44938</v>
      </c>
      <c r="B893">
        <v>110</v>
      </c>
      <c r="C893" s="3">
        <f>_xlfn.XLOOKUP(B893,Stores!A:A,Stores!E:E)</f>
        <v>44174</v>
      </c>
      <c r="D893">
        <v>217</v>
      </c>
      <c r="E893" s="3">
        <f>_xlfn.XLOOKUP(D893,SalesReps!A:A,SalesReps!D:D)</f>
        <v>44896</v>
      </c>
      <c r="F893" s="3" t="str">
        <f>_xlfn.XLOOKUP(Table1[[#This Row],[RepID]],SalesReps!A:A,SalesReps!E:E)</f>
        <v>Left</v>
      </c>
      <c r="G893">
        <v>315</v>
      </c>
      <c r="H893" t="str">
        <f>_xlfn.XLOOKUP(Table1[[#This Row],[ProductID]],Products!A:A,Products!B:B)</f>
        <v>Toys</v>
      </c>
      <c r="I893" t="str">
        <f>_xlfn.XLOOKUP(Table1[[#This Row],[ProductID]],Products!A:A,Products!C:C)</f>
        <v>Board Games</v>
      </c>
      <c r="J893">
        <v>5</v>
      </c>
      <c r="K893" s="5">
        <f>_xlfn.XLOOKUP(Table1[[#This Row],[ProductID]],Products!A:A,Products!E:E)</f>
        <v>247.9</v>
      </c>
      <c r="L893" s="5">
        <v>257.47000000000003</v>
      </c>
      <c r="M893" s="6">
        <v>0.24</v>
      </c>
      <c r="N893" t="s">
        <v>8</v>
      </c>
      <c r="O893" s="5">
        <f t="shared" si="65"/>
        <v>195.67720000000003</v>
      </c>
      <c r="P893" s="5">
        <f t="shared" si="66"/>
        <v>978.38600000000019</v>
      </c>
      <c r="Q893" s="5">
        <f>Table1[[#This Row],[Quantity]]*(Table1[[#This Row],[Saleprice]]-Table1[[#This Row],[Costprice]])</f>
        <v>-261.11399999999992</v>
      </c>
      <c r="R893">
        <f t="shared" si="67"/>
        <v>2023</v>
      </c>
      <c r="S893">
        <f t="shared" si="68"/>
        <v>1</v>
      </c>
      <c r="T893" t="str">
        <f t="shared" si="69"/>
        <v>January</v>
      </c>
    </row>
    <row r="894" spans="1:20" x14ac:dyDescent="0.3">
      <c r="A894" s="3">
        <v>44939</v>
      </c>
      <c r="B894">
        <v>102</v>
      </c>
      <c r="C894" s="3">
        <f>_xlfn.XLOOKUP(B894,Stores!A:A,Stores!E:E)</f>
        <v>44875</v>
      </c>
      <c r="D894">
        <v>219</v>
      </c>
      <c r="E894" s="3">
        <f>_xlfn.XLOOKUP(D894,SalesReps!A:A,SalesReps!D:D)</f>
        <v>44883</v>
      </c>
      <c r="F894" s="3" t="str">
        <f>_xlfn.XLOOKUP(Table1[[#This Row],[RepID]],SalesReps!A:A,SalesReps!E:E)</f>
        <v>Active</v>
      </c>
      <c r="G894">
        <v>318</v>
      </c>
      <c r="H894" t="str">
        <f>_xlfn.XLOOKUP(Table1[[#This Row],[ProductID]],Products!A:A,Products!B:B)</f>
        <v>Electronics</v>
      </c>
      <c r="I894" t="str">
        <f>_xlfn.XLOOKUP(Table1[[#This Row],[ProductID]],Products!A:A,Products!C:C)</f>
        <v>Mobiles</v>
      </c>
      <c r="J894">
        <v>6</v>
      </c>
      <c r="K894" s="5">
        <f>_xlfn.XLOOKUP(Table1[[#This Row],[ProductID]],Products!A:A,Products!E:E)</f>
        <v>162.51</v>
      </c>
      <c r="L894" s="5">
        <v>221.52</v>
      </c>
      <c r="M894" s="6">
        <v>0.17</v>
      </c>
      <c r="N894" t="s">
        <v>8</v>
      </c>
      <c r="O894" s="5">
        <f t="shared" si="65"/>
        <v>183.86160000000001</v>
      </c>
      <c r="P894" s="5">
        <f t="shared" si="66"/>
        <v>1103.1696000000002</v>
      </c>
      <c r="Q894" s="5">
        <f>Table1[[#This Row],[Quantity]]*(Table1[[#This Row],[Saleprice]]-Table1[[#This Row],[Costprice]])</f>
        <v>128.10960000000011</v>
      </c>
      <c r="R894">
        <f t="shared" si="67"/>
        <v>2023</v>
      </c>
      <c r="S894">
        <f t="shared" si="68"/>
        <v>1</v>
      </c>
      <c r="T894" t="str">
        <f t="shared" si="69"/>
        <v>January</v>
      </c>
    </row>
    <row r="895" spans="1:20" x14ac:dyDescent="0.3">
      <c r="A895" s="3">
        <v>44939</v>
      </c>
      <c r="B895">
        <v>110</v>
      </c>
      <c r="C895" s="3">
        <f>_xlfn.XLOOKUP(B895,Stores!A:A,Stores!E:E)</f>
        <v>44174</v>
      </c>
      <c r="D895">
        <v>217</v>
      </c>
      <c r="E895" s="3">
        <f>_xlfn.XLOOKUP(D895,SalesReps!A:A,SalesReps!D:D)</f>
        <v>44896</v>
      </c>
      <c r="F895" s="3" t="str">
        <f>_xlfn.XLOOKUP(Table1[[#This Row],[RepID]],SalesReps!A:A,SalesReps!E:E)</f>
        <v>Left</v>
      </c>
      <c r="G895">
        <v>313</v>
      </c>
      <c r="H895" t="str">
        <f>_xlfn.XLOOKUP(Table1[[#This Row],[ProductID]],Products!A:A,Products!B:B)</f>
        <v>Clothing</v>
      </c>
      <c r="I895" t="str">
        <f>_xlfn.XLOOKUP(Table1[[#This Row],[ProductID]],Products!A:A,Products!C:C)</f>
        <v>Women</v>
      </c>
      <c r="J895">
        <v>3</v>
      </c>
      <c r="K895" s="5">
        <f>_xlfn.XLOOKUP(Table1[[#This Row],[ProductID]],Products!A:A,Products!E:E)</f>
        <v>104</v>
      </c>
      <c r="L895" s="5">
        <v>121.61</v>
      </c>
      <c r="M895" s="6">
        <v>0.24</v>
      </c>
      <c r="N895" t="s">
        <v>8</v>
      </c>
      <c r="O895" s="5">
        <f t="shared" si="65"/>
        <v>92.423600000000008</v>
      </c>
      <c r="P895" s="5">
        <f t="shared" si="66"/>
        <v>277.27080000000001</v>
      </c>
      <c r="Q895" s="5">
        <f>Table1[[#This Row],[Quantity]]*(Table1[[#This Row],[Saleprice]]-Table1[[#This Row],[Costprice]])</f>
        <v>-34.729199999999977</v>
      </c>
      <c r="R895">
        <f t="shared" si="67"/>
        <v>2023</v>
      </c>
      <c r="S895">
        <f t="shared" si="68"/>
        <v>1</v>
      </c>
      <c r="T895" t="str">
        <f t="shared" si="69"/>
        <v>January</v>
      </c>
    </row>
    <row r="896" spans="1:20" x14ac:dyDescent="0.3">
      <c r="A896" s="3">
        <v>44939</v>
      </c>
      <c r="B896">
        <v>110</v>
      </c>
      <c r="C896" s="3">
        <f>_xlfn.XLOOKUP(B896,Stores!A:A,Stores!E:E)</f>
        <v>44174</v>
      </c>
      <c r="D896">
        <v>217</v>
      </c>
      <c r="E896" s="3">
        <f>_xlfn.XLOOKUP(D896,SalesReps!A:A,SalesReps!D:D)</f>
        <v>44896</v>
      </c>
      <c r="F896" s="3" t="str">
        <f>_xlfn.XLOOKUP(Table1[[#This Row],[RepID]],SalesReps!A:A,SalesReps!E:E)</f>
        <v>Left</v>
      </c>
      <c r="G896">
        <v>305</v>
      </c>
      <c r="H896" t="str">
        <f>_xlfn.XLOOKUP(Table1[[#This Row],[ProductID]],Products!A:A,Products!B:B)</f>
        <v>Electronics</v>
      </c>
      <c r="I896" t="str">
        <f>_xlfn.XLOOKUP(Table1[[#This Row],[ProductID]],Products!A:A,Products!C:C)</f>
        <v>Accessories</v>
      </c>
      <c r="J896">
        <v>9</v>
      </c>
      <c r="K896" s="5">
        <f>_xlfn.XLOOKUP(Table1[[#This Row],[ProductID]],Products!A:A,Products!E:E)</f>
        <v>275.32</v>
      </c>
      <c r="L896" s="5">
        <v>375.11</v>
      </c>
      <c r="M896" s="6">
        <v>0.1</v>
      </c>
      <c r="N896" t="s">
        <v>8</v>
      </c>
      <c r="O896" s="5">
        <f t="shared" si="65"/>
        <v>337.59900000000005</v>
      </c>
      <c r="P896" s="5">
        <f t="shared" si="66"/>
        <v>3038.3910000000005</v>
      </c>
      <c r="Q896" s="5">
        <f>Table1[[#This Row],[Quantity]]*(Table1[[#This Row],[Saleprice]]-Table1[[#This Row],[Costprice]])</f>
        <v>560.51100000000042</v>
      </c>
      <c r="R896">
        <f t="shared" si="67"/>
        <v>2023</v>
      </c>
      <c r="S896">
        <f t="shared" si="68"/>
        <v>1</v>
      </c>
      <c r="T896" t="str">
        <f t="shared" si="69"/>
        <v>January</v>
      </c>
    </row>
    <row r="897" spans="1:20" x14ac:dyDescent="0.3">
      <c r="A897" s="3">
        <v>44940</v>
      </c>
      <c r="B897">
        <v>110</v>
      </c>
      <c r="C897" s="3">
        <f>_xlfn.XLOOKUP(B897,Stores!A:A,Stores!E:E)</f>
        <v>44174</v>
      </c>
      <c r="D897">
        <v>217</v>
      </c>
      <c r="E897" s="3">
        <f>_xlfn.XLOOKUP(D897,SalesReps!A:A,SalesReps!D:D)</f>
        <v>44896</v>
      </c>
      <c r="F897" s="3" t="str">
        <f>_xlfn.XLOOKUP(Table1[[#This Row],[RepID]],SalesReps!A:A,SalesReps!E:E)</f>
        <v>Left</v>
      </c>
      <c r="G897">
        <v>317</v>
      </c>
      <c r="H897" t="str">
        <f>_xlfn.XLOOKUP(Table1[[#This Row],[ProductID]],Products!A:A,Products!B:B)</f>
        <v>Toys</v>
      </c>
      <c r="I897" t="str">
        <f>_xlfn.XLOOKUP(Table1[[#This Row],[ProductID]],Products!A:A,Products!C:C)</f>
        <v>Educational</v>
      </c>
      <c r="J897">
        <v>3</v>
      </c>
      <c r="K897" s="5">
        <f>_xlfn.XLOOKUP(Table1[[#This Row],[ProductID]],Products!A:A,Products!E:E)</f>
        <v>77.61</v>
      </c>
      <c r="L897" s="5">
        <v>122.31</v>
      </c>
      <c r="M897" s="6">
        <v>0.24</v>
      </c>
      <c r="N897" t="s">
        <v>8</v>
      </c>
      <c r="O897" s="5">
        <f t="shared" si="65"/>
        <v>92.955600000000004</v>
      </c>
      <c r="P897" s="5">
        <f t="shared" si="66"/>
        <v>278.86680000000001</v>
      </c>
      <c r="Q897" s="5">
        <f>Table1[[#This Row],[Quantity]]*(Table1[[#This Row],[Saleprice]]-Table1[[#This Row],[Costprice]])</f>
        <v>46.036800000000014</v>
      </c>
      <c r="R897">
        <f t="shared" si="67"/>
        <v>2023</v>
      </c>
      <c r="S897">
        <f t="shared" si="68"/>
        <v>1</v>
      </c>
      <c r="T897" t="str">
        <f t="shared" si="69"/>
        <v>January</v>
      </c>
    </row>
    <row r="898" spans="1:20" x14ac:dyDescent="0.3">
      <c r="A898" s="3">
        <v>44940</v>
      </c>
      <c r="B898">
        <v>102</v>
      </c>
      <c r="C898" s="3">
        <f>_xlfn.XLOOKUP(B898,Stores!A:A,Stores!E:E)</f>
        <v>44875</v>
      </c>
      <c r="D898">
        <v>219</v>
      </c>
      <c r="E898" s="3">
        <f>_xlfn.XLOOKUP(D898,SalesReps!A:A,SalesReps!D:D)</f>
        <v>44883</v>
      </c>
      <c r="F898" s="3" t="str">
        <f>_xlfn.XLOOKUP(Table1[[#This Row],[RepID]],SalesReps!A:A,SalesReps!E:E)</f>
        <v>Active</v>
      </c>
      <c r="G898">
        <v>314</v>
      </c>
      <c r="H898" t="str">
        <f>_xlfn.XLOOKUP(Table1[[#This Row],[ProductID]],Products!A:A,Products!B:B)</f>
        <v>Clothing</v>
      </c>
      <c r="I898" t="str">
        <f>_xlfn.XLOOKUP(Table1[[#This Row],[ProductID]],Products!A:A,Products!C:C)</f>
        <v>Kids</v>
      </c>
      <c r="J898">
        <v>1</v>
      </c>
      <c r="K898" s="5">
        <f>_xlfn.XLOOKUP(Table1[[#This Row],[ProductID]],Products!A:A,Products!E:E)</f>
        <v>276.47000000000003</v>
      </c>
      <c r="L898" s="5">
        <v>319.36</v>
      </c>
      <c r="M898" s="6">
        <v>0.14000000000000001</v>
      </c>
      <c r="N898" t="s">
        <v>8</v>
      </c>
      <c r="O898" s="5">
        <f t="shared" ref="O898:O961" si="70">L898*(1-M898)</f>
        <v>274.64960000000002</v>
      </c>
      <c r="P898" s="5">
        <f t="shared" ref="P898:P961" si="71">O898*J898</f>
        <v>274.64960000000002</v>
      </c>
      <c r="Q898" s="5">
        <f>Table1[[#This Row],[Quantity]]*(Table1[[#This Row],[Saleprice]]-Table1[[#This Row],[Costprice]])</f>
        <v>-1.8204000000000065</v>
      </c>
      <c r="R898">
        <f t="shared" ref="R898:R961" si="72">YEAR(A898)</f>
        <v>2023</v>
      </c>
      <c r="S898">
        <f t="shared" ref="S898:S961" si="73">MONTH(A898)</f>
        <v>1</v>
      </c>
      <c r="T898" t="str">
        <f t="shared" ref="T898:T961" si="74">TEXT(A898,"MMMM")</f>
        <v>January</v>
      </c>
    </row>
    <row r="899" spans="1:20" x14ac:dyDescent="0.3">
      <c r="A899" s="3">
        <v>44941</v>
      </c>
      <c r="B899">
        <v>102</v>
      </c>
      <c r="C899" s="3">
        <f>_xlfn.XLOOKUP(B899,Stores!A:A,Stores!E:E)</f>
        <v>44875</v>
      </c>
      <c r="D899">
        <v>219</v>
      </c>
      <c r="E899" s="3">
        <f>_xlfn.XLOOKUP(D899,SalesReps!A:A,SalesReps!D:D)</f>
        <v>44883</v>
      </c>
      <c r="F899" s="3" t="str">
        <f>_xlfn.XLOOKUP(Table1[[#This Row],[RepID]],SalesReps!A:A,SalesReps!E:E)</f>
        <v>Active</v>
      </c>
      <c r="G899">
        <v>319</v>
      </c>
      <c r="H899" t="str">
        <f>_xlfn.XLOOKUP(Table1[[#This Row],[ProductID]],Products!A:A,Products!B:B)</f>
        <v>Toys</v>
      </c>
      <c r="I899" t="str">
        <f>_xlfn.XLOOKUP(Table1[[#This Row],[ProductID]],Products!A:A,Products!C:C)</f>
        <v>Board Games</v>
      </c>
      <c r="J899">
        <v>1</v>
      </c>
      <c r="K899" s="5">
        <f>_xlfn.XLOOKUP(Table1[[#This Row],[ProductID]],Products!A:A,Products!E:E)</f>
        <v>81.069999999999993</v>
      </c>
      <c r="L899" s="5">
        <v>166.55</v>
      </c>
      <c r="M899" s="6">
        <v>0.12</v>
      </c>
      <c r="N899" t="s">
        <v>8</v>
      </c>
      <c r="O899" s="5">
        <f t="shared" si="70"/>
        <v>146.56400000000002</v>
      </c>
      <c r="P899" s="5">
        <f t="shared" si="71"/>
        <v>146.56400000000002</v>
      </c>
      <c r="Q899" s="5">
        <f>Table1[[#This Row],[Quantity]]*(Table1[[#This Row],[Saleprice]]-Table1[[#This Row],[Costprice]])</f>
        <v>65.494000000000028</v>
      </c>
      <c r="R899">
        <f t="shared" si="72"/>
        <v>2023</v>
      </c>
      <c r="S899">
        <f t="shared" si="73"/>
        <v>1</v>
      </c>
      <c r="T899" t="str">
        <f t="shared" si="74"/>
        <v>January</v>
      </c>
    </row>
    <row r="900" spans="1:20" x14ac:dyDescent="0.3">
      <c r="A900" s="3">
        <v>44941</v>
      </c>
      <c r="B900">
        <v>110</v>
      </c>
      <c r="C900" s="3">
        <f>_xlfn.XLOOKUP(B900,Stores!A:A,Stores!E:E)</f>
        <v>44174</v>
      </c>
      <c r="D900">
        <v>217</v>
      </c>
      <c r="E900" s="3">
        <f>_xlfn.XLOOKUP(D900,SalesReps!A:A,SalesReps!D:D)</f>
        <v>44896</v>
      </c>
      <c r="F900" s="3" t="str">
        <f>_xlfn.XLOOKUP(Table1[[#This Row],[RepID]],SalesReps!A:A,SalesReps!E:E)</f>
        <v>Left</v>
      </c>
      <c r="G900">
        <v>306</v>
      </c>
      <c r="H900" t="str">
        <f>_xlfn.XLOOKUP(Table1[[#This Row],[ProductID]],Products!A:A,Products!B:B)</f>
        <v>Clothing</v>
      </c>
      <c r="I900" t="str">
        <f>_xlfn.XLOOKUP(Table1[[#This Row],[ProductID]],Products!A:A,Products!C:C)</f>
        <v>Men</v>
      </c>
      <c r="J900">
        <v>8</v>
      </c>
      <c r="K900" s="5">
        <f>_xlfn.XLOOKUP(Table1[[#This Row],[ProductID]],Products!A:A,Products!E:E)</f>
        <v>185.69</v>
      </c>
      <c r="L900" s="5">
        <v>266.52999999999997</v>
      </c>
      <c r="M900" s="6">
        <v>0.08</v>
      </c>
      <c r="N900" t="s">
        <v>8</v>
      </c>
      <c r="O900" s="5">
        <f t="shared" si="70"/>
        <v>245.20759999999999</v>
      </c>
      <c r="P900" s="5">
        <f t="shared" si="71"/>
        <v>1961.6607999999999</v>
      </c>
      <c r="Q900" s="5">
        <f>Table1[[#This Row],[Quantity]]*(Table1[[#This Row],[Saleprice]]-Table1[[#This Row],[Costprice]])</f>
        <v>476.1407999999999</v>
      </c>
      <c r="R900">
        <f t="shared" si="72"/>
        <v>2023</v>
      </c>
      <c r="S900">
        <f t="shared" si="73"/>
        <v>1</v>
      </c>
      <c r="T900" t="str">
        <f t="shared" si="74"/>
        <v>January</v>
      </c>
    </row>
    <row r="901" spans="1:20" x14ac:dyDescent="0.3">
      <c r="A901" s="3">
        <v>44941</v>
      </c>
      <c r="B901">
        <v>102</v>
      </c>
      <c r="C901" s="3">
        <f>_xlfn.XLOOKUP(B901,Stores!A:A,Stores!E:E)</f>
        <v>44875</v>
      </c>
      <c r="D901">
        <v>219</v>
      </c>
      <c r="E901" s="3">
        <f>_xlfn.XLOOKUP(D901,SalesReps!A:A,SalesReps!D:D)</f>
        <v>44883</v>
      </c>
      <c r="F901" s="3" t="str">
        <f>_xlfn.XLOOKUP(Table1[[#This Row],[RepID]],SalesReps!A:A,SalesReps!E:E)</f>
        <v>Active</v>
      </c>
      <c r="G901">
        <v>306</v>
      </c>
      <c r="H901" t="str">
        <f>_xlfn.XLOOKUP(Table1[[#This Row],[ProductID]],Products!A:A,Products!B:B)</f>
        <v>Clothing</v>
      </c>
      <c r="I901" t="str">
        <f>_xlfn.XLOOKUP(Table1[[#This Row],[ProductID]],Products!A:A,Products!C:C)</f>
        <v>Men</v>
      </c>
      <c r="J901">
        <v>8</v>
      </c>
      <c r="K901" s="5">
        <f>_xlfn.XLOOKUP(Table1[[#This Row],[ProductID]],Products!A:A,Products!E:E)</f>
        <v>185.69</v>
      </c>
      <c r="L901" s="5">
        <v>193.83</v>
      </c>
      <c r="M901" s="6">
        <v>0.12</v>
      </c>
      <c r="N901" t="s">
        <v>8</v>
      </c>
      <c r="O901" s="5">
        <f t="shared" si="70"/>
        <v>170.57040000000001</v>
      </c>
      <c r="P901" s="5">
        <f t="shared" si="71"/>
        <v>1364.5632000000001</v>
      </c>
      <c r="Q901" s="5">
        <f>Table1[[#This Row],[Quantity]]*(Table1[[#This Row],[Saleprice]]-Table1[[#This Row],[Costprice]])</f>
        <v>-120.95679999999993</v>
      </c>
      <c r="R901">
        <f t="shared" si="72"/>
        <v>2023</v>
      </c>
      <c r="S901">
        <f t="shared" si="73"/>
        <v>1</v>
      </c>
      <c r="T901" t="str">
        <f t="shared" si="74"/>
        <v>January</v>
      </c>
    </row>
    <row r="902" spans="1:20" x14ac:dyDescent="0.3">
      <c r="A902" s="3">
        <v>44943</v>
      </c>
      <c r="B902">
        <v>110</v>
      </c>
      <c r="C902" s="3">
        <f>_xlfn.XLOOKUP(B902,Stores!A:A,Stores!E:E)</f>
        <v>44174</v>
      </c>
      <c r="D902">
        <v>217</v>
      </c>
      <c r="E902" s="3">
        <f>_xlfn.XLOOKUP(D902,SalesReps!A:A,SalesReps!D:D)</f>
        <v>44896</v>
      </c>
      <c r="F902" s="3" t="str">
        <f>_xlfn.XLOOKUP(Table1[[#This Row],[RepID]],SalesReps!A:A,SalesReps!E:E)</f>
        <v>Left</v>
      </c>
      <c r="G902">
        <v>301</v>
      </c>
      <c r="H902" t="str">
        <f>_xlfn.XLOOKUP(Table1[[#This Row],[ProductID]],Products!A:A,Products!B:B)</f>
        <v>Electronics</v>
      </c>
      <c r="I902" t="str">
        <f>_xlfn.XLOOKUP(Table1[[#This Row],[ProductID]],Products!A:A,Products!C:C)</f>
        <v>Mobiles</v>
      </c>
      <c r="J902">
        <v>2</v>
      </c>
      <c r="K902" s="5">
        <f>_xlfn.XLOOKUP(Table1[[#This Row],[ProductID]],Products!A:A,Products!E:E)</f>
        <v>159.16</v>
      </c>
      <c r="L902" s="5">
        <v>221.83</v>
      </c>
      <c r="M902" s="6">
        <v>0.11</v>
      </c>
      <c r="N902" t="s">
        <v>8</v>
      </c>
      <c r="O902" s="5">
        <f t="shared" si="70"/>
        <v>197.42870000000002</v>
      </c>
      <c r="P902" s="5">
        <f t="shared" si="71"/>
        <v>394.85740000000004</v>
      </c>
      <c r="Q902" s="5">
        <f>Table1[[#This Row],[Quantity]]*(Table1[[#This Row],[Saleprice]]-Table1[[#This Row],[Costprice]])</f>
        <v>76.537400000000048</v>
      </c>
      <c r="R902">
        <f t="shared" si="72"/>
        <v>2023</v>
      </c>
      <c r="S902">
        <f t="shared" si="73"/>
        <v>1</v>
      </c>
      <c r="T902" t="str">
        <f t="shared" si="74"/>
        <v>January</v>
      </c>
    </row>
    <row r="903" spans="1:20" x14ac:dyDescent="0.3">
      <c r="A903" s="3">
        <v>44944</v>
      </c>
      <c r="B903">
        <v>110</v>
      </c>
      <c r="C903" s="3">
        <f>_xlfn.XLOOKUP(B903,Stores!A:A,Stores!E:E)</f>
        <v>44174</v>
      </c>
      <c r="D903">
        <v>217</v>
      </c>
      <c r="E903" s="3">
        <f>_xlfn.XLOOKUP(D903,SalesReps!A:A,SalesReps!D:D)</f>
        <v>44896</v>
      </c>
      <c r="F903" s="3" t="str">
        <f>_xlfn.XLOOKUP(Table1[[#This Row],[RepID]],SalesReps!A:A,SalesReps!E:E)</f>
        <v>Left</v>
      </c>
      <c r="G903">
        <v>303</v>
      </c>
      <c r="H903" t="str">
        <f>_xlfn.XLOOKUP(Table1[[#This Row],[ProductID]],Products!A:A,Products!B:B)</f>
        <v>Home &amp; Kitchen</v>
      </c>
      <c r="I903" t="str">
        <f>_xlfn.XLOOKUP(Table1[[#This Row],[ProductID]],Products!A:A,Products!C:C)</f>
        <v>Furniture</v>
      </c>
      <c r="J903">
        <v>7</v>
      </c>
      <c r="K903" s="5">
        <f>_xlfn.XLOOKUP(Table1[[#This Row],[ProductID]],Products!A:A,Products!E:E)</f>
        <v>192.04</v>
      </c>
      <c r="L903" s="5">
        <v>210.28</v>
      </c>
      <c r="M903" s="6">
        <v>0.17</v>
      </c>
      <c r="N903" t="s">
        <v>8</v>
      </c>
      <c r="O903" s="5">
        <f t="shared" si="70"/>
        <v>174.5324</v>
      </c>
      <c r="P903" s="5">
        <f t="shared" si="71"/>
        <v>1221.7267999999999</v>
      </c>
      <c r="Q903" s="5">
        <f>Table1[[#This Row],[Quantity]]*(Table1[[#This Row],[Saleprice]]-Table1[[#This Row],[Costprice]])</f>
        <v>-122.55319999999998</v>
      </c>
      <c r="R903">
        <f t="shared" si="72"/>
        <v>2023</v>
      </c>
      <c r="S903">
        <f t="shared" si="73"/>
        <v>1</v>
      </c>
      <c r="T903" t="str">
        <f t="shared" si="74"/>
        <v>January</v>
      </c>
    </row>
    <row r="904" spans="1:20" x14ac:dyDescent="0.3">
      <c r="A904" s="3">
        <v>44944</v>
      </c>
      <c r="B904">
        <v>102</v>
      </c>
      <c r="C904" s="3">
        <f>_xlfn.XLOOKUP(B904,Stores!A:A,Stores!E:E)</f>
        <v>44875</v>
      </c>
      <c r="D904">
        <v>219</v>
      </c>
      <c r="E904" s="3">
        <f>_xlfn.XLOOKUP(D904,SalesReps!A:A,SalesReps!D:D)</f>
        <v>44883</v>
      </c>
      <c r="F904" s="3" t="str">
        <f>_xlfn.XLOOKUP(Table1[[#This Row],[RepID]],SalesReps!A:A,SalesReps!E:E)</f>
        <v>Active</v>
      </c>
      <c r="G904">
        <v>320</v>
      </c>
      <c r="H904" t="str">
        <f>_xlfn.XLOOKUP(Table1[[#This Row],[ProductID]],Products!A:A,Products!B:B)</f>
        <v>Toys</v>
      </c>
      <c r="I904" t="str">
        <f>_xlfn.XLOOKUP(Table1[[#This Row],[ProductID]],Products!A:A,Products!C:C)</f>
        <v>Outdoor</v>
      </c>
      <c r="J904">
        <v>7</v>
      </c>
      <c r="K904" s="5">
        <f>_xlfn.XLOOKUP(Table1[[#This Row],[ProductID]],Products!A:A,Products!E:E)</f>
        <v>304.58999999999997</v>
      </c>
      <c r="L904" s="5">
        <v>376.64</v>
      </c>
      <c r="M904" s="6">
        <v>0.24</v>
      </c>
      <c r="N904" t="s">
        <v>8</v>
      </c>
      <c r="O904" s="5">
        <f t="shared" si="70"/>
        <v>286.24639999999999</v>
      </c>
      <c r="P904" s="5">
        <f t="shared" si="71"/>
        <v>2003.7248</v>
      </c>
      <c r="Q904" s="5">
        <f>Table1[[#This Row],[Quantity]]*(Table1[[#This Row],[Saleprice]]-Table1[[#This Row],[Costprice]])</f>
        <v>-128.40519999999987</v>
      </c>
      <c r="R904">
        <f t="shared" si="72"/>
        <v>2023</v>
      </c>
      <c r="S904">
        <f t="shared" si="73"/>
        <v>1</v>
      </c>
      <c r="T904" t="str">
        <f t="shared" si="74"/>
        <v>January</v>
      </c>
    </row>
    <row r="905" spans="1:20" x14ac:dyDescent="0.3">
      <c r="A905" s="3">
        <v>44944</v>
      </c>
      <c r="B905">
        <v>110</v>
      </c>
      <c r="C905" s="3">
        <f>_xlfn.XLOOKUP(B905,Stores!A:A,Stores!E:E)</f>
        <v>44174</v>
      </c>
      <c r="D905">
        <v>217</v>
      </c>
      <c r="E905" s="3">
        <f>_xlfn.XLOOKUP(D905,SalesReps!A:A,SalesReps!D:D)</f>
        <v>44896</v>
      </c>
      <c r="F905" s="3" t="str">
        <f>_xlfn.XLOOKUP(Table1[[#This Row],[RepID]],SalesReps!A:A,SalesReps!E:E)</f>
        <v>Left</v>
      </c>
      <c r="G905">
        <v>319</v>
      </c>
      <c r="H905" t="str">
        <f>_xlfn.XLOOKUP(Table1[[#This Row],[ProductID]],Products!A:A,Products!B:B)</f>
        <v>Toys</v>
      </c>
      <c r="I905" t="str">
        <f>_xlfn.XLOOKUP(Table1[[#This Row],[ProductID]],Products!A:A,Products!C:C)</f>
        <v>Board Games</v>
      </c>
      <c r="J905">
        <v>5</v>
      </c>
      <c r="K905" s="5">
        <f>_xlfn.XLOOKUP(Table1[[#This Row],[ProductID]],Products!A:A,Products!E:E)</f>
        <v>81.069999999999993</v>
      </c>
      <c r="L905" s="5">
        <v>180.68</v>
      </c>
      <c r="M905" s="6">
        <v>0.06</v>
      </c>
      <c r="N905" t="s">
        <v>8</v>
      </c>
      <c r="O905" s="5">
        <f t="shared" si="70"/>
        <v>169.83920000000001</v>
      </c>
      <c r="P905" s="5">
        <f t="shared" si="71"/>
        <v>849.19600000000003</v>
      </c>
      <c r="Q905" s="5">
        <f>Table1[[#This Row],[Quantity]]*(Table1[[#This Row],[Saleprice]]-Table1[[#This Row],[Costprice]])</f>
        <v>443.84600000000006</v>
      </c>
      <c r="R905">
        <f t="shared" si="72"/>
        <v>2023</v>
      </c>
      <c r="S905">
        <f t="shared" si="73"/>
        <v>1</v>
      </c>
      <c r="T905" t="str">
        <f t="shared" si="74"/>
        <v>January</v>
      </c>
    </row>
    <row r="906" spans="1:20" x14ac:dyDescent="0.3">
      <c r="A906" s="3">
        <v>44945</v>
      </c>
      <c r="B906">
        <v>102</v>
      </c>
      <c r="C906" s="3">
        <f>_xlfn.XLOOKUP(B906,Stores!A:A,Stores!E:E)</f>
        <v>44875</v>
      </c>
      <c r="D906">
        <v>219</v>
      </c>
      <c r="E906" s="3">
        <f>_xlfn.XLOOKUP(D906,SalesReps!A:A,SalesReps!D:D)</f>
        <v>44883</v>
      </c>
      <c r="F906" s="3" t="str">
        <f>_xlfn.XLOOKUP(Table1[[#This Row],[RepID]],SalesReps!A:A,SalesReps!E:E)</f>
        <v>Active</v>
      </c>
      <c r="G906">
        <v>317</v>
      </c>
      <c r="H906" t="str">
        <f>_xlfn.XLOOKUP(Table1[[#This Row],[ProductID]],Products!A:A,Products!B:B)</f>
        <v>Toys</v>
      </c>
      <c r="I906" t="str">
        <f>_xlfn.XLOOKUP(Table1[[#This Row],[ProductID]],Products!A:A,Products!C:C)</f>
        <v>Educational</v>
      </c>
      <c r="J906">
        <v>9</v>
      </c>
      <c r="K906" s="5">
        <f>_xlfn.XLOOKUP(Table1[[#This Row],[ProductID]],Products!A:A,Products!E:E)</f>
        <v>77.61</v>
      </c>
      <c r="L906" s="5">
        <v>108.64</v>
      </c>
      <c r="M906" s="6">
        <v>0.09</v>
      </c>
      <c r="N906" t="s">
        <v>8</v>
      </c>
      <c r="O906" s="5">
        <f t="shared" si="70"/>
        <v>98.862400000000008</v>
      </c>
      <c r="P906" s="5">
        <f t="shared" si="71"/>
        <v>889.76160000000004</v>
      </c>
      <c r="Q906" s="5">
        <f>Table1[[#This Row],[Quantity]]*(Table1[[#This Row],[Saleprice]]-Table1[[#This Row],[Costprice]])</f>
        <v>191.27160000000009</v>
      </c>
      <c r="R906">
        <f t="shared" si="72"/>
        <v>2023</v>
      </c>
      <c r="S906">
        <f t="shared" si="73"/>
        <v>1</v>
      </c>
      <c r="T906" t="str">
        <f t="shared" si="74"/>
        <v>January</v>
      </c>
    </row>
    <row r="907" spans="1:20" x14ac:dyDescent="0.3">
      <c r="A907" s="3">
        <v>44945</v>
      </c>
      <c r="B907">
        <v>107</v>
      </c>
      <c r="C907" s="3">
        <f>_xlfn.XLOOKUP(B907,Stores!A:A,Stores!E:E)</f>
        <v>44702</v>
      </c>
      <c r="D907">
        <v>215</v>
      </c>
      <c r="E907" s="3">
        <f>_xlfn.XLOOKUP(D907,SalesReps!A:A,SalesReps!D:D)</f>
        <v>44878</v>
      </c>
      <c r="F907" s="3" t="str">
        <f>_xlfn.XLOOKUP(Table1[[#This Row],[RepID]],SalesReps!A:A,SalesReps!E:E)</f>
        <v>Active</v>
      </c>
      <c r="G907">
        <v>314</v>
      </c>
      <c r="H907" t="str">
        <f>_xlfn.XLOOKUP(Table1[[#This Row],[ProductID]],Products!A:A,Products!B:B)</f>
        <v>Clothing</v>
      </c>
      <c r="I907" t="str">
        <f>_xlfn.XLOOKUP(Table1[[#This Row],[ProductID]],Products!A:A,Products!C:C)</f>
        <v>Kids</v>
      </c>
      <c r="J907">
        <v>6</v>
      </c>
      <c r="K907" s="5">
        <f>_xlfn.XLOOKUP(Table1[[#This Row],[ProductID]],Products!A:A,Products!E:E)</f>
        <v>276.47000000000003</v>
      </c>
      <c r="L907" s="5">
        <v>323.49</v>
      </c>
      <c r="M907" s="6">
        <v>0.1</v>
      </c>
      <c r="N907" t="s">
        <v>8</v>
      </c>
      <c r="O907" s="5">
        <f t="shared" si="70"/>
        <v>291.14100000000002</v>
      </c>
      <c r="P907" s="5">
        <f t="shared" si="71"/>
        <v>1746.846</v>
      </c>
      <c r="Q907" s="5">
        <f>Table1[[#This Row],[Quantity]]*(Table1[[#This Row],[Saleprice]]-Table1[[#This Row],[Costprice]])</f>
        <v>88.025999999999954</v>
      </c>
      <c r="R907">
        <f t="shared" si="72"/>
        <v>2023</v>
      </c>
      <c r="S907">
        <f t="shared" si="73"/>
        <v>1</v>
      </c>
      <c r="T907" t="str">
        <f t="shared" si="74"/>
        <v>January</v>
      </c>
    </row>
    <row r="908" spans="1:20" x14ac:dyDescent="0.3">
      <c r="A908" s="3">
        <v>44945</v>
      </c>
      <c r="B908">
        <v>102</v>
      </c>
      <c r="C908" s="3">
        <f>_xlfn.XLOOKUP(B908,Stores!A:A,Stores!E:E)</f>
        <v>44875</v>
      </c>
      <c r="D908">
        <v>219</v>
      </c>
      <c r="E908" s="3">
        <f>_xlfn.XLOOKUP(D908,SalesReps!A:A,SalesReps!D:D)</f>
        <v>44883</v>
      </c>
      <c r="F908" s="3" t="str">
        <f>_xlfn.XLOOKUP(Table1[[#This Row],[RepID]],SalesReps!A:A,SalesReps!E:E)</f>
        <v>Active</v>
      </c>
      <c r="G908">
        <v>312</v>
      </c>
      <c r="H908" t="str">
        <f>_xlfn.XLOOKUP(Table1[[#This Row],[ProductID]],Products!A:A,Products!B:B)</f>
        <v>Toys</v>
      </c>
      <c r="I908" t="str">
        <f>_xlfn.XLOOKUP(Table1[[#This Row],[ProductID]],Products!A:A,Products!C:C)</f>
        <v>Board Games</v>
      </c>
      <c r="J908">
        <v>7</v>
      </c>
      <c r="K908" s="5">
        <f>_xlfn.XLOOKUP(Table1[[#This Row],[ProductID]],Products!A:A,Products!E:E)</f>
        <v>100.05</v>
      </c>
      <c r="L908" s="5">
        <v>157.57</v>
      </c>
      <c r="M908" s="6">
        <v>0.11</v>
      </c>
      <c r="N908" t="s">
        <v>8</v>
      </c>
      <c r="O908" s="5">
        <f t="shared" si="70"/>
        <v>140.2373</v>
      </c>
      <c r="P908" s="5">
        <f t="shared" si="71"/>
        <v>981.66110000000003</v>
      </c>
      <c r="Q908" s="5">
        <f>Table1[[#This Row],[Quantity]]*(Table1[[#This Row],[Saleprice]]-Table1[[#This Row],[Costprice]])</f>
        <v>281.31110000000007</v>
      </c>
      <c r="R908">
        <f t="shared" si="72"/>
        <v>2023</v>
      </c>
      <c r="S908">
        <f t="shared" si="73"/>
        <v>1</v>
      </c>
      <c r="T908" t="str">
        <f t="shared" si="74"/>
        <v>January</v>
      </c>
    </row>
    <row r="909" spans="1:20" x14ac:dyDescent="0.3">
      <c r="A909" s="3">
        <v>44945</v>
      </c>
      <c r="B909">
        <v>107</v>
      </c>
      <c r="C909" s="3">
        <f>_xlfn.XLOOKUP(B909,Stores!A:A,Stores!E:E)</f>
        <v>44702</v>
      </c>
      <c r="D909">
        <v>215</v>
      </c>
      <c r="E909" s="3">
        <f>_xlfn.XLOOKUP(D909,SalesReps!A:A,SalesReps!D:D)</f>
        <v>44878</v>
      </c>
      <c r="F909" s="3" t="str">
        <f>_xlfn.XLOOKUP(Table1[[#This Row],[RepID]],SalesReps!A:A,SalesReps!E:E)</f>
        <v>Active</v>
      </c>
      <c r="G909">
        <v>315</v>
      </c>
      <c r="H909" t="str">
        <f>_xlfn.XLOOKUP(Table1[[#This Row],[ProductID]],Products!A:A,Products!B:B)</f>
        <v>Toys</v>
      </c>
      <c r="I909" t="str">
        <f>_xlfn.XLOOKUP(Table1[[#This Row],[ProductID]],Products!A:A,Products!C:C)</f>
        <v>Board Games</v>
      </c>
      <c r="J909">
        <v>9</v>
      </c>
      <c r="K909" s="5">
        <f>_xlfn.XLOOKUP(Table1[[#This Row],[ProductID]],Products!A:A,Products!E:E)</f>
        <v>247.9</v>
      </c>
      <c r="L909" s="5">
        <v>254.53</v>
      </c>
      <c r="M909" s="6">
        <v>0.2</v>
      </c>
      <c r="N909" t="s">
        <v>8</v>
      </c>
      <c r="O909" s="5">
        <f t="shared" si="70"/>
        <v>203.62400000000002</v>
      </c>
      <c r="P909" s="5">
        <f t="shared" si="71"/>
        <v>1832.6160000000002</v>
      </c>
      <c r="Q909" s="5">
        <f>Table1[[#This Row],[Quantity]]*(Table1[[#This Row],[Saleprice]]-Table1[[#This Row],[Costprice]])</f>
        <v>-398.48399999999981</v>
      </c>
      <c r="R909">
        <f t="shared" si="72"/>
        <v>2023</v>
      </c>
      <c r="S909">
        <f t="shared" si="73"/>
        <v>1</v>
      </c>
      <c r="T909" t="str">
        <f t="shared" si="74"/>
        <v>January</v>
      </c>
    </row>
    <row r="910" spans="1:20" x14ac:dyDescent="0.3">
      <c r="A910" s="3">
        <v>44946</v>
      </c>
      <c r="B910">
        <v>102</v>
      </c>
      <c r="C910" s="3">
        <f>_xlfn.XLOOKUP(B910,Stores!A:A,Stores!E:E)</f>
        <v>44875</v>
      </c>
      <c r="D910">
        <v>219</v>
      </c>
      <c r="E910" s="3">
        <f>_xlfn.XLOOKUP(D910,SalesReps!A:A,SalesReps!D:D)</f>
        <v>44883</v>
      </c>
      <c r="F910" s="3" t="str">
        <f>_xlfn.XLOOKUP(Table1[[#This Row],[RepID]],SalesReps!A:A,SalesReps!E:E)</f>
        <v>Active</v>
      </c>
      <c r="G910">
        <v>317</v>
      </c>
      <c r="H910" t="str">
        <f>_xlfn.XLOOKUP(Table1[[#This Row],[ProductID]],Products!A:A,Products!B:B)</f>
        <v>Toys</v>
      </c>
      <c r="I910" t="str">
        <f>_xlfn.XLOOKUP(Table1[[#This Row],[ProductID]],Products!A:A,Products!C:C)</f>
        <v>Educational</v>
      </c>
      <c r="J910">
        <v>9</v>
      </c>
      <c r="K910" s="5">
        <f>_xlfn.XLOOKUP(Table1[[#This Row],[ProductID]],Products!A:A,Products!E:E)</f>
        <v>77.61</v>
      </c>
      <c r="L910" s="5">
        <v>108.64</v>
      </c>
      <c r="M910" s="6">
        <v>0.09</v>
      </c>
      <c r="N910" t="s">
        <v>8</v>
      </c>
      <c r="O910" s="5">
        <f t="shared" si="70"/>
        <v>98.862400000000008</v>
      </c>
      <c r="P910" s="5">
        <f t="shared" si="71"/>
        <v>889.76160000000004</v>
      </c>
      <c r="Q910" s="5">
        <f>Table1[[#This Row],[Quantity]]*(Table1[[#This Row],[Saleprice]]-Table1[[#This Row],[Costprice]])</f>
        <v>191.27160000000009</v>
      </c>
      <c r="R910">
        <f t="shared" si="72"/>
        <v>2023</v>
      </c>
      <c r="S910">
        <f t="shared" si="73"/>
        <v>1</v>
      </c>
      <c r="T910" t="str">
        <f t="shared" si="74"/>
        <v>January</v>
      </c>
    </row>
    <row r="911" spans="1:20" x14ac:dyDescent="0.3">
      <c r="A911" s="3">
        <v>44946</v>
      </c>
      <c r="B911">
        <v>110</v>
      </c>
      <c r="C911" s="3">
        <f>_xlfn.XLOOKUP(B911,Stores!A:A,Stores!E:E)</f>
        <v>44174</v>
      </c>
      <c r="D911">
        <v>217</v>
      </c>
      <c r="E911" s="3">
        <f>_xlfn.XLOOKUP(D911,SalesReps!A:A,SalesReps!D:D)</f>
        <v>44896</v>
      </c>
      <c r="F911" s="3" t="str">
        <f>_xlfn.XLOOKUP(Table1[[#This Row],[RepID]],SalesReps!A:A,SalesReps!E:E)</f>
        <v>Left</v>
      </c>
      <c r="G911">
        <v>308</v>
      </c>
      <c r="H911" t="str">
        <f>_xlfn.XLOOKUP(Table1[[#This Row],[ProductID]],Products!A:A,Products!B:B)</f>
        <v>Home &amp; Kitchen</v>
      </c>
      <c r="I911" t="str">
        <f>_xlfn.XLOOKUP(Table1[[#This Row],[ProductID]],Products!A:A,Products!C:C)</f>
        <v>Furniture</v>
      </c>
      <c r="J911">
        <v>5</v>
      </c>
      <c r="K911" s="5">
        <f>_xlfn.XLOOKUP(Table1[[#This Row],[ProductID]],Products!A:A,Products!E:E)</f>
        <v>377.46</v>
      </c>
      <c r="L911" s="5">
        <v>437.63</v>
      </c>
      <c r="M911" s="6">
        <v>0.12</v>
      </c>
      <c r="N911" t="s">
        <v>8</v>
      </c>
      <c r="O911" s="5">
        <f t="shared" si="70"/>
        <v>385.11439999999999</v>
      </c>
      <c r="P911" s="5">
        <f t="shared" si="71"/>
        <v>1925.5719999999999</v>
      </c>
      <c r="Q911" s="5">
        <f>Table1[[#This Row],[Quantity]]*(Table1[[#This Row],[Saleprice]]-Table1[[#This Row],[Costprice]])</f>
        <v>38.272000000000048</v>
      </c>
      <c r="R911">
        <f t="shared" si="72"/>
        <v>2023</v>
      </c>
      <c r="S911">
        <f t="shared" si="73"/>
        <v>1</v>
      </c>
      <c r="T911" t="str">
        <f t="shared" si="74"/>
        <v>January</v>
      </c>
    </row>
    <row r="912" spans="1:20" x14ac:dyDescent="0.3">
      <c r="A912" s="3">
        <v>44946</v>
      </c>
      <c r="B912">
        <v>110</v>
      </c>
      <c r="C912" s="3">
        <f>_xlfn.XLOOKUP(B912,Stores!A:A,Stores!E:E)</f>
        <v>44174</v>
      </c>
      <c r="D912">
        <v>217</v>
      </c>
      <c r="E912" s="3">
        <f>_xlfn.XLOOKUP(D912,SalesReps!A:A,SalesReps!D:D)</f>
        <v>44896</v>
      </c>
      <c r="F912" s="3" t="str">
        <f>_xlfn.XLOOKUP(Table1[[#This Row],[RepID]],SalesReps!A:A,SalesReps!E:E)</f>
        <v>Left</v>
      </c>
      <c r="G912">
        <v>317</v>
      </c>
      <c r="H912" t="str">
        <f>_xlfn.XLOOKUP(Table1[[#This Row],[ProductID]],Products!A:A,Products!B:B)</f>
        <v>Toys</v>
      </c>
      <c r="I912" t="str">
        <f>_xlfn.XLOOKUP(Table1[[#This Row],[ProductID]],Products!A:A,Products!C:C)</f>
        <v>Educational</v>
      </c>
      <c r="J912">
        <v>3</v>
      </c>
      <c r="K912" s="5">
        <f>_xlfn.XLOOKUP(Table1[[#This Row],[ProductID]],Products!A:A,Products!E:E)</f>
        <v>77.61</v>
      </c>
      <c r="L912" s="5">
        <v>122.31</v>
      </c>
      <c r="M912" s="6">
        <v>0.24</v>
      </c>
      <c r="N912" t="s">
        <v>8</v>
      </c>
      <c r="O912" s="5">
        <f t="shared" si="70"/>
        <v>92.955600000000004</v>
      </c>
      <c r="P912" s="5">
        <f t="shared" si="71"/>
        <v>278.86680000000001</v>
      </c>
      <c r="Q912" s="5">
        <f>Table1[[#This Row],[Quantity]]*(Table1[[#This Row],[Saleprice]]-Table1[[#This Row],[Costprice]])</f>
        <v>46.036800000000014</v>
      </c>
      <c r="R912">
        <f t="shared" si="72"/>
        <v>2023</v>
      </c>
      <c r="S912">
        <f t="shared" si="73"/>
        <v>1</v>
      </c>
      <c r="T912" t="str">
        <f t="shared" si="74"/>
        <v>January</v>
      </c>
    </row>
    <row r="913" spans="1:20" x14ac:dyDescent="0.3">
      <c r="A913" s="3">
        <v>44946</v>
      </c>
      <c r="B913">
        <v>110</v>
      </c>
      <c r="C913" s="3">
        <f>_xlfn.XLOOKUP(B913,Stores!A:A,Stores!E:E)</f>
        <v>44174</v>
      </c>
      <c r="D913">
        <v>217</v>
      </c>
      <c r="E913" s="3">
        <f>_xlfn.XLOOKUP(D913,SalesReps!A:A,SalesReps!D:D)</f>
        <v>44896</v>
      </c>
      <c r="F913" s="3" t="str">
        <f>_xlfn.XLOOKUP(Table1[[#This Row],[RepID]],SalesReps!A:A,SalesReps!E:E)</f>
        <v>Left</v>
      </c>
      <c r="G913">
        <v>303</v>
      </c>
      <c r="H913" t="str">
        <f>_xlfn.XLOOKUP(Table1[[#This Row],[ProductID]],Products!A:A,Products!B:B)</f>
        <v>Home &amp; Kitchen</v>
      </c>
      <c r="I913" t="str">
        <f>_xlfn.XLOOKUP(Table1[[#This Row],[ProductID]],Products!A:A,Products!C:C)</f>
        <v>Furniture</v>
      </c>
      <c r="J913">
        <v>5</v>
      </c>
      <c r="K913" s="5">
        <f>_xlfn.XLOOKUP(Table1[[#This Row],[ProductID]],Products!A:A,Products!E:E)</f>
        <v>192.04</v>
      </c>
      <c r="L913" s="5">
        <v>210.28</v>
      </c>
      <c r="M913" s="6">
        <v>0.17</v>
      </c>
      <c r="N913" t="s">
        <v>8</v>
      </c>
      <c r="O913" s="5">
        <f t="shared" si="70"/>
        <v>174.5324</v>
      </c>
      <c r="P913" s="5">
        <f t="shared" si="71"/>
        <v>872.66200000000003</v>
      </c>
      <c r="Q913" s="5">
        <f>Table1[[#This Row],[Quantity]]*(Table1[[#This Row],[Saleprice]]-Table1[[#This Row],[Costprice]])</f>
        <v>-87.537999999999982</v>
      </c>
      <c r="R913">
        <f t="shared" si="72"/>
        <v>2023</v>
      </c>
      <c r="S913">
        <f t="shared" si="73"/>
        <v>1</v>
      </c>
      <c r="T913" t="str">
        <f t="shared" si="74"/>
        <v>January</v>
      </c>
    </row>
    <row r="914" spans="1:20" x14ac:dyDescent="0.3">
      <c r="A914" s="3">
        <v>44947</v>
      </c>
      <c r="B914">
        <v>102</v>
      </c>
      <c r="C914" s="3">
        <f>_xlfn.XLOOKUP(B914,Stores!A:A,Stores!E:E)</f>
        <v>44875</v>
      </c>
      <c r="D914">
        <v>219</v>
      </c>
      <c r="E914" s="3">
        <f>_xlfn.XLOOKUP(D914,SalesReps!A:A,SalesReps!D:D)</f>
        <v>44883</v>
      </c>
      <c r="F914" s="3" t="str">
        <f>_xlfn.XLOOKUP(Table1[[#This Row],[RepID]],SalesReps!A:A,SalesReps!E:E)</f>
        <v>Active</v>
      </c>
      <c r="G914">
        <v>318</v>
      </c>
      <c r="H914" t="str">
        <f>_xlfn.XLOOKUP(Table1[[#This Row],[ProductID]],Products!A:A,Products!B:B)</f>
        <v>Electronics</v>
      </c>
      <c r="I914" t="str">
        <f>_xlfn.XLOOKUP(Table1[[#This Row],[ProductID]],Products!A:A,Products!C:C)</f>
        <v>Mobiles</v>
      </c>
      <c r="J914">
        <v>8</v>
      </c>
      <c r="K914" s="5">
        <f>_xlfn.XLOOKUP(Table1[[#This Row],[ProductID]],Products!A:A,Products!E:E)</f>
        <v>162.51</v>
      </c>
      <c r="L914" s="5">
        <v>221.52</v>
      </c>
      <c r="M914" s="6">
        <v>0.17</v>
      </c>
      <c r="N914" t="s">
        <v>8</v>
      </c>
      <c r="O914" s="5">
        <f t="shared" si="70"/>
        <v>183.86160000000001</v>
      </c>
      <c r="P914" s="5">
        <f t="shared" si="71"/>
        <v>1470.8928000000001</v>
      </c>
      <c r="Q914" s="5">
        <f>Table1[[#This Row],[Quantity]]*(Table1[[#This Row],[Saleprice]]-Table1[[#This Row],[Costprice]])</f>
        <v>170.81280000000015</v>
      </c>
      <c r="R914">
        <f t="shared" si="72"/>
        <v>2023</v>
      </c>
      <c r="S914">
        <f t="shared" si="73"/>
        <v>1</v>
      </c>
      <c r="T914" t="str">
        <f t="shared" si="74"/>
        <v>January</v>
      </c>
    </row>
    <row r="915" spans="1:20" x14ac:dyDescent="0.3">
      <c r="A915" s="3">
        <v>44947</v>
      </c>
      <c r="B915">
        <v>102</v>
      </c>
      <c r="C915" s="3">
        <f>_xlfn.XLOOKUP(B915,Stores!A:A,Stores!E:E)</f>
        <v>44875</v>
      </c>
      <c r="D915">
        <v>219</v>
      </c>
      <c r="E915" s="3">
        <f>_xlfn.XLOOKUP(D915,SalesReps!A:A,SalesReps!D:D)</f>
        <v>44883</v>
      </c>
      <c r="F915" s="3" t="str">
        <f>_xlfn.XLOOKUP(Table1[[#This Row],[RepID]],SalesReps!A:A,SalesReps!E:E)</f>
        <v>Active</v>
      </c>
      <c r="G915">
        <v>320</v>
      </c>
      <c r="H915" t="str">
        <f>_xlfn.XLOOKUP(Table1[[#This Row],[ProductID]],Products!A:A,Products!B:B)</f>
        <v>Toys</v>
      </c>
      <c r="I915" t="str">
        <f>_xlfn.XLOOKUP(Table1[[#This Row],[ProductID]],Products!A:A,Products!C:C)</f>
        <v>Outdoor</v>
      </c>
      <c r="J915">
        <v>2</v>
      </c>
      <c r="K915" s="5">
        <f>_xlfn.XLOOKUP(Table1[[#This Row],[ProductID]],Products!A:A,Products!E:E)</f>
        <v>304.58999999999997</v>
      </c>
      <c r="L915" s="5">
        <v>376.64</v>
      </c>
      <c r="M915" s="6">
        <v>0.24</v>
      </c>
      <c r="N915" t="s">
        <v>8</v>
      </c>
      <c r="O915" s="5">
        <f t="shared" si="70"/>
        <v>286.24639999999999</v>
      </c>
      <c r="P915" s="5">
        <f t="shared" si="71"/>
        <v>572.49279999999999</v>
      </c>
      <c r="Q915" s="5">
        <f>Table1[[#This Row],[Quantity]]*(Table1[[#This Row],[Saleprice]]-Table1[[#This Row],[Costprice]])</f>
        <v>-36.687199999999962</v>
      </c>
      <c r="R915">
        <f t="shared" si="72"/>
        <v>2023</v>
      </c>
      <c r="S915">
        <f t="shared" si="73"/>
        <v>1</v>
      </c>
      <c r="T915" t="str">
        <f t="shared" si="74"/>
        <v>January</v>
      </c>
    </row>
    <row r="916" spans="1:20" x14ac:dyDescent="0.3">
      <c r="A916" s="3">
        <v>44948</v>
      </c>
      <c r="B916">
        <v>110</v>
      </c>
      <c r="C916" s="3">
        <f>_xlfn.XLOOKUP(B916,Stores!A:A,Stores!E:E)</f>
        <v>44174</v>
      </c>
      <c r="D916">
        <v>217</v>
      </c>
      <c r="E916" s="3">
        <f>_xlfn.XLOOKUP(D916,SalesReps!A:A,SalesReps!D:D)</f>
        <v>44896</v>
      </c>
      <c r="F916" s="3" t="str">
        <f>_xlfn.XLOOKUP(Table1[[#This Row],[RepID]],SalesReps!A:A,SalesReps!E:E)</f>
        <v>Left</v>
      </c>
      <c r="G916">
        <v>319</v>
      </c>
      <c r="H916" t="str">
        <f>_xlfn.XLOOKUP(Table1[[#This Row],[ProductID]],Products!A:A,Products!B:B)</f>
        <v>Toys</v>
      </c>
      <c r="I916" t="str">
        <f>_xlfn.XLOOKUP(Table1[[#This Row],[ProductID]],Products!A:A,Products!C:C)</f>
        <v>Board Games</v>
      </c>
      <c r="J916">
        <v>6</v>
      </c>
      <c r="K916" s="5">
        <f>_xlfn.XLOOKUP(Table1[[#This Row],[ProductID]],Products!A:A,Products!E:E)</f>
        <v>81.069999999999993</v>
      </c>
      <c r="L916" s="5">
        <v>180.68</v>
      </c>
      <c r="M916" s="6">
        <v>0.06</v>
      </c>
      <c r="N916" t="s">
        <v>8</v>
      </c>
      <c r="O916" s="5">
        <f t="shared" si="70"/>
        <v>169.83920000000001</v>
      </c>
      <c r="P916" s="5">
        <f t="shared" si="71"/>
        <v>1019.0352</v>
      </c>
      <c r="Q916" s="5">
        <f>Table1[[#This Row],[Quantity]]*(Table1[[#This Row],[Saleprice]]-Table1[[#This Row],[Costprice]])</f>
        <v>532.61520000000007</v>
      </c>
      <c r="R916">
        <f t="shared" si="72"/>
        <v>2023</v>
      </c>
      <c r="S916">
        <f t="shared" si="73"/>
        <v>1</v>
      </c>
      <c r="T916" t="str">
        <f t="shared" si="74"/>
        <v>January</v>
      </c>
    </row>
    <row r="917" spans="1:20" x14ac:dyDescent="0.3">
      <c r="A917" s="3">
        <v>44948</v>
      </c>
      <c r="B917">
        <v>102</v>
      </c>
      <c r="C917" s="3">
        <f>_xlfn.XLOOKUP(B917,Stores!A:A,Stores!E:E)</f>
        <v>44875</v>
      </c>
      <c r="D917">
        <v>219</v>
      </c>
      <c r="E917" s="3">
        <f>_xlfn.XLOOKUP(D917,SalesReps!A:A,SalesReps!D:D)</f>
        <v>44883</v>
      </c>
      <c r="F917" s="3" t="str">
        <f>_xlfn.XLOOKUP(Table1[[#This Row],[RepID]],SalesReps!A:A,SalesReps!E:E)</f>
        <v>Active</v>
      </c>
      <c r="G917">
        <v>309</v>
      </c>
      <c r="H917" t="str">
        <f>_xlfn.XLOOKUP(Table1[[#This Row],[ProductID]],Products!A:A,Products!B:B)</f>
        <v>Electronics</v>
      </c>
      <c r="I917" t="str">
        <f>_xlfn.XLOOKUP(Table1[[#This Row],[ProductID]],Products!A:A,Products!C:C)</f>
        <v>Laptops</v>
      </c>
      <c r="J917">
        <v>4</v>
      </c>
      <c r="K917" s="5">
        <f>_xlfn.XLOOKUP(Table1[[#This Row],[ProductID]],Products!A:A,Products!E:E)</f>
        <v>229.68</v>
      </c>
      <c r="L917" s="5">
        <v>261.64999999999998</v>
      </c>
      <c r="M917" s="6">
        <v>0.11</v>
      </c>
      <c r="N917" t="s">
        <v>8</v>
      </c>
      <c r="O917" s="5">
        <f t="shared" si="70"/>
        <v>232.86849999999998</v>
      </c>
      <c r="P917" s="5">
        <f t="shared" si="71"/>
        <v>931.47399999999993</v>
      </c>
      <c r="Q917" s="5">
        <f>Table1[[#This Row],[Quantity]]*(Table1[[#This Row],[Saleprice]]-Table1[[#This Row],[Costprice]])</f>
        <v>12.753999999999905</v>
      </c>
      <c r="R917">
        <f t="shared" si="72"/>
        <v>2023</v>
      </c>
      <c r="S917">
        <f t="shared" si="73"/>
        <v>1</v>
      </c>
      <c r="T917" t="str">
        <f t="shared" si="74"/>
        <v>January</v>
      </c>
    </row>
    <row r="918" spans="1:20" x14ac:dyDescent="0.3">
      <c r="A918" s="3">
        <v>44948</v>
      </c>
      <c r="B918">
        <v>107</v>
      </c>
      <c r="C918" s="3">
        <f>_xlfn.XLOOKUP(B918,Stores!A:A,Stores!E:E)</f>
        <v>44702</v>
      </c>
      <c r="D918">
        <v>215</v>
      </c>
      <c r="E918" s="3">
        <f>_xlfn.XLOOKUP(D918,SalesReps!A:A,SalesReps!D:D)</f>
        <v>44878</v>
      </c>
      <c r="F918" s="3" t="str">
        <f>_xlfn.XLOOKUP(Table1[[#This Row],[RepID]],SalesReps!A:A,SalesReps!E:E)</f>
        <v>Active</v>
      </c>
      <c r="G918">
        <v>317</v>
      </c>
      <c r="H918" t="str">
        <f>_xlfn.XLOOKUP(Table1[[#This Row],[ProductID]],Products!A:A,Products!B:B)</f>
        <v>Toys</v>
      </c>
      <c r="I918" t="str">
        <f>_xlfn.XLOOKUP(Table1[[#This Row],[ProductID]],Products!A:A,Products!C:C)</f>
        <v>Educational</v>
      </c>
      <c r="J918">
        <v>7</v>
      </c>
      <c r="K918" s="5">
        <f>_xlfn.XLOOKUP(Table1[[#This Row],[ProductID]],Products!A:A,Products!E:E)</f>
        <v>77.61</v>
      </c>
      <c r="L918" s="5">
        <v>107.38</v>
      </c>
      <c r="M918" s="6">
        <v>0.15</v>
      </c>
      <c r="N918" t="s">
        <v>8</v>
      </c>
      <c r="O918" s="5">
        <f t="shared" si="70"/>
        <v>91.272999999999996</v>
      </c>
      <c r="P918" s="5">
        <f t="shared" si="71"/>
        <v>638.91099999999994</v>
      </c>
      <c r="Q918" s="5">
        <f>Table1[[#This Row],[Quantity]]*(Table1[[#This Row],[Saleprice]]-Table1[[#This Row],[Costprice]])</f>
        <v>95.640999999999977</v>
      </c>
      <c r="R918">
        <f t="shared" si="72"/>
        <v>2023</v>
      </c>
      <c r="S918">
        <f t="shared" si="73"/>
        <v>1</v>
      </c>
      <c r="T918" t="str">
        <f t="shared" si="74"/>
        <v>January</v>
      </c>
    </row>
    <row r="919" spans="1:20" x14ac:dyDescent="0.3">
      <c r="A919" s="3">
        <v>44948</v>
      </c>
      <c r="B919">
        <v>110</v>
      </c>
      <c r="C919" s="3">
        <f>_xlfn.XLOOKUP(B919,Stores!A:A,Stores!E:E)</f>
        <v>44174</v>
      </c>
      <c r="D919">
        <v>217</v>
      </c>
      <c r="E919" s="3">
        <f>_xlfn.XLOOKUP(D919,SalesReps!A:A,SalesReps!D:D)</f>
        <v>44896</v>
      </c>
      <c r="F919" s="3" t="str">
        <f>_xlfn.XLOOKUP(Table1[[#This Row],[RepID]],SalesReps!A:A,SalesReps!E:E)</f>
        <v>Left</v>
      </c>
      <c r="G919">
        <v>309</v>
      </c>
      <c r="H919" t="str">
        <f>_xlfn.XLOOKUP(Table1[[#This Row],[ProductID]],Products!A:A,Products!B:B)</f>
        <v>Electronics</v>
      </c>
      <c r="I919" t="str">
        <f>_xlfn.XLOOKUP(Table1[[#This Row],[ProductID]],Products!A:A,Products!C:C)</f>
        <v>Laptops</v>
      </c>
      <c r="J919">
        <v>2</v>
      </c>
      <c r="K919" s="5">
        <f>_xlfn.XLOOKUP(Table1[[#This Row],[ProductID]],Products!A:A,Products!E:E)</f>
        <v>229.68</v>
      </c>
      <c r="L919" s="5">
        <v>258.47000000000003</v>
      </c>
      <c r="M919" s="6">
        <v>0.17</v>
      </c>
      <c r="N919" t="s">
        <v>8</v>
      </c>
      <c r="O919" s="5">
        <f t="shared" si="70"/>
        <v>214.5301</v>
      </c>
      <c r="P919" s="5">
        <f t="shared" si="71"/>
        <v>429.06020000000001</v>
      </c>
      <c r="Q919" s="5">
        <f>Table1[[#This Row],[Quantity]]*(Table1[[#This Row],[Saleprice]]-Table1[[#This Row],[Costprice]])</f>
        <v>-30.299800000000005</v>
      </c>
      <c r="R919">
        <f t="shared" si="72"/>
        <v>2023</v>
      </c>
      <c r="S919">
        <f t="shared" si="73"/>
        <v>1</v>
      </c>
      <c r="T919" t="str">
        <f t="shared" si="74"/>
        <v>January</v>
      </c>
    </row>
    <row r="920" spans="1:20" x14ac:dyDescent="0.3">
      <c r="A920" s="3">
        <v>44948</v>
      </c>
      <c r="B920">
        <v>110</v>
      </c>
      <c r="C920" s="3">
        <f>_xlfn.XLOOKUP(B920,Stores!A:A,Stores!E:E)</f>
        <v>44174</v>
      </c>
      <c r="D920">
        <v>217</v>
      </c>
      <c r="E920" s="3">
        <f>_xlfn.XLOOKUP(D920,SalesReps!A:A,SalesReps!D:D)</f>
        <v>44896</v>
      </c>
      <c r="F920" s="3" t="str">
        <f>_xlfn.XLOOKUP(Table1[[#This Row],[RepID]],SalesReps!A:A,SalesReps!E:E)</f>
        <v>Left</v>
      </c>
      <c r="G920">
        <v>301</v>
      </c>
      <c r="H920" t="str">
        <f>_xlfn.XLOOKUP(Table1[[#This Row],[ProductID]],Products!A:A,Products!B:B)</f>
        <v>Electronics</v>
      </c>
      <c r="I920" t="str">
        <f>_xlfn.XLOOKUP(Table1[[#This Row],[ProductID]],Products!A:A,Products!C:C)</f>
        <v>Mobiles</v>
      </c>
      <c r="J920">
        <v>4</v>
      </c>
      <c r="K920" s="5">
        <f>_xlfn.XLOOKUP(Table1[[#This Row],[ProductID]],Products!A:A,Products!E:E)</f>
        <v>159.16</v>
      </c>
      <c r="L920" s="5">
        <v>221.83</v>
      </c>
      <c r="M920" s="6">
        <v>0.11</v>
      </c>
      <c r="N920" t="s">
        <v>8</v>
      </c>
      <c r="O920" s="5">
        <f t="shared" si="70"/>
        <v>197.42870000000002</v>
      </c>
      <c r="P920" s="5">
        <f t="shared" si="71"/>
        <v>789.71480000000008</v>
      </c>
      <c r="Q920" s="5">
        <f>Table1[[#This Row],[Quantity]]*(Table1[[#This Row],[Saleprice]]-Table1[[#This Row],[Costprice]])</f>
        <v>153.0748000000001</v>
      </c>
      <c r="R920">
        <f t="shared" si="72"/>
        <v>2023</v>
      </c>
      <c r="S920">
        <f t="shared" si="73"/>
        <v>1</v>
      </c>
      <c r="T920" t="str">
        <f t="shared" si="74"/>
        <v>January</v>
      </c>
    </row>
    <row r="921" spans="1:20" x14ac:dyDescent="0.3">
      <c r="A921" s="3">
        <v>44949</v>
      </c>
      <c r="B921">
        <v>102</v>
      </c>
      <c r="C921" s="3">
        <f>_xlfn.XLOOKUP(B921,Stores!A:A,Stores!E:E)</f>
        <v>44875</v>
      </c>
      <c r="D921">
        <v>219</v>
      </c>
      <c r="E921" s="3">
        <f>_xlfn.XLOOKUP(D921,SalesReps!A:A,SalesReps!D:D)</f>
        <v>44883</v>
      </c>
      <c r="F921" s="3" t="str">
        <f>_xlfn.XLOOKUP(Table1[[#This Row],[RepID]],SalesReps!A:A,SalesReps!E:E)</f>
        <v>Active</v>
      </c>
      <c r="G921">
        <v>304</v>
      </c>
      <c r="H921" t="str">
        <f>_xlfn.XLOOKUP(Table1[[#This Row],[ProductID]],Products!A:A,Products!B:B)</f>
        <v>Home &amp; Kitchen</v>
      </c>
      <c r="I921" t="str">
        <f>_xlfn.XLOOKUP(Table1[[#This Row],[ProductID]],Products!A:A,Products!C:C)</f>
        <v>Furniture</v>
      </c>
      <c r="J921">
        <v>9</v>
      </c>
      <c r="K921" s="5">
        <f>_xlfn.XLOOKUP(Table1[[#This Row],[ProductID]],Products!A:A,Products!E:E)</f>
        <v>345.38</v>
      </c>
      <c r="L921" s="5">
        <v>439.95</v>
      </c>
      <c r="M921" s="6">
        <v>0.17</v>
      </c>
      <c r="N921" t="s">
        <v>8</v>
      </c>
      <c r="O921" s="5">
        <f t="shared" si="70"/>
        <v>365.15849999999995</v>
      </c>
      <c r="P921" s="5">
        <f t="shared" si="71"/>
        <v>3286.4264999999996</v>
      </c>
      <c r="Q921" s="5">
        <f>Table1[[#This Row],[Quantity]]*(Table1[[#This Row],[Saleprice]]-Table1[[#This Row],[Costprice]])</f>
        <v>178.00649999999956</v>
      </c>
      <c r="R921">
        <f t="shared" si="72"/>
        <v>2023</v>
      </c>
      <c r="S921">
        <f t="shared" si="73"/>
        <v>1</v>
      </c>
      <c r="T921" t="str">
        <f t="shared" si="74"/>
        <v>January</v>
      </c>
    </row>
    <row r="922" spans="1:20" x14ac:dyDescent="0.3">
      <c r="A922" s="3">
        <v>44949</v>
      </c>
      <c r="B922">
        <v>102</v>
      </c>
      <c r="C922" s="3">
        <f>_xlfn.XLOOKUP(B922,Stores!A:A,Stores!E:E)</f>
        <v>44875</v>
      </c>
      <c r="D922">
        <v>219</v>
      </c>
      <c r="E922" s="3">
        <f>_xlfn.XLOOKUP(D922,SalesReps!A:A,SalesReps!D:D)</f>
        <v>44883</v>
      </c>
      <c r="F922" s="3" t="str">
        <f>_xlfn.XLOOKUP(Table1[[#This Row],[RepID]],SalesReps!A:A,SalesReps!E:E)</f>
        <v>Active</v>
      </c>
      <c r="G922">
        <v>319</v>
      </c>
      <c r="H922" t="str">
        <f>_xlfn.XLOOKUP(Table1[[#This Row],[ProductID]],Products!A:A,Products!B:B)</f>
        <v>Toys</v>
      </c>
      <c r="I922" t="str">
        <f>_xlfn.XLOOKUP(Table1[[#This Row],[ProductID]],Products!A:A,Products!C:C)</f>
        <v>Board Games</v>
      </c>
      <c r="J922">
        <v>5</v>
      </c>
      <c r="K922" s="5">
        <f>_xlfn.XLOOKUP(Table1[[#This Row],[ProductID]],Products!A:A,Products!E:E)</f>
        <v>81.069999999999993</v>
      </c>
      <c r="L922" s="5">
        <v>166.55</v>
      </c>
      <c r="M922" s="6">
        <v>0.12</v>
      </c>
      <c r="N922" t="s">
        <v>8</v>
      </c>
      <c r="O922" s="5">
        <f t="shared" si="70"/>
        <v>146.56400000000002</v>
      </c>
      <c r="P922" s="5">
        <f t="shared" si="71"/>
        <v>732.82000000000016</v>
      </c>
      <c r="Q922" s="5">
        <f>Table1[[#This Row],[Quantity]]*(Table1[[#This Row],[Saleprice]]-Table1[[#This Row],[Costprice]])</f>
        <v>327.47000000000014</v>
      </c>
      <c r="R922">
        <f t="shared" si="72"/>
        <v>2023</v>
      </c>
      <c r="S922">
        <f t="shared" si="73"/>
        <v>1</v>
      </c>
      <c r="T922" t="str">
        <f t="shared" si="74"/>
        <v>January</v>
      </c>
    </row>
    <row r="923" spans="1:20" x14ac:dyDescent="0.3">
      <c r="A923" s="3">
        <v>44949</v>
      </c>
      <c r="B923">
        <v>110</v>
      </c>
      <c r="C923" s="3">
        <f>_xlfn.XLOOKUP(B923,Stores!A:A,Stores!E:E)</f>
        <v>44174</v>
      </c>
      <c r="D923">
        <v>217</v>
      </c>
      <c r="E923" s="3">
        <f>_xlfn.XLOOKUP(D923,SalesReps!A:A,SalesReps!D:D)</f>
        <v>44896</v>
      </c>
      <c r="F923" s="3" t="str">
        <f>_xlfn.XLOOKUP(Table1[[#This Row],[RepID]],SalesReps!A:A,SalesReps!E:E)</f>
        <v>Left</v>
      </c>
      <c r="G923">
        <v>307</v>
      </c>
      <c r="H923" t="str">
        <f>_xlfn.XLOOKUP(Table1[[#This Row],[ProductID]],Products!A:A,Products!B:B)</f>
        <v>Toys</v>
      </c>
      <c r="I923" t="str">
        <f>_xlfn.XLOOKUP(Table1[[#This Row],[ProductID]],Products!A:A,Products!C:C)</f>
        <v>Outdoor</v>
      </c>
      <c r="J923">
        <v>7</v>
      </c>
      <c r="K923" s="5">
        <f>_xlfn.XLOOKUP(Table1[[#This Row],[ProductID]],Products!A:A,Products!E:E)</f>
        <v>15.17</v>
      </c>
      <c r="L923" s="5">
        <v>41.88</v>
      </c>
      <c r="M923" s="6">
        <v>0.08</v>
      </c>
      <c r="N923" t="s">
        <v>8</v>
      </c>
      <c r="O923" s="5">
        <f t="shared" si="70"/>
        <v>38.529600000000002</v>
      </c>
      <c r="P923" s="5">
        <f t="shared" si="71"/>
        <v>269.7072</v>
      </c>
      <c r="Q923" s="5">
        <f>Table1[[#This Row],[Quantity]]*(Table1[[#This Row],[Saleprice]]-Table1[[#This Row],[Costprice]])</f>
        <v>163.5172</v>
      </c>
      <c r="R923">
        <f t="shared" si="72"/>
        <v>2023</v>
      </c>
      <c r="S923">
        <f t="shared" si="73"/>
        <v>1</v>
      </c>
      <c r="T923" t="str">
        <f t="shared" si="74"/>
        <v>January</v>
      </c>
    </row>
    <row r="924" spans="1:20" x14ac:dyDescent="0.3">
      <c r="A924" s="3">
        <v>44950</v>
      </c>
      <c r="B924">
        <v>102</v>
      </c>
      <c r="C924" s="3">
        <f>_xlfn.XLOOKUP(B924,Stores!A:A,Stores!E:E)</f>
        <v>44875</v>
      </c>
      <c r="D924">
        <v>219</v>
      </c>
      <c r="E924" s="3">
        <f>_xlfn.XLOOKUP(D924,SalesReps!A:A,SalesReps!D:D)</f>
        <v>44883</v>
      </c>
      <c r="F924" s="3" t="str">
        <f>_xlfn.XLOOKUP(Table1[[#This Row],[RepID]],SalesReps!A:A,SalesReps!E:E)</f>
        <v>Active</v>
      </c>
      <c r="G924">
        <v>305</v>
      </c>
      <c r="H924" t="str">
        <f>_xlfn.XLOOKUP(Table1[[#This Row],[ProductID]],Products!A:A,Products!B:B)</f>
        <v>Electronics</v>
      </c>
      <c r="I924" t="str">
        <f>_xlfn.XLOOKUP(Table1[[#This Row],[ProductID]],Products!A:A,Products!C:C)</f>
        <v>Accessories</v>
      </c>
      <c r="J924">
        <v>5</v>
      </c>
      <c r="K924" s="5">
        <f>_xlfn.XLOOKUP(Table1[[#This Row],[ProductID]],Products!A:A,Products!E:E)</f>
        <v>275.32</v>
      </c>
      <c r="L924" s="5">
        <v>295.95999999999998</v>
      </c>
      <c r="M924" s="6">
        <v>0.16</v>
      </c>
      <c r="N924" t="s">
        <v>8</v>
      </c>
      <c r="O924" s="5">
        <f t="shared" si="70"/>
        <v>248.60639999999998</v>
      </c>
      <c r="P924" s="5">
        <f t="shared" si="71"/>
        <v>1243.0319999999999</v>
      </c>
      <c r="Q924" s="5">
        <f>Table1[[#This Row],[Quantity]]*(Table1[[#This Row],[Saleprice]]-Table1[[#This Row],[Costprice]])</f>
        <v>-133.56800000000007</v>
      </c>
      <c r="R924">
        <f t="shared" si="72"/>
        <v>2023</v>
      </c>
      <c r="S924">
        <f t="shared" si="73"/>
        <v>1</v>
      </c>
      <c r="T924" t="str">
        <f t="shared" si="74"/>
        <v>January</v>
      </c>
    </row>
    <row r="925" spans="1:20" x14ac:dyDescent="0.3">
      <c r="A925" s="3">
        <v>44950</v>
      </c>
      <c r="B925">
        <v>110</v>
      </c>
      <c r="C925" s="3">
        <f>_xlfn.XLOOKUP(B925,Stores!A:A,Stores!E:E)</f>
        <v>44174</v>
      </c>
      <c r="D925">
        <v>217</v>
      </c>
      <c r="E925" s="3">
        <f>_xlfn.XLOOKUP(D925,SalesReps!A:A,SalesReps!D:D)</f>
        <v>44896</v>
      </c>
      <c r="F925" s="3" t="str">
        <f>_xlfn.XLOOKUP(Table1[[#This Row],[RepID]],SalesReps!A:A,SalesReps!E:E)</f>
        <v>Left</v>
      </c>
      <c r="G925">
        <v>310</v>
      </c>
      <c r="H925" t="str">
        <f>_xlfn.XLOOKUP(Table1[[#This Row],[ProductID]],Products!A:A,Products!B:B)</f>
        <v>Home &amp; Kitchen</v>
      </c>
      <c r="I925" t="str">
        <f>_xlfn.XLOOKUP(Table1[[#This Row],[ProductID]],Products!A:A,Products!C:C)</f>
        <v>Furniture</v>
      </c>
      <c r="J925">
        <v>6</v>
      </c>
      <c r="K925" s="5">
        <f>_xlfn.XLOOKUP(Table1[[#This Row],[ProductID]],Products!A:A,Products!E:E)</f>
        <v>160.31</v>
      </c>
      <c r="L925" s="5">
        <v>255.85</v>
      </c>
      <c r="M925" s="6">
        <v>0.12</v>
      </c>
      <c r="N925" t="s">
        <v>8</v>
      </c>
      <c r="O925" s="5">
        <f t="shared" si="70"/>
        <v>225.148</v>
      </c>
      <c r="P925" s="5">
        <f t="shared" si="71"/>
        <v>1350.8879999999999</v>
      </c>
      <c r="Q925" s="5">
        <f>Table1[[#This Row],[Quantity]]*(Table1[[#This Row],[Saleprice]]-Table1[[#This Row],[Costprice]])</f>
        <v>389.02799999999996</v>
      </c>
      <c r="R925">
        <f t="shared" si="72"/>
        <v>2023</v>
      </c>
      <c r="S925">
        <f t="shared" si="73"/>
        <v>1</v>
      </c>
      <c r="T925" t="str">
        <f t="shared" si="74"/>
        <v>January</v>
      </c>
    </row>
    <row r="926" spans="1:20" x14ac:dyDescent="0.3">
      <c r="A926" s="3">
        <v>44951</v>
      </c>
      <c r="B926">
        <v>107</v>
      </c>
      <c r="C926" s="3">
        <f>_xlfn.XLOOKUP(B926,Stores!A:A,Stores!E:E)</f>
        <v>44702</v>
      </c>
      <c r="D926">
        <v>215</v>
      </c>
      <c r="E926" s="3">
        <f>_xlfn.XLOOKUP(D926,SalesReps!A:A,SalesReps!D:D)</f>
        <v>44878</v>
      </c>
      <c r="F926" s="3" t="str">
        <f>_xlfn.XLOOKUP(Table1[[#This Row],[RepID]],SalesReps!A:A,SalesReps!E:E)</f>
        <v>Active</v>
      </c>
      <c r="G926">
        <v>305</v>
      </c>
      <c r="H926" t="str">
        <f>_xlfn.XLOOKUP(Table1[[#This Row],[ProductID]],Products!A:A,Products!B:B)</f>
        <v>Electronics</v>
      </c>
      <c r="I926" t="str">
        <f>_xlfn.XLOOKUP(Table1[[#This Row],[ProductID]],Products!A:A,Products!C:C)</f>
        <v>Accessories</v>
      </c>
      <c r="J926">
        <v>5</v>
      </c>
      <c r="K926" s="5">
        <f>_xlfn.XLOOKUP(Table1[[#This Row],[ProductID]],Products!A:A,Products!E:E)</f>
        <v>275.32</v>
      </c>
      <c r="L926" s="5">
        <v>286.48</v>
      </c>
      <c r="M926" s="6">
        <v>0.1</v>
      </c>
      <c r="N926" t="s">
        <v>8</v>
      </c>
      <c r="O926" s="5">
        <f t="shared" si="70"/>
        <v>257.83200000000005</v>
      </c>
      <c r="P926" s="5">
        <f t="shared" si="71"/>
        <v>1289.1600000000003</v>
      </c>
      <c r="Q926" s="5">
        <f>Table1[[#This Row],[Quantity]]*(Table1[[#This Row],[Saleprice]]-Table1[[#This Row],[Costprice]])</f>
        <v>-87.439999999999714</v>
      </c>
      <c r="R926">
        <f t="shared" si="72"/>
        <v>2023</v>
      </c>
      <c r="S926">
        <f t="shared" si="73"/>
        <v>1</v>
      </c>
      <c r="T926" t="str">
        <f t="shared" si="74"/>
        <v>January</v>
      </c>
    </row>
    <row r="927" spans="1:20" x14ac:dyDescent="0.3">
      <c r="A927" s="3">
        <v>44951</v>
      </c>
      <c r="B927">
        <v>110</v>
      </c>
      <c r="C927" s="3">
        <f>_xlfn.XLOOKUP(B927,Stores!A:A,Stores!E:E)</f>
        <v>44174</v>
      </c>
      <c r="D927">
        <v>217</v>
      </c>
      <c r="E927" s="3">
        <f>_xlfn.XLOOKUP(D927,SalesReps!A:A,SalesReps!D:D)</f>
        <v>44896</v>
      </c>
      <c r="F927" s="3" t="str">
        <f>_xlfn.XLOOKUP(Table1[[#This Row],[RepID]],SalesReps!A:A,SalesReps!E:E)</f>
        <v>Left</v>
      </c>
      <c r="G927">
        <v>312</v>
      </c>
      <c r="H927" t="str">
        <f>_xlfn.XLOOKUP(Table1[[#This Row],[ProductID]],Products!A:A,Products!B:B)</f>
        <v>Toys</v>
      </c>
      <c r="I927" t="str">
        <f>_xlfn.XLOOKUP(Table1[[#This Row],[ProductID]],Products!A:A,Products!C:C)</f>
        <v>Board Games</v>
      </c>
      <c r="J927">
        <v>8</v>
      </c>
      <c r="K927" s="5">
        <f>_xlfn.XLOOKUP(Table1[[#This Row],[ProductID]],Products!A:A,Products!E:E)</f>
        <v>100.05</v>
      </c>
      <c r="L927" s="5">
        <v>168.89</v>
      </c>
      <c r="M927" s="6">
        <v>0.12</v>
      </c>
      <c r="N927" t="s">
        <v>8</v>
      </c>
      <c r="O927" s="5">
        <f t="shared" si="70"/>
        <v>148.6232</v>
      </c>
      <c r="P927" s="5">
        <f t="shared" si="71"/>
        <v>1188.9856</v>
      </c>
      <c r="Q927" s="5">
        <f>Table1[[#This Row],[Quantity]]*(Table1[[#This Row],[Saleprice]]-Table1[[#This Row],[Costprice]])</f>
        <v>388.5856</v>
      </c>
      <c r="R927">
        <f t="shared" si="72"/>
        <v>2023</v>
      </c>
      <c r="S927">
        <f t="shared" si="73"/>
        <v>1</v>
      </c>
      <c r="T927" t="str">
        <f t="shared" si="74"/>
        <v>January</v>
      </c>
    </row>
    <row r="928" spans="1:20" x14ac:dyDescent="0.3">
      <c r="A928" s="3">
        <v>44951</v>
      </c>
      <c r="B928">
        <v>102</v>
      </c>
      <c r="C928" s="3">
        <f>_xlfn.XLOOKUP(B928,Stores!A:A,Stores!E:E)</f>
        <v>44875</v>
      </c>
      <c r="D928">
        <v>219</v>
      </c>
      <c r="E928" s="3">
        <f>_xlfn.XLOOKUP(D928,SalesReps!A:A,SalesReps!D:D)</f>
        <v>44883</v>
      </c>
      <c r="F928" s="3" t="str">
        <f>_xlfn.XLOOKUP(Table1[[#This Row],[RepID]],SalesReps!A:A,SalesReps!E:E)</f>
        <v>Active</v>
      </c>
      <c r="G928">
        <v>301</v>
      </c>
      <c r="H928" t="str">
        <f>_xlfn.XLOOKUP(Table1[[#This Row],[ProductID]],Products!A:A,Products!B:B)</f>
        <v>Electronics</v>
      </c>
      <c r="I928" t="str">
        <f>_xlfn.XLOOKUP(Table1[[#This Row],[ProductID]],Products!A:A,Products!C:C)</f>
        <v>Mobiles</v>
      </c>
      <c r="J928">
        <v>7</v>
      </c>
      <c r="K928" s="5">
        <f>_xlfn.XLOOKUP(Table1[[#This Row],[ProductID]],Products!A:A,Products!E:E)</f>
        <v>159.16</v>
      </c>
      <c r="L928" s="5">
        <v>218.09</v>
      </c>
      <c r="M928" s="6">
        <v>0.06</v>
      </c>
      <c r="N928" t="s">
        <v>8</v>
      </c>
      <c r="O928" s="5">
        <f t="shared" si="70"/>
        <v>205.00459999999998</v>
      </c>
      <c r="P928" s="5">
        <f t="shared" si="71"/>
        <v>1435.0321999999999</v>
      </c>
      <c r="Q928" s="5">
        <f>Table1[[#This Row],[Quantity]]*(Table1[[#This Row],[Saleprice]]-Table1[[#This Row],[Costprice]])</f>
        <v>320.91219999999987</v>
      </c>
      <c r="R928">
        <f t="shared" si="72"/>
        <v>2023</v>
      </c>
      <c r="S928">
        <f t="shared" si="73"/>
        <v>1</v>
      </c>
      <c r="T928" t="str">
        <f t="shared" si="74"/>
        <v>January</v>
      </c>
    </row>
    <row r="929" spans="1:20" x14ac:dyDescent="0.3">
      <c r="A929" s="3">
        <v>44951</v>
      </c>
      <c r="B929">
        <v>110</v>
      </c>
      <c r="C929" s="3">
        <f>_xlfn.XLOOKUP(B929,Stores!A:A,Stores!E:E)</f>
        <v>44174</v>
      </c>
      <c r="D929">
        <v>217</v>
      </c>
      <c r="E929" s="3">
        <f>_xlfn.XLOOKUP(D929,SalesReps!A:A,SalesReps!D:D)</f>
        <v>44896</v>
      </c>
      <c r="F929" s="3" t="str">
        <f>_xlfn.XLOOKUP(Table1[[#This Row],[RepID]],SalesReps!A:A,SalesReps!E:E)</f>
        <v>Left</v>
      </c>
      <c r="G929">
        <v>311</v>
      </c>
      <c r="H929" t="str">
        <f>_xlfn.XLOOKUP(Table1[[#This Row],[ProductID]],Products!A:A,Products!B:B)</f>
        <v>Home &amp; Kitchen</v>
      </c>
      <c r="I929" t="str">
        <f>_xlfn.XLOOKUP(Table1[[#This Row],[ProductID]],Products!A:A,Products!C:C)</f>
        <v>Furniture</v>
      </c>
      <c r="J929">
        <v>3</v>
      </c>
      <c r="K929" s="5">
        <f>_xlfn.XLOOKUP(Table1[[#This Row],[ProductID]],Products!A:A,Products!E:E)</f>
        <v>16.23</v>
      </c>
      <c r="L929" s="5">
        <v>51.87</v>
      </c>
      <c r="M929" s="6">
        <v>0.22</v>
      </c>
      <c r="N929" t="s">
        <v>8</v>
      </c>
      <c r="O929" s="5">
        <f t="shared" si="70"/>
        <v>40.458599999999997</v>
      </c>
      <c r="P929" s="5">
        <f t="shared" si="71"/>
        <v>121.3758</v>
      </c>
      <c r="Q929" s="5">
        <f>Table1[[#This Row],[Quantity]]*(Table1[[#This Row],[Saleprice]]-Table1[[#This Row],[Costprice]])</f>
        <v>72.685799999999986</v>
      </c>
      <c r="R929">
        <f t="shared" si="72"/>
        <v>2023</v>
      </c>
      <c r="S929">
        <f t="shared" si="73"/>
        <v>1</v>
      </c>
      <c r="T929" t="str">
        <f t="shared" si="74"/>
        <v>January</v>
      </c>
    </row>
    <row r="930" spans="1:20" x14ac:dyDescent="0.3">
      <c r="A930" s="3">
        <v>44951</v>
      </c>
      <c r="B930">
        <v>102</v>
      </c>
      <c r="C930" s="3">
        <f>_xlfn.XLOOKUP(B930,Stores!A:A,Stores!E:E)</f>
        <v>44875</v>
      </c>
      <c r="D930">
        <v>219</v>
      </c>
      <c r="E930" s="3">
        <f>_xlfn.XLOOKUP(D930,SalesReps!A:A,SalesReps!D:D)</f>
        <v>44883</v>
      </c>
      <c r="F930" s="3" t="str">
        <f>_xlfn.XLOOKUP(Table1[[#This Row],[RepID]],SalesReps!A:A,SalesReps!E:E)</f>
        <v>Active</v>
      </c>
      <c r="G930">
        <v>314</v>
      </c>
      <c r="H930" t="str">
        <f>_xlfn.XLOOKUP(Table1[[#This Row],[ProductID]],Products!A:A,Products!B:B)</f>
        <v>Clothing</v>
      </c>
      <c r="I930" t="str">
        <f>_xlfn.XLOOKUP(Table1[[#This Row],[ProductID]],Products!A:A,Products!C:C)</f>
        <v>Kids</v>
      </c>
      <c r="J930">
        <v>8</v>
      </c>
      <c r="K930" s="5">
        <f>_xlfn.XLOOKUP(Table1[[#This Row],[ProductID]],Products!A:A,Products!E:E)</f>
        <v>276.47000000000003</v>
      </c>
      <c r="L930" s="5">
        <v>319.36</v>
      </c>
      <c r="M930" s="6">
        <v>0.14000000000000001</v>
      </c>
      <c r="N930" t="s">
        <v>8</v>
      </c>
      <c r="O930" s="5">
        <f t="shared" si="70"/>
        <v>274.64960000000002</v>
      </c>
      <c r="P930" s="5">
        <f t="shared" si="71"/>
        <v>2197.1968000000002</v>
      </c>
      <c r="Q930" s="5">
        <f>Table1[[#This Row],[Quantity]]*(Table1[[#This Row],[Saleprice]]-Table1[[#This Row],[Costprice]])</f>
        <v>-14.563200000000052</v>
      </c>
      <c r="R930">
        <f t="shared" si="72"/>
        <v>2023</v>
      </c>
      <c r="S930">
        <f t="shared" si="73"/>
        <v>1</v>
      </c>
      <c r="T930" t="str">
        <f t="shared" si="74"/>
        <v>January</v>
      </c>
    </row>
    <row r="931" spans="1:20" x14ac:dyDescent="0.3">
      <c r="A931" s="3">
        <v>44952</v>
      </c>
      <c r="B931">
        <v>102</v>
      </c>
      <c r="C931" s="3">
        <f>_xlfn.XLOOKUP(B931,Stores!A:A,Stores!E:E)</f>
        <v>44875</v>
      </c>
      <c r="D931">
        <v>219</v>
      </c>
      <c r="E931" s="3">
        <f>_xlfn.XLOOKUP(D931,SalesReps!A:A,SalesReps!D:D)</f>
        <v>44883</v>
      </c>
      <c r="F931" s="3" t="str">
        <f>_xlfn.XLOOKUP(Table1[[#This Row],[RepID]],SalesReps!A:A,SalesReps!E:E)</f>
        <v>Active</v>
      </c>
      <c r="G931">
        <v>320</v>
      </c>
      <c r="H931" t="str">
        <f>_xlfn.XLOOKUP(Table1[[#This Row],[ProductID]],Products!A:A,Products!B:B)</f>
        <v>Toys</v>
      </c>
      <c r="I931" t="str">
        <f>_xlfn.XLOOKUP(Table1[[#This Row],[ProductID]],Products!A:A,Products!C:C)</f>
        <v>Outdoor</v>
      </c>
      <c r="J931">
        <v>6</v>
      </c>
      <c r="K931" s="5">
        <f>_xlfn.XLOOKUP(Table1[[#This Row],[ProductID]],Products!A:A,Products!E:E)</f>
        <v>304.58999999999997</v>
      </c>
      <c r="L931" s="5">
        <v>376.64</v>
      </c>
      <c r="M931" s="6">
        <v>0.24</v>
      </c>
      <c r="N931" t="s">
        <v>8</v>
      </c>
      <c r="O931" s="5">
        <f t="shared" si="70"/>
        <v>286.24639999999999</v>
      </c>
      <c r="P931" s="5">
        <f t="shared" si="71"/>
        <v>1717.4784</v>
      </c>
      <c r="Q931" s="5">
        <f>Table1[[#This Row],[Quantity]]*(Table1[[#This Row],[Saleprice]]-Table1[[#This Row],[Costprice]])</f>
        <v>-110.06159999999988</v>
      </c>
      <c r="R931">
        <f t="shared" si="72"/>
        <v>2023</v>
      </c>
      <c r="S931">
        <f t="shared" si="73"/>
        <v>1</v>
      </c>
      <c r="T931" t="str">
        <f t="shared" si="74"/>
        <v>January</v>
      </c>
    </row>
    <row r="932" spans="1:20" x14ac:dyDescent="0.3">
      <c r="A932" s="3">
        <v>44952</v>
      </c>
      <c r="B932">
        <v>110</v>
      </c>
      <c r="C932" s="3">
        <f>_xlfn.XLOOKUP(B932,Stores!A:A,Stores!E:E)</f>
        <v>44174</v>
      </c>
      <c r="D932">
        <v>217</v>
      </c>
      <c r="E932" s="3">
        <f>_xlfn.XLOOKUP(D932,SalesReps!A:A,SalesReps!D:D)</f>
        <v>44896</v>
      </c>
      <c r="F932" s="3" t="str">
        <f>_xlfn.XLOOKUP(Table1[[#This Row],[RepID]],SalesReps!A:A,SalesReps!E:E)</f>
        <v>Left</v>
      </c>
      <c r="G932">
        <v>320</v>
      </c>
      <c r="H932" t="str">
        <f>_xlfn.XLOOKUP(Table1[[#This Row],[ProductID]],Products!A:A,Products!B:B)</f>
        <v>Toys</v>
      </c>
      <c r="I932" t="str">
        <f>_xlfn.XLOOKUP(Table1[[#This Row],[ProductID]],Products!A:A,Products!C:C)</f>
        <v>Outdoor</v>
      </c>
      <c r="J932">
        <v>1</v>
      </c>
      <c r="K932" s="5">
        <f>_xlfn.XLOOKUP(Table1[[#This Row],[ProductID]],Products!A:A,Products!E:E)</f>
        <v>304.58999999999997</v>
      </c>
      <c r="L932" s="5">
        <v>332.08</v>
      </c>
      <c r="M932" s="6">
        <v>0.23</v>
      </c>
      <c r="N932" t="s">
        <v>8</v>
      </c>
      <c r="O932" s="5">
        <f t="shared" si="70"/>
        <v>255.70159999999998</v>
      </c>
      <c r="P932" s="5">
        <f t="shared" si="71"/>
        <v>255.70159999999998</v>
      </c>
      <c r="Q932" s="5">
        <f>Table1[[#This Row],[Quantity]]*(Table1[[#This Row],[Saleprice]]-Table1[[#This Row],[Costprice]])</f>
        <v>-48.88839999999999</v>
      </c>
      <c r="R932">
        <f t="shared" si="72"/>
        <v>2023</v>
      </c>
      <c r="S932">
        <f t="shared" si="73"/>
        <v>1</v>
      </c>
      <c r="T932" t="str">
        <f t="shared" si="74"/>
        <v>January</v>
      </c>
    </row>
    <row r="933" spans="1:20" x14ac:dyDescent="0.3">
      <c r="A933" s="3">
        <v>44952</v>
      </c>
      <c r="B933">
        <v>102</v>
      </c>
      <c r="C933" s="3">
        <f>_xlfn.XLOOKUP(B933,Stores!A:A,Stores!E:E)</f>
        <v>44875</v>
      </c>
      <c r="D933">
        <v>219</v>
      </c>
      <c r="E933" s="3">
        <f>_xlfn.XLOOKUP(D933,SalesReps!A:A,SalesReps!D:D)</f>
        <v>44883</v>
      </c>
      <c r="F933" s="3" t="str">
        <f>_xlfn.XLOOKUP(Table1[[#This Row],[RepID]],SalesReps!A:A,SalesReps!E:E)</f>
        <v>Active</v>
      </c>
      <c r="G933">
        <v>307</v>
      </c>
      <c r="H933" t="str">
        <f>_xlfn.XLOOKUP(Table1[[#This Row],[ProductID]],Products!A:A,Products!B:B)</f>
        <v>Toys</v>
      </c>
      <c r="I933" t="str">
        <f>_xlfn.XLOOKUP(Table1[[#This Row],[ProductID]],Products!A:A,Products!C:C)</f>
        <v>Outdoor</v>
      </c>
      <c r="J933">
        <v>1</v>
      </c>
      <c r="K933" s="5">
        <f>_xlfn.XLOOKUP(Table1[[#This Row],[ProductID]],Products!A:A,Products!E:E)</f>
        <v>15.17</v>
      </c>
      <c r="L933" s="5">
        <v>101.71</v>
      </c>
      <c r="M933" s="6">
        <v>0.12</v>
      </c>
      <c r="N933" t="s">
        <v>8</v>
      </c>
      <c r="O933" s="5">
        <f t="shared" si="70"/>
        <v>89.504799999999989</v>
      </c>
      <c r="P933" s="5">
        <f t="shared" si="71"/>
        <v>89.504799999999989</v>
      </c>
      <c r="Q933" s="5">
        <f>Table1[[#This Row],[Quantity]]*(Table1[[#This Row],[Saleprice]]-Table1[[#This Row],[Costprice]])</f>
        <v>74.334799999999987</v>
      </c>
      <c r="R933">
        <f t="shared" si="72"/>
        <v>2023</v>
      </c>
      <c r="S933">
        <f t="shared" si="73"/>
        <v>1</v>
      </c>
      <c r="T933" t="str">
        <f t="shared" si="74"/>
        <v>January</v>
      </c>
    </row>
    <row r="934" spans="1:20" x14ac:dyDescent="0.3">
      <c r="A934" s="3">
        <v>44953</v>
      </c>
      <c r="B934">
        <v>107</v>
      </c>
      <c r="C934" s="3">
        <f>_xlfn.XLOOKUP(B934,Stores!A:A,Stores!E:E)</f>
        <v>44702</v>
      </c>
      <c r="D934">
        <v>215</v>
      </c>
      <c r="E934" s="3">
        <f>_xlfn.XLOOKUP(D934,SalesReps!A:A,SalesReps!D:D)</f>
        <v>44878</v>
      </c>
      <c r="F934" s="3" t="str">
        <f>_xlfn.XLOOKUP(Table1[[#This Row],[RepID]],SalesReps!A:A,SalesReps!E:E)</f>
        <v>Active</v>
      </c>
      <c r="G934">
        <v>317</v>
      </c>
      <c r="H934" t="str">
        <f>_xlfn.XLOOKUP(Table1[[#This Row],[ProductID]],Products!A:A,Products!B:B)</f>
        <v>Toys</v>
      </c>
      <c r="I934" t="str">
        <f>_xlfn.XLOOKUP(Table1[[#This Row],[ProductID]],Products!A:A,Products!C:C)</f>
        <v>Educational</v>
      </c>
      <c r="J934">
        <v>7</v>
      </c>
      <c r="K934" s="5">
        <f>_xlfn.XLOOKUP(Table1[[#This Row],[ProductID]],Products!A:A,Products!E:E)</f>
        <v>77.61</v>
      </c>
      <c r="L934" s="5">
        <v>107.38</v>
      </c>
      <c r="M934" s="6">
        <v>0.15</v>
      </c>
      <c r="N934" t="s">
        <v>8</v>
      </c>
      <c r="O934" s="5">
        <f t="shared" si="70"/>
        <v>91.272999999999996</v>
      </c>
      <c r="P934" s="5">
        <f t="shared" si="71"/>
        <v>638.91099999999994</v>
      </c>
      <c r="Q934" s="5">
        <f>Table1[[#This Row],[Quantity]]*(Table1[[#This Row],[Saleprice]]-Table1[[#This Row],[Costprice]])</f>
        <v>95.640999999999977</v>
      </c>
      <c r="R934">
        <f t="shared" si="72"/>
        <v>2023</v>
      </c>
      <c r="S934">
        <f t="shared" si="73"/>
        <v>1</v>
      </c>
      <c r="T934" t="str">
        <f t="shared" si="74"/>
        <v>January</v>
      </c>
    </row>
    <row r="935" spans="1:20" x14ac:dyDescent="0.3">
      <c r="A935" s="3">
        <v>44953</v>
      </c>
      <c r="B935">
        <v>110</v>
      </c>
      <c r="C935" s="3">
        <f>_xlfn.XLOOKUP(B935,Stores!A:A,Stores!E:E)</f>
        <v>44174</v>
      </c>
      <c r="D935">
        <v>217</v>
      </c>
      <c r="E935" s="3">
        <f>_xlfn.XLOOKUP(D935,SalesReps!A:A,SalesReps!D:D)</f>
        <v>44896</v>
      </c>
      <c r="F935" s="3" t="str">
        <f>_xlfn.XLOOKUP(Table1[[#This Row],[RepID]],SalesReps!A:A,SalesReps!E:E)</f>
        <v>Left</v>
      </c>
      <c r="G935">
        <v>310</v>
      </c>
      <c r="H935" t="str">
        <f>_xlfn.XLOOKUP(Table1[[#This Row],[ProductID]],Products!A:A,Products!B:B)</f>
        <v>Home &amp; Kitchen</v>
      </c>
      <c r="I935" t="str">
        <f>_xlfn.XLOOKUP(Table1[[#This Row],[ProductID]],Products!A:A,Products!C:C)</f>
        <v>Furniture</v>
      </c>
      <c r="J935">
        <v>1</v>
      </c>
      <c r="K935" s="5">
        <f>_xlfn.XLOOKUP(Table1[[#This Row],[ProductID]],Products!A:A,Products!E:E)</f>
        <v>160.31</v>
      </c>
      <c r="L935" s="5">
        <v>255.85</v>
      </c>
      <c r="M935" s="6">
        <v>0.12</v>
      </c>
      <c r="N935" t="s">
        <v>8</v>
      </c>
      <c r="O935" s="5">
        <f t="shared" si="70"/>
        <v>225.148</v>
      </c>
      <c r="P935" s="5">
        <f t="shared" si="71"/>
        <v>225.148</v>
      </c>
      <c r="Q935" s="5">
        <f>Table1[[#This Row],[Quantity]]*(Table1[[#This Row],[Saleprice]]-Table1[[#This Row],[Costprice]])</f>
        <v>64.837999999999994</v>
      </c>
      <c r="R935">
        <f t="shared" si="72"/>
        <v>2023</v>
      </c>
      <c r="S935">
        <f t="shared" si="73"/>
        <v>1</v>
      </c>
      <c r="T935" t="str">
        <f t="shared" si="74"/>
        <v>January</v>
      </c>
    </row>
    <row r="936" spans="1:20" x14ac:dyDescent="0.3">
      <c r="A936" s="3">
        <v>44954</v>
      </c>
      <c r="B936">
        <v>102</v>
      </c>
      <c r="C936" s="3">
        <f>_xlfn.XLOOKUP(B936,Stores!A:A,Stores!E:E)</f>
        <v>44875</v>
      </c>
      <c r="D936">
        <v>219</v>
      </c>
      <c r="E936" s="3">
        <f>_xlfn.XLOOKUP(D936,SalesReps!A:A,SalesReps!D:D)</f>
        <v>44883</v>
      </c>
      <c r="F936" s="3" t="str">
        <f>_xlfn.XLOOKUP(Table1[[#This Row],[RepID]],SalesReps!A:A,SalesReps!E:E)</f>
        <v>Active</v>
      </c>
      <c r="G936">
        <v>311</v>
      </c>
      <c r="H936" t="str">
        <f>_xlfn.XLOOKUP(Table1[[#This Row],[ProductID]],Products!A:A,Products!B:B)</f>
        <v>Home &amp; Kitchen</v>
      </c>
      <c r="I936" t="str">
        <f>_xlfn.XLOOKUP(Table1[[#This Row],[ProductID]],Products!A:A,Products!C:C)</f>
        <v>Furniture</v>
      </c>
      <c r="J936">
        <v>8</v>
      </c>
      <c r="K936" s="5">
        <f>_xlfn.XLOOKUP(Table1[[#This Row],[ProductID]],Products!A:A,Products!E:E)</f>
        <v>16.23</v>
      </c>
      <c r="L936" s="5">
        <v>114.36</v>
      </c>
      <c r="M936" s="6">
        <v>7.0000000000000007E-2</v>
      </c>
      <c r="N936" t="s">
        <v>8</v>
      </c>
      <c r="O936" s="5">
        <f t="shared" si="70"/>
        <v>106.3548</v>
      </c>
      <c r="P936" s="5">
        <f t="shared" si="71"/>
        <v>850.83839999999998</v>
      </c>
      <c r="Q936" s="5">
        <f>Table1[[#This Row],[Quantity]]*(Table1[[#This Row],[Saleprice]]-Table1[[#This Row],[Costprice]])</f>
        <v>720.99839999999995</v>
      </c>
      <c r="R936">
        <f t="shared" si="72"/>
        <v>2023</v>
      </c>
      <c r="S936">
        <f t="shared" si="73"/>
        <v>1</v>
      </c>
      <c r="T936" t="str">
        <f t="shared" si="74"/>
        <v>January</v>
      </c>
    </row>
    <row r="937" spans="1:20" x14ac:dyDescent="0.3">
      <c r="A937" s="3">
        <v>44954</v>
      </c>
      <c r="B937">
        <v>102</v>
      </c>
      <c r="C937" s="3">
        <f>_xlfn.XLOOKUP(B937,Stores!A:A,Stores!E:E)</f>
        <v>44875</v>
      </c>
      <c r="D937">
        <v>219</v>
      </c>
      <c r="E937" s="3">
        <f>_xlfn.XLOOKUP(D937,SalesReps!A:A,SalesReps!D:D)</f>
        <v>44883</v>
      </c>
      <c r="F937" s="3" t="str">
        <f>_xlfn.XLOOKUP(Table1[[#This Row],[RepID]],SalesReps!A:A,SalesReps!E:E)</f>
        <v>Active</v>
      </c>
      <c r="G937">
        <v>320</v>
      </c>
      <c r="H937" t="str">
        <f>_xlfn.XLOOKUP(Table1[[#This Row],[ProductID]],Products!A:A,Products!B:B)</f>
        <v>Toys</v>
      </c>
      <c r="I937" t="str">
        <f>_xlfn.XLOOKUP(Table1[[#This Row],[ProductID]],Products!A:A,Products!C:C)</f>
        <v>Outdoor</v>
      </c>
      <c r="J937">
        <v>1</v>
      </c>
      <c r="K937" s="5">
        <f>_xlfn.XLOOKUP(Table1[[#This Row],[ProductID]],Products!A:A,Products!E:E)</f>
        <v>304.58999999999997</v>
      </c>
      <c r="L937" s="5">
        <v>376.64</v>
      </c>
      <c r="M937" s="6">
        <v>0.24</v>
      </c>
      <c r="N937" t="s">
        <v>8</v>
      </c>
      <c r="O937" s="5">
        <f t="shared" si="70"/>
        <v>286.24639999999999</v>
      </c>
      <c r="P937" s="5">
        <f t="shared" si="71"/>
        <v>286.24639999999999</v>
      </c>
      <c r="Q937" s="5">
        <f>Table1[[#This Row],[Quantity]]*(Table1[[#This Row],[Saleprice]]-Table1[[#This Row],[Costprice]])</f>
        <v>-18.343599999999981</v>
      </c>
      <c r="R937">
        <f t="shared" si="72"/>
        <v>2023</v>
      </c>
      <c r="S937">
        <f t="shared" si="73"/>
        <v>1</v>
      </c>
      <c r="T937" t="str">
        <f t="shared" si="74"/>
        <v>January</v>
      </c>
    </row>
    <row r="938" spans="1:20" x14ac:dyDescent="0.3">
      <c r="A938" s="3">
        <v>44955</v>
      </c>
      <c r="B938">
        <v>107</v>
      </c>
      <c r="C938" s="3">
        <f>_xlfn.XLOOKUP(B938,Stores!A:A,Stores!E:E)</f>
        <v>44702</v>
      </c>
      <c r="D938">
        <v>215</v>
      </c>
      <c r="E938" s="3">
        <f>_xlfn.XLOOKUP(D938,SalesReps!A:A,SalesReps!D:D)</f>
        <v>44878</v>
      </c>
      <c r="F938" s="3" t="str">
        <f>_xlfn.XLOOKUP(Table1[[#This Row],[RepID]],SalesReps!A:A,SalesReps!E:E)</f>
        <v>Active</v>
      </c>
      <c r="G938">
        <v>309</v>
      </c>
      <c r="H938" t="str">
        <f>_xlfn.XLOOKUP(Table1[[#This Row],[ProductID]],Products!A:A,Products!B:B)</f>
        <v>Electronics</v>
      </c>
      <c r="I938" t="str">
        <f>_xlfn.XLOOKUP(Table1[[#This Row],[ProductID]],Products!A:A,Products!C:C)</f>
        <v>Laptops</v>
      </c>
      <c r="J938">
        <v>3</v>
      </c>
      <c r="K938" s="5">
        <f>_xlfn.XLOOKUP(Table1[[#This Row],[ProductID]],Products!A:A,Products!E:E)</f>
        <v>229.68</v>
      </c>
      <c r="L938" s="5">
        <v>305.38</v>
      </c>
      <c r="M938" s="6">
        <v>0.19</v>
      </c>
      <c r="N938" t="s">
        <v>8</v>
      </c>
      <c r="O938" s="5">
        <f t="shared" si="70"/>
        <v>247.35780000000003</v>
      </c>
      <c r="P938" s="5">
        <f t="shared" si="71"/>
        <v>742.07340000000011</v>
      </c>
      <c r="Q938" s="5">
        <f>Table1[[#This Row],[Quantity]]*(Table1[[#This Row],[Saleprice]]-Table1[[#This Row],[Costprice]])</f>
        <v>53.033400000000057</v>
      </c>
      <c r="R938">
        <f t="shared" si="72"/>
        <v>2023</v>
      </c>
      <c r="S938">
        <f t="shared" si="73"/>
        <v>1</v>
      </c>
      <c r="T938" t="str">
        <f t="shared" si="74"/>
        <v>January</v>
      </c>
    </row>
    <row r="939" spans="1:20" x14ac:dyDescent="0.3">
      <c r="A939" s="3">
        <v>44955</v>
      </c>
      <c r="B939">
        <v>110</v>
      </c>
      <c r="C939" s="3">
        <f>_xlfn.XLOOKUP(B939,Stores!A:A,Stores!E:E)</f>
        <v>44174</v>
      </c>
      <c r="D939">
        <v>217</v>
      </c>
      <c r="E939" s="3">
        <f>_xlfn.XLOOKUP(D939,SalesReps!A:A,SalesReps!D:D)</f>
        <v>44896</v>
      </c>
      <c r="F939" s="3" t="str">
        <f>_xlfn.XLOOKUP(Table1[[#This Row],[RepID]],SalesReps!A:A,SalesReps!E:E)</f>
        <v>Left</v>
      </c>
      <c r="G939">
        <v>301</v>
      </c>
      <c r="H939" t="str">
        <f>_xlfn.XLOOKUP(Table1[[#This Row],[ProductID]],Products!A:A,Products!B:B)</f>
        <v>Electronics</v>
      </c>
      <c r="I939" t="str">
        <f>_xlfn.XLOOKUP(Table1[[#This Row],[ProductID]],Products!A:A,Products!C:C)</f>
        <v>Mobiles</v>
      </c>
      <c r="J939">
        <v>4</v>
      </c>
      <c r="K939" s="5">
        <f>_xlfn.XLOOKUP(Table1[[#This Row],[ProductID]],Products!A:A,Products!E:E)</f>
        <v>159.16</v>
      </c>
      <c r="L939" s="5">
        <v>221.83</v>
      </c>
      <c r="M939" s="6">
        <v>0.11</v>
      </c>
      <c r="N939" t="s">
        <v>8</v>
      </c>
      <c r="O939" s="5">
        <f t="shared" si="70"/>
        <v>197.42870000000002</v>
      </c>
      <c r="P939" s="5">
        <f t="shared" si="71"/>
        <v>789.71480000000008</v>
      </c>
      <c r="Q939" s="5">
        <f>Table1[[#This Row],[Quantity]]*(Table1[[#This Row],[Saleprice]]-Table1[[#This Row],[Costprice]])</f>
        <v>153.0748000000001</v>
      </c>
      <c r="R939">
        <f t="shared" si="72"/>
        <v>2023</v>
      </c>
      <c r="S939">
        <f t="shared" si="73"/>
        <v>1</v>
      </c>
      <c r="T939" t="str">
        <f t="shared" si="74"/>
        <v>January</v>
      </c>
    </row>
    <row r="940" spans="1:20" x14ac:dyDescent="0.3">
      <c r="A940" s="3">
        <v>44956</v>
      </c>
      <c r="B940">
        <v>102</v>
      </c>
      <c r="C940" s="3">
        <f>_xlfn.XLOOKUP(B940,Stores!A:A,Stores!E:E)</f>
        <v>44875</v>
      </c>
      <c r="D940">
        <v>219</v>
      </c>
      <c r="E940" s="3">
        <f>_xlfn.XLOOKUP(D940,SalesReps!A:A,SalesReps!D:D)</f>
        <v>44883</v>
      </c>
      <c r="F940" s="3" t="str">
        <f>_xlfn.XLOOKUP(Table1[[#This Row],[RepID]],SalesReps!A:A,SalesReps!E:E)</f>
        <v>Active</v>
      </c>
      <c r="G940">
        <v>304</v>
      </c>
      <c r="H940" t="str">
        <f>_xlfn.XLOOKUP(Table1[[#This Row],[ProductID]],Products!A:A,Products!B:B)</f>
        <v>Home &amp; Kitchen</v>
      </c>
      <c r="I940" t="str">
        <f>_xlfn.XLOOKUP(Table1[[#This Row],[ProductID]],Products!A:A,Products!C:C)</f>
        <v>Furniture</v>
      </c>
      <c r="J940">
        <v>7</v>
      </c>
      <c r="K940" s="5">
        <f>_xlfn.XLOOKUP(Table1[[#This Row],[ProductID]],Products!A:A,Products!E:E)</f>
        <v>345.38</v>
      </c>
      <c r="L940" s="5">
        <v>439.95</v>
      </c>
      <c r="M940" s="6">
        <v>0.17</v>
      </c>
      <c r="N940" t="s">
        <v>8</v>
      </c>
      <c r="O940" s="5">
        <f t="shared" si="70"/>
        <v>365.15849999999995</v>
      </c>
      <c r="P940" s="5">
        <f t="shared" si="71"/>
        <v>2556.1094999999996</v>
      </c>
      <c r="Q940" s="5">
        <f>Table1[[#This Row],[Quantity]]*(Table1[[#This Row],[Saleprice]]-Table1[[#This Row],[Costprice]])</f>
        <v>138.44949999999966</v>
      </c>
      <c r="R940">
        <f t="shared" si="72"/>
        <v>2023</v>
      </c>
      <c r="S940">
        <f t="shared" si="73"/>
        <v>1</v>
      </c>
      <c r="T940" t="str">
        <f t="shared" si="74"/>
        <v>January</v>
      </c>
    </row>
    <row r="941" spans="1:20" x14ac:dyDescent="0.3">
      <c r="A941" s="3">
        <v>44957</v>
      </c>
      <c r="B941">
        <v>110</v>
      </c>
      <c r="C941" s="3">
        <f>_xlfn.XLOOKUP(B941,Stores!A:A,Stores!E:E)</f>
        <v>44174</v>
      </c>
      <c r="D941">
        <v>217</v>
      </c>
      <c r="E941" s="3">
        <f>_xlfn.XLOOKUP(D941,SalesReps!A:A,SalesReps!D:D)</f>
        <v>44896</v>
      </c>
      <c r="F941" s="3" t="str">
        <f>_xlfn.XLOOKUP(Table1[[#This Row],[RepID]],SalesReps!A:A,SalesReps!E:E)</f>
        <v>Left</v>
      </c>
      <c r="G941">
        <v>301</v>
      </c>
      <c r="H941" t="str">
        <f>_xlfn.XLOOKUP(Table1[[#This Row],[ProductID]],Products!A:A,Products!B:B)</f>
        <v>Electronics</v>
      </c>
      <c r="I941" t="str">
        <f>_xlfn.XLOOKUP(Table1[[#This Row],[ProductID]],Products!A:A,Products!C:C)</f>
        <v>Mobiles</v>
      </c>
      <c r="J941">
        <v>6</v>
      </c>
      <c r="K941" s="5">
        <f>_xlfn.XLOOKUP(Table1[[#This Row],[ProductID]],Products!A:A,Products!E:E)</f>
        <v>159.16</v>
      </c>
      <c r="L941" s="5">
        <v>221.83</v>
      </c>
      <c r="M941" s="6">
        <v>0.11</v>
      </c>
      <c r="N941" t="s">
        <v>8</v>
      </c>
      <c r="O941" s="5">
        <f t="shared" si="70"/>
        <v>197.42870000000002</v>
      </c>
      <c r="P941" s="5">
        <f t="shared" si="71"/>
        <v>1184.5722000000001</v>
      </c>
      <c r="Q941" s="5">
        <f>Table1[[#This Row],[Quantity]]*(Table1[[#This Row],[Saleprice]]-Table1[[#This Row],[Costprice]])</f>
        <v>229.61220000000014</v>
      </c>
      <c r="R941">
        <f t="shared" si="72"/>
        <v>2023</v>
      </c>
      <c r="S941">
        <f t="shared" si="73"/>
        <v>1</v>
      </c>
      <c r="T941" t="str">
        <f t="shared" si="74"/>
        <v>January</v>
      </c>
    </row>
    <row r="942" spans="1:20" x14ac:dyDescent="0.3">
      <c r="A942" s="3">
        <v>44958</v>
      </c>
      <c r="B942">
        <v>107</v>
      </c>
      <c r="C942" s="3">
        <f>_xlfn.XLOOKUP(B942,Stores!A:A,Stores!E:E)</f>
        <v>44702</v>
      </c>
      <c r="D942">
        <v>215</v>
      </c>
      <c r="E942" s="3">
        <f>_xlfn.XLOOKUP(D942,SalesReps!A:A,SalesReps!D:D)</f>
        <v>44878</v>
      </c>
      <c r="F942" s="3" t="str">
        <f>_xlfn.XLOOKUP(Table1[[#This Row],[RepID]],SalesReps!A:A,SalesReps!E:E)</f>
        <v>Active</v>
      </c>
      <c r="G942">
        <v>307</v>
      </c>
      <c r="H942" t="str">
        <f>_xlfn.XLOOKUP(Table1[[#This Row],[ProductID]],Products!A:A,Products!B:B)</f>
        <v>Toys</v>
      </c>
      <c r="I942" t="str">
        <f>_xlfn.XLOOKUP(Table1[[#This Row],[ProductID]],Products!A:A,Products!C:C)</f>
        <v>Outdoor</v>
      </c>
      <c r="J942">
        <v>9</v>
      </c>
      <c r="K942" s="5">
        <f>_xlfn.XLOOKUP(Table1[[#This Row],[ProductID]],Products!A:A,Products!E:E)</f>
        <v>15.17</v>
      </c>
      <c r="L942" s="5">
        <v>99.75</v>
      </c>
      <c r="M942" s="6">
        <v>0.19</v>
      </c>
      <c r="N942" t="s">
        <v>8</v>
      </c>
      <c r="O942" s="5">
        <f t="shared" si="70"/>
        <v>80.797499999999999</v>
      </c>
      <c r="P942" s="5">
        <f t="shared" si="71"/>
        <v>727.17750000000001</v>
      </c>
      <c r="Q942" s="5">
        <f>Table1[[#This Row],[Quantity]]*(Table1[[#This Row],[Saleprice]]-Table1[[#This Row],[Costprice]])</f>
        <v>590.64750000000004</v>
      </c>
      <c r="R942">
        <f t="shared" si="72"/>
        <v>2023</v>
      </c>
      <c r="S942">
        <f t="shared" si="73"/>
        <v>2</v>
      </c>
      <c r="T942" t="str">
        <f t="shared" si="74"/>
        <v>February</v>
      </c>
    </row>
    <row r="943" spans="1:20" x14ac:dyDescent="0.3">
      <c r="A943" s="3">
        <v>44958</v>
      </c>
      <c r="B943">
        <v>110</v>
      </c>
      <c r="C943" s="3">
        <f>_xlfn.XLOOKUP(B943,Stores!A:A,Stores!E:E)</f>
        <v>44174</v>
      </c>
      <c r="D943">
        <v>217</v>
      </c>
      <c r="E943" s="3">
        <f>_xlfn.XLOOKUP(D943,SalesReps!A:A,SalesReps!D:D)</f>
        <v>44896</v>
      </c>
      <c r="F943" s="3" t="str">
        <f>_xlfn.XLOOKUP(Table1[[#This Row],[RepID]],SalesReps!A:A,SalesReps!E:E)</f>
        <v>Left</v>
      </c>
      <c r="G943">
        <v>315</v>
      </c>
      <c r="H943" t="str">
        <f>_xlfn.XLOOKUP(Table1[[#This Row],[ProductID]],Products!A:A,Products!B:B)</f>
        <v>Toys</v>
      </c>
      <c r="I943" t="str">
        <f>_xlfn.XLOOKUP(Table1[[#This Row],[ProductID]],Products!A:A,Products!C:C)</f>
        <v>Board Games</v>
      </c>
      <c r="J943">
        <v>8</v>
      </c>
      <c r="K943" s="5">
        <f>_xlfn.XLOOKUP(Table1[[#This Row],[ProductID]],Products!A:A,Products!E:E)</f>
        <v>247.9</v>
      </c>
      <c r="L943" s="5">
        <v>257.47000000000003</v>
      </c>
      <c r="M943" s="6">
        <v>0.24</v>
      </c>
      <c r="N943" t="s">
        <v>8</v>
      </c>
      <c r="O943" s="5">
        <f t="shared" si="70"/>
        <v>195.67720000000003</v>
      </c>
      <c r="P943" s="5">
        <f t="shared" si="71"/>
        <v>1565.4176000000002</v>
      </c>
      <c r="Q943" s="5">
        <f>Table1[[#This Row],[Quantity]]*(Table1[[#This Row],[Saleprice]]-Table1[[#This Row],[Costprice]])</f>
        <v>-417.78239999999983</v>
      </c>
      <c r="R943">
        <f t="shared" si="72"/>
        <v>2023</v>
      </c>
      <c r="S943">
        <f t="shared" si="73"/>
        <v>2</v>
      </c>
      <c r="T943" t="str">
        <f t="shared" si="74"/>
        <v>February</v>
      </c>
    </row>
    <row r="944" spans="1:20" x14ac:dyDescent="0.3">
      <c r="A944" s="3">
        <v>44958</v>
      </c>
      <c r="B944">
        <v>102</v>
      </c>
      <c r="C944" s="3">
        <f>_xlfn.XLOOKUP(B944,Stores!A:A,Stores!E:E)</f>
        <v>44875</v>
      </c>
      <c r="D944">
        <v>219</v>
      </c>
      <c r="E944" s="3">
        <f>_xlfn.XLOOKUP(D944,SalesReps!A:A,SalesReps!D:D)</f>
        <v>44883</v>
      </c>
      <c r="F944" s="3" t="str">
        <f>_xlfn.XLOOKUP(Table1[[#This Row],[RepID]],SalesReps!A:A,SalesReps!E:E)</f>
        <v>Active</v>
      </c>
      <c r="G944">
        <v>305</v>
      </c>
      <c r="H944" t="str">
        <f>_xlfn.XLOOKUP(Table1[[#This Row],[ProductID]],Products!A:A,Products!B:B)</f>
        <v>Electronics</v>
      </c>
      <c r="I944" t="str">
        <f>_xlfn.XLOOKUP(Table1[[#This Row],[ProductID]],Products!A:A,Products!C:C)</f>
        <v>Accessories</v>
      </c>
      <c r="J944">
        <v>4</v>
      </c>
      <c r="K944" s="5">
        <f>_xlfn.XLOOKUP(Table1[[#This Row],[ProductID]],Products!A:A,Products!E:E)</f>
        <v>275.32</v>
      </c>
      <c r="L944" s="5">
        <v>295.95999999999998</v>
      </c>
      <c r="M944" s="6">
        <v>0.16</v>
      </c>
      <c r="N944" t="s">
        <v>8</v>
      </c>
      <c r="O944" s="5">
        <f t="shared" si="70"/>
        <v>248.60639999999998</v>
      </c>
      <c r="P944" s="5">
        <f t="shared" si="71"/>
        <v>994.42559999999992</v>
      </c>
      <c r="Q944" s="5">
        <f>Table1[[#This Row],[Quantity]]*(Table1[[#This Row],[Saleprice]]-Table1[[#This Row],[Costprice]])</f>
        <v>-106.85440000000006</v>
      </c>
      <c r="R944">
        <f t="shared" si="72"/>
        <v>2023</v>
      </c>
      <c r="S944">
        <f t="shared" si="73"/>
        <v>2</v>
      </c>
      <c r="T944" t="str">
        <f t="shared" si="74"/>
        <v>February</v>
      </c>
    </row>
    <row r="945" spans="1:20" x14ac:dyDescent="0.3">
      <c r="A945" s="3">
        <v>44959</v>
      </c>
      <c r="B945">
        <v>102</v>
      </c>
      <c r="C945" s="3">
        <f>_xlfn.XLOOKUP(B945,Stores!A:A,Stores!E:E)</f>
        <v>44875</v>
      </c>
      <c r="D945">
        <v>219</v>
      </c>
      <c r="E945" s="3">
        <f>_xlfn.XLOOKUP(D945,SalesReps!A:A,SalesReps!D:D)</f>
        <v>44883</v>
      </c>
      <c r="F945" s="3" t="str">
        <f>_xlfn.XLOOKUP(Table1[[#This Row],[RepID]],SalesReps!A:A,SalesReps!E:E)</f>
        <v>Active</v>
      </c>
      <c r="G945">
        <v>320</v>
      </c>
      <c r="H945" t="str">
        <f>_xlfn.XLOOKUP(Table1[[#This Row],[ProductID]],Products!A:A,Products!B:B)</f>
        <v>Toys</v>
      </c>
      <c r="I945" t="str">
        <f>_xlfn.XLOOKUP(Table1[[#This Row],[ProductID]],Products!A:A,Products!C:C)</f>
        <v>Outdoor</v>
      </c>
      <c r="J945">
        <v>9</v>
      </c>
      <c r="K945" s="5">
        <f>_xlfn.XLOOKUP(Table1[[#This Row],[ProductID]],Products!A:A,Products!E:E)</f>
        <v>304.58999999999997</v>
      </c>
      <c r="L945" s="5">
        <v>376.64</v>
      </c>
      <c r="M945" s="6">
        <v>0.24</v>
      </c>
      <c r="N945" t="s">
        <v>8</v>
      </c>
      <c r="O945" s="5">
        <f t="shared" si="70"/>
        <v>286.24639999999999</v>
      </c>
      <c r="P945" s="5">
        <f t="shared" si="71"/>
        <v>2576.2175999999999</v>
      </c>
      <c r="Q945" s="5">
        <f>Table1[[#This Row],[Quantity]]*(Table1[[#This Row],[Saleprice]]-Table1[[#This Row],[Costprice]])</f>
        <v>-165.09239999999983</v>
      </c>
      <c r="R945">
        <f t="shared" si="72"/>
        <v>2023</v>
      </c>
      <c r="S945">
        <f t="shared" si="73"/>
        <v>2</v>
      </c>
      <c r="T945" t="str">
        <f t="shared" si="74"/>
        <v>February</v>
      </c>
    </row>
    <row r="946" spans="1:20" x14ac:dyDescent="0.3">
      <c r="A946" s="3">
        <v>44959</v>
      </c>
      <c r="B946">
        <v>110</v>
      </c>
      <c r="C946" s="3">
        <f>_xlfn.XLOOKUP(B946,Stores!A:A,Stores!E:E)</f>
        <v>44174</v>
      </c>
      <c r="D946">
        <v>217</v>
      </c>
      <c r="E946" s="3">
        <f>_xlfn.XLOOKUP(D946,SalesReps!A:A,SalesReps!D:D)</f>
        <v>44896</v>
      </c>
      <c r="F946" s="3" t="str">
        <f>_xlfn.XLOOKUP(Table1[[#This Row],[RepID]],SalesReps!A:A,SalesReps!E:E)</f>
        <v>Left</v>
      </c>
      <c r="G946">
        <v>307</v>
      </c>
      <c r="H946" t="str">
        <f>_xlfn.XLOOKUP(Table1[[#This Row],[ProductID]],Products!A:A,Products!B:B)</f>
        <v>Toys</v>
      </c>
      <c r="I946" t="str">
        <f>_xlfn.XLOOKUP(Table1[[#This Row],[ProductID]],Products!A:A,Products!C:C)</f>
        <v>Outdoor</v>
      </c>
      <c r="J946">
        <v>5</v>
      </c>
      <c r="K946" s="5">
        <f>_xlfn.XLOOKUP(Table1[[#This Row],[ProductID]],Products!A:A,Products!E:E)</f>
        <v>15.17</v>
      </c>
      <c r="L946" s="5">
        <v>41.88</v>
      </c>
      <c r="M946" s="6">
        <v>0.08</v>
      </c>
      <c r="N946" t="s">
        <v>8</v>
      </c>
      <c r="O946" s="5">
        <f t="shared" si="70"/>
        <v>38.529600000000002</v>
      </c>
      <c r="P946" s="5">
        <f t="shared" si="71"/>
        <v>192.64800000000002</v>
      </c>
      <c r="Q946" s="5">
        <f>Table1[[#This Row],[Quantity]]*(Table1[[#This Row],[Saleprice]]-Table1[[#This Row],[Costprice]])</f>
        <v>116.798</v>
      </c>
      <c r="R946">
        <f t="shared" si="72"/>
        <v>2023</v>
      </c>
      <c r="S946">
        <f t="shared" si="73"/>
        <v>2</v>
      </c>
      <c r="T946" t="str">
        <f t="shared" si="74"/>
        <v>February</v>
      </c>
    </row>
    <row r="947" spans="1:20" x14ac:dyDescent="0.3">
      <c r="A947" s="3">
        <v>44962</v>
      </c>
      <c r="B947">
        <v>107</v>
      </c>
      <c r="C947" s="3">
        <f>_xlfn.XLOOKUP(B947,Stores!A:A,Stores!E:E)</f>
        <v>44702</v>
      </c>
      <c r="D947">
        <v>215</v>
      </c>
      <c r="E947" s="3">
        <f>_xlfn.XLOOKUP(D947,SalesReps!A:A,SalesReps!D:D)</f>
        <v>44878</v>
      </c>
      <c r="F947" s="3" t="str">
        <f>_xlfn.XLOOKUP(Table1[[#This Row],[RepID]],SalesReps!A:A,SalesReps!E:E)</f>
        <v>Active</v>
      </c>
      <c r="G947">
        <v>303</v>
      </c>
      <c r="H947" t="str">
        <f>_xlfn.XLOOKUP(Table1[[#This Row],[ProductID]],Products!A:A,Products!B:B)</f>
        <v>Home &amp; Kitchen</v>
      </c>
      <c r="I947" t="str">
        <f>_xlfn.XLOOKUP(Table1[[#This Row],[ProductID]],Products!A:A,Products!C:C)</f>
        <v>Furniture</v>
      </c>
      <c r="J947">
        <v>6</v>
      </c>
      <c r="K947" s="5">
        <f>_xlfn.XLOOKUP(Table1[[#This Row],[ProductID]],Products!A:A,Products!E:E)</f>
        <v>192.04</v>
      </c>
      <c r="L947" s="5">
        <v>238.78</v>
      </c>
      <c r="M947" s="6">
        <v>0.09</v>
      </c>
      <c r="N947" t="s">
        <v>8</v>
      </c>
      <c r="O947" s="5">
        <f t="shared" si="70"/>
        <v>217.28980000000001</v>
      </c>
      <c r="P947" s="5">
        <f t="shared" si="71"/>
        <v>1303.7388000000001</v>
      </c>
      <c r="Q947" s="5">
        <f>Table1[[#This Row],[Quantity]]*(Table1[[#This Row],[Saleprice]]-Table1[[#This Row],[Costprice]])</f>
        <v>151.49880000000013</v>
      </c>
      <c r="R947">
        <f t="shared" si="72"/>
        <v>2023</v>
      </c>
      <c r="S947">
        <f t="shared" si="73"/>
        <v>2</v>
      </c>
      <c r="T947" t="str">
        <f t="shared" si="74"/>
        <v>February</v>
      </c>
    </row>
    <row r="948" spans="1:20" x14ac:dyDescent="0.3">
      <c r="A948" s="3">
        <v>44962</v>
      </c>
      <c r="B948">
        <v>102</v>
      </c>
      <c r="C948" s="3">
        <f>_xlfn.XLOOKUP(B948,Stores!A:A,Stores!E:E)</f>
        <v>44875</v>
      </c>
      <c r="D948">
        <v>219</v>
      </c>
      <c r="E948" s="3">
        <f>_xlfn.XLOOKUP(D948,SalesReps!A:A,SalesReps!D:D)</f>
        <v>44883</v>
      </c>
      <c r="F948" s="3" t="str">
        <f>_xlfn.XLOOKUP(Table1[[#This Row],[RepID]],SalesReps!A:A,SalesReps!E:E)</f>
        <v>Active</v>
      </c>
      <c r="G948">
        <v>314</v>
      </c>
      <c r="H948" t="str">
        <f>_xlfn.XLOOKUP(Table1[[#This Row],[ProductID]],Products!A:A,Products!B:B)</f>
        <v>Clothing</v>
      </c>
      <c r="I948" t="str">
        <f>_xlfn.XLOOKUP(Table1[[#This Row],[ProductID]],Products!A:A,Products!C:C)</f>
        <v>Kids</v>
      </c>
      <c r="J948">
        <v>9</v>
      </c>
      <c r="K948" s="5">
        <f>_xlfn.XLOOKUP(Table1[[#This Row],[ProductID]],Products!A:A,Products!E:E)</f>
        <v>276.47000000000003</v>
      </c>
      <c r="L948" s="5">
        <v>319.36</v>
      </c>
      <c r="M948" s="6">
        <v>0.14000000000000001</v>
      </c>
      <c r="N948" t="s">
        <v>8</v>
      </c>
      <c r="O948" s="5">
        <f t="shared" si="70"/>
        <v>274.64960000000002</v>
      </c>
      <c r="P948" s="5">
        <f t="shared" si="71"/>
        <v>2471.8464000000004</v>
      </c>
      <c r="Q948" s="5">
        <f>Table1[[#This Row],[Quantity]]*(Table1[[#This Row],[Saleprice]]-Table1[[#This Row],[Costprice]])</f>
        <v>-16.383600000000058</v>
      </c>
      <c r="R948">
        <f t="shared" si="72"/>
        <v>2023</v>
      </c>
      <c r="S948">
        <f t="shared" si="73"/>
        <v>2</v>
      </c>
      <c r="T948" t="str">
        <f t="shared" si="74"/>
        <v>February</v>
      </c>
    </row>
    <row r="949" spans="1:20" x14ac:dyDescent="0.3">
      <c r="A949" s="3">
        <v>44963</v>
      </c>
      <c r="B949">
        <v>102</v>
      </c>
      <c r="C949" s="3">
        <f>_xlfn.XLOOKUP(B949,Stores!A:A,Stores!E:E)</f>
        <v>44875</v>
      </c>
      <c r="D949">
        <v>219</v>
      </c>
      <c r="E949" s="3">
        <f>_xlfn.XLOOKUP(D949,SalesReps!A:A,SalesReps!D:D)</f>
        <v>44883</v>
      </c>
      <c r="F949" s="3" t="str">
        <f>_xlfn.XLOOKUP(Table1[[#This Row],[RepID]],SalesReps!A:A,SalesReps!E:E)</f>
        <v>Active</v>
      </c>
      <c r="G949">
        <v>303</v>
      </c>
      <c r="H949" t="str">
        <f>_xlfn.XLOOKUP(Table1[[#This Row],[ProductID]],Products!A:A,Products!B:B)</f>
        <v>Home &amp; Kitchen</v>
      </c>
      <c r="I949" t="str">
        <f>_xlfn.XLOOKUP(Table1[[#This Row],[ProductID]],Products!A:A,Products!C:C)</f>
        <v>Furniture</v>
      </c>
      <c r="J949">
        <v>5</v>
      </c>
      <c r="K949" s="5">
        <f>_xlfn.XLOOKUP(Table1[[#This Row],[ProductID]],Products!A:A,Products!E:E)</f>
        <v>192.04</v>
      </c>
      <c r="L949" s="5">
        <v>250.36</v>
      </c>
      <c r="M949" s="6">
        <v>0.13</v>
      </c>
      <c r="N949" t="s">
        <v>8</v>
      </c>
      <c r="O949" s="5">
        <f t="shared" si="70"/>
        <v>217.81320000000002</v>
      </c>
      <c r="P949" s="5">
        <f t="shared" si="71"/>
        <v>1089.066</v>
      </c>
      <c r="Q949" s="5">
        <f>Table1[[#This Row],[Quantity]]*(Table1[[#This Row],[Saleprice]]-Table1[[#This Row],[Costprice]])</f>
        <v>128.86600000000016</v>
      </c>
      <c r="R949">
        <f t="shared" si="72"/>
        <v>2023</v>
      </c>
      <c r="S949">
        <f t="shared" si="73"/>
        <v>2</v>
      </c>
      <c r="T949" t="str">
        <f t="shared" si="74"/>
        <v>February</v>
      </c>
    </row>
    <row r="950" spans="1:20" x14ac:dyDescent="0.3">
      <c r="A950" s="3">
        <v>44963</v>
      </c>
      <c r="B950">
        <v>102</v>
      </c>
      <c r="C950" s="3">
        <f>_xlfn.XLOOKUP(B950,Stores!A:A,Stores!E:E)</f>
        <v>44875</v>
      </c>
      <c r="D950">
        <v>219</v>
      </c>
      <c r="E950" s="3">
        <f>_xlfn.XLOOKUP(D950,SalesReps!A:A,SalesReps!D:D)</f>
        <v>44883</v>
      </c>
      <c r="F950" s="3" t="str">
        <f>_xlfn.XLOOKUP(Table1[[#This Row],[RepID]],SalesReps!A:A,SalesReps!E:E)</f>
        <v>Active</v>
      </c>
      <c r="G950">
        <v>302</v>
      </c>
      <c r="H950" t="str">
        <f>_xlfn.XLOOKUP(Table1[[#This Row],[ProductID]],Products!A:A,Products!B:B)</f>
        <v>Toys</v>
      </c>
      <c r="I950" t="str">
        <f>_xlfn.XLOOKUP(Table1[[#This Row],[ProductID]],Products!A:A,Products!C:C)</f>
        <v>Outdoor</v>
      </c>
      <c r="J950">
        <v>6</v>
      </c>
      <c r="K950" s="5">
        <f>_xlfn.XLOOKUP(Table1[[#This Row],[ProductID]],Products!A:A,Products!E:E)</f>
        <v>393.46</v>
      </c>
      <c r="L950" s="5">
        <v>399.95</v>
      </c>
      <c r="M950" s="6">
        <v>0.13</v>
      </c>
      <c r="N950" t="s">
        <v>8</v>
      </c>
      <c r="O950" s="5">
        <f t="shared" si="70"/>
        <v>347.95650000000001</v>
      </c>
      <c r="P950" s="5">
        <f t="shared" si="71"/>
        <v>2087.739</v>
      </c>
      <c r="Q950" s="5">
        <f>Table1[[#This Row],[Quantity]]*(Table1[[#This Row],[Saleprice]]-Table1[[#This Row],[Costprice]])</f>
        <v>-273.02099999999984</v>
      </c>
      <c r="R950">
        <f t="shared" si="72"/>
        <v>2023</v>
      </c>
      <c r="S950">
        <f t="shared" si="73"/>
        <v>2</v>
      </c>
      <c r="T950" t="str">
        <f t="shared" si="74"/>
        <v>February</v>
      </c>
    </row>
    <row r="951" spans="1:20" x14ac:dyDescent="0.3">
      <c r="A951" s="3">
        <v>44963</v>
      </c>
      <c r="B951">
        <v>110</v>
      </c>
      <c r="C951" s="3">
        <f>_xlfn.XLOOKUP(B951,Stores!A:A,Stores!E:E)</f>
        <v>44174</v>
      </c>
      <c r="D951">
        <v>217</v>
      </c>
      <c r="E951" s="3">
        <f>_xlfn.XLOOKUP(D951,SalesReps!A:A,SalesReps!D:D)</f>
        <v>44896</v>
      </c>
      <c r="F951" s="3" t="str">
        <f>_xlfn.XLOOKUP(Table1[[#This Row],[RepID]],SalesReps!A:A,SalesReps!E:E)</f>
        <v>Left</v>
      </c>
      <c r="G951">
        <v>310</v>
      </c>
      <c r="H951" t="str">
        <f>_xlfn.XLOOKUP(Table1[[#This Row],[ProductID]],Products!A:A,Products!B:B)</f>
        <v>Home &amp; Kitchen</v>
      </c>
      <c r="I951" t="str">
        <f>_xlfn.XLOOKUP(Table1[[#This Row],[ProductID]],Products!A:A,Products!C:C)</f>
        <v>Furniture</v>
      </c>
      <c r="J951">
        <v>1</v>
      </c>
      <c r="K951" s="5">
        <f>_xlfn.XLOOKUP(Table1[[#This Row],[ProductID]],Products!A:A,Products!E:E)</f>
        <v>160.31</v>
      </c>
      <c r="L951" s="5">
        <v>255.85</v>
      </c>
      <c r="M951" s="6">
        <v>0.12</v>
      </c>
      <c r="N951" t="s">
        <v>8</v>
      </c>
      <c r="O951" s="5">
        <f t="shared" si="70"/>
        <v>225.148</v>
      </c>
      <c r="P951" s="5">
        <f t="shared" si="71"/>
        <v>225.148</v>
      </c>
      <c r="Q951" s="5">
        <f>Table1[[#This Row],[Quantity]]*(Table1[[#This Row],[Saleprice]]-Table1[[#This Row],[Costprice]])</f>
        <v>64.837999999999994</v>
      </c>
      <c r="R951">
        <f t="shared" si="72"/>
        <v>2023</v>
      </c>
      <c r="S951">
        <f t="shared" si="73"/>
        <v>2</v>
      </c>
      <c r="T951" t="str">
        <f t="shared" si="74"/>
        <v>February</v>
      </c>
    </row>
    <row r="952" spans="1:20" x14ac:dyDescent="0.3">
      <c r="A952" s="3">
        <v>44963</v>
      </c>
      <c r="B952">
        <v>110</v>
      </c>
      <c r="C952" s="3">
        <f>_xlfn.XLOOKUP(B952,Stores!A:A,Stores!E:E)</f>
        <v>44174</v>
      </c>
      <c r="D952">
        <v>217</v>
      </c>
      <c r="E952" s="3">
        <f>_xlfn.XLOOKUP(D952,SalesReps!A:A,SalesReps!D:D)</f>
        <v>44896</v>
      </c>
      <c r="F952" s="3" t="str">
        <f>_xlfn.XLOOKUP(Table1[[#This Row],[RepID]],SalesReps!A:A,SalesReps!E:E)</f>
        <v>Left</v>
      </c>
      <c r="G952">
        <v>301</v>
      </c>
      <c r="H952" t="str">
        <f>_xlfn.XLOOKUP(Table1[[#This Row],[ProductID]],Products!A:A,Products!B:B)</f>
        <v>Electronics</v>
      </c>
      <c r="I952" t="str">
        <f>_xlfn.XLOOKUP(Table1[[#This Row],[ProductID]],Products!A:A,Products!C:C)</f>
        <v>Mobiles</v>
      </c>
      <c r="J952">
        <v>2</v>
      </c>
      <c r="K952" s="5">
        <f>_xlfn.XLOOKUP(Table1[[#This Row],[ProductID]],Products!A:A,Products!E:E)</f>
        <v>159.16</v>
      </c>
      <c r="L952" s="5">
        <v>221.83</v>
      </c>
      <c r="M952" s="6">
        <v>0.11</v>
      </c>
      <c r="N952" t="s">
        <v>8</v>
      </c>
      <c r="O952" s="5">
        <f t="shared" si="70"/>
        <v>197.42870000000002</v>
      </c>
      <c r="P952" s="5">
        <f t="shared" si="71"/>
        <v>394.85740000000004</v>
      </c>
      <c r="Q952" s="5">
        <f>Table1[[#This Row],[Quantity]]*(Table1[[#This Row],[Saleprice]]-Table1[[#This Row],[Costprice]])</f>
        <v>76.537400000000048</v>
      </c>
      <c r="R952">
        <f t="shared" si="72"/>
        <v>2023</v>
      </c>
      <c r="S952">
        <f t="shared" si="73"/>
        <v>2</v>
      </c>
      <c r="T952" t="str">
        <f t="shared" si="74"/>
        <v>February</v>
      </c>
    </row>
    <row r="953" spans="1:20" x14ac:dyDescent="0.3">
      <c r="A953" s="3">
        <v>44963</v>
      </c>
      <c r="B953">
        <v>110</v>
      </c>
      <c r="C953" s="3">
        <f>_xlfn.XLOOKUP(B953,Stores!A:A,Stores!E:E)</f>
        <v>44174</v>
      </c>
      <c r="D953">
        <v>217</v>
      </c>
      <c r="E953" s="3">
        <f>_xlfn.XLOOKUP(D953,SalesReps!A:A,SalesReps!D:D)</f>
        <v>44896</v>
      </c>
      <c r="F953" s="3" t="str">
        <f>_xlfn.XLOOKUP(Table1[[#This Row],[RepID]],SalesReps!A:A,SalesReps!E:E)</f>
        <v>Left</v>
      </c>
      <c r="G953">
        <v>312</v>
      </c>
      <c r="H953" t="str">
        <f>_xlfn.XLOOKUP(Table1[[#This Row],[ProductID]],Products!A:A,Products!B:B)</f>
        <v>Toys</v>
      </c>
      <c r="I953" t="str">
        <f>_xlfn.XLOOKUP(Table1[[#This Row],[ProductID]],Products!A:A,Products!C:C)</f>
        <v>Board Games</v>
      </c>
      <c r="J953">
        <v>1</v>
      </c>
      <c r="K953" s="5">
        <f>_xlfn.XLOOKUP(Table1[[#This Row],[ProductID]],Products!A:A,Products!E:E)</f>
        <v>100.05</v>
      </c>
      <c r="L953" s="5">
        <v>168.89</v>
      </c>
      <c r="M953" s="6">
        <v>0.12</v>
      </c>
      <c r="N953" t="s">
        <v>8</v>
      </c>
      <c r="O953" s="5">
        <f t="shared" si="70"/>
        <v>148.6232</v>
      </c>
      <c r="P953" s="5">
        <f t="shared" si="71"/>
        <v>148.6232</v>
      </c>
      <c r="Q953" s="5">
        <f>Table1[[#This Row],[Quantity]]*(Table1[[#This Row],[Saleprice]]-Table1[[#This Row],[Costprice]])</f>
        <v>48.5732</v>
      </c>
      <c r="R953">
        <f t="shared" si="72"/>
        <v>2023</v>
      </c>
      <c r="S953">
        <f t="shared" si="73"/>
        <v>2</v>
      </c>
      <c r="T953" t="str">
        <f t="shared" si="74"/>
        <v>February</v>
      </c>
    </row>
    <row r="954" spans="1:20" x14ac:dyDescent="0.3">
      <c r="A954" s="3">
        <v>44964</v>
      </c>
      <c r="B954">
        <v>110</v>
      </c>
      <c r="C954" s="3">
        <f>_xlfn.XLOOKUP(B954,Stores!A:A,Stores!E:E)</f>
        <v>44174</v>
      </c>
      <c r="D954">
        <v>217</v>
      </c>
      <c r="E954" s="3">
        <f>_xlfn.XLOOKUP(D954,SalesReps!A:A,SalesReps!D:D)</f>
        <v>44896</v>
      </c>
      <c r="F954" s="3" t="str">
        <f>_xlfn.XLOOKUP(Table1[[#This Row],[RepID]],SalesReps!A:A,SalesReps!E:E)</f>
        <v>Left</v>
      </c>
      <c r="G954">
        <v>310</v>
      </c>
      <c r="H954" t="str">
        <f>_xlfn.XLOOKUP(Table1[[#This Row],[ProductID]],Products!A:A,Products!B:B)</f>
        <v>Home &amp; Kitchen</v>
      </c>
      <c r="I954" t="str">
        <f>_xlfn.XLOOKUP(Table1[[#This Row],[ProductID]],Products!A:A,Products!C:C)</f>
        <v>Furniture</v>
      </c>
      <c r="J954">
        <v>8</v>
      </c>
      <c r="K954" s="5">
        <f>_xlfn.XLOOKUP(Table1[[#This Row],[ProductID]],Products!A:A,Products!E:E)</f>
        <v>160.31</v>
      </c>
      <c r="L954" s="5">
        <v>255.85</v>
      </c>
      <c r="M954" s="6">
        <v>0.12</v>
      </c>
      <c r="N954" t="s">
        <v>8</v>
      </c>
      <c r="O954" s="5">
        <f t="shared" si="70"/>
        <v>225.148</v>
      </c>
      <c r="P954" s="5">
        <f t="shared" si="71"/>
        <v>1801.184</v>
      </c>
      <c r="Q954" s="5">
        <f>Table1[[#This Row],[Quantity]]*(Table1[[#This Row],[Saleprice]]-Table1[[#This Row],[Costprice]])</f>
        <v>518.70399999999995</v>
      </c>
      <c r="R954">
        <f t="shared" si="72"/>
        <v>2023</v>
      </c>
      <c r="S954">
        <f t="shared" si="73"/>
        <v>2</v>
      </c>
      <c r="T954" t="str">
        <f t="shared" si="74"/>
        <v>February</v>
      </c>
    </row>
    <row r="955" spans="1:20" x14ac:dyDescent="0.3">
      <c r="A955" s="3">
        <v>44965</v>
      </c>
      <c r="B955">
        <v>110</v>
      </c>
      <c r="C955" s="3">
        <f>_xlfn.XLOOKUP(B955,Stores!A:A,Stores!E:E)</f>
        <v>44174</v>
      </c>
      <c r="D955">
        <v>217</v>
      </c>
      <c r="E955" s="3">
        <f>_xlfn.XLOOKUP(D955,SalesReps!A:A,SalesReps!D:D)</f>
        <v>44896</v>
      </c>
      <c r="F955" s="3" t="str">
        <f>_xlfn.XLOOKUP(Table1[[#This Row],[RepID]],SalesReps!A:A,SalesReps!E:E)</f>
        <v>Left</v>
      </c>
      <c r="G955">
        <v>313</v>
      </c>
      <c r="H955" t="str">
        <f>_xlfn.XLOOKUP(Table1[[#This Row],[ProductID]],Products!A:A,Products!B:B)</f>
        <v>Clothing</v>
      </c>
      <c r="I955" t="str">
        <f>_xlfn.XLOOKUP(Table1[[#This Row],[ProductID]],Products!A:A,Products!C:C)</f>
        <v>Women</v>
      </c>
      <c r="J955">
        <v>9</v>
      </c>
      <c r="K955" s="5">
        <f>_xlfn.XLOOKUP(Table1[[#This Row],[ProductID]],Products!A:A,Products!E:E)</f>
        <v>104</v>
      </c>
      <c r="L955" s="5">
        <v>121.61</v>
      </c>
      <c r="M955" s="6">
        <v>0.24</v>
      </c>
      <c r="N955" t="s">
        <v>8</v>
      </c>
      <c r="O955" s="5">
        <f t="shared" si="70"/>
        <v>92.423600000000008</v>
      </c>
      <c r="P955" s="5">
        <f t="shared" si="71"/>
        <v>831.81240000000003</v>
      </c>
      <c r="Q955" s="5">
        <f>Table1[[#This Row],[Quantity]]*(Table1[[#This Row],[Saleprice]]-Table1[[#This Row],[Costprice]])</f>
        <v>-104.18759999999993</v>
      </c>
      <c r="R955">
        <f t="shared" si="72"/>
        <v>2023</v>
      </c>
      <c r="S955">
        <f t="shared" si="73"/>
        <v>2</v>
      </c>
      <c r="T955" t="str">
        <f t="shared" si="74"/>
        <v>February</v>
      </c>
    </row>
    <row r="956" spans="1:20" x14ac:dyDescent="0.3">
      <c r="A956" s="3">
        <v>44965</v>
      </c>
      <c r="B956">
        <v>102</v>
      </c>
      <c r="C956" s="3">
        <f>_xlfn.XLOOKUP(B956,Stores!A:A,Stores!E:E)</f>
        <v>44875</v>
      </c>
      <c r="D956">
        <v>219</v>
      </c>
      <c r="E956" s="3">
        <f>_xlfn.XLOOKUP(D956,SalesReps!A:A,SalesReps!D:D)</f>
        <v>44883</v>
      </c>
      <c r="F956" s="3" t="str">
        <f>_xlfn.XLOOKUP(Table1[[#This Row],[RepID]],SalesReps!A:A,SalesReps!E:E)</f>
        <v>Active</v>
      </c>
      <c r="G956">
        <v>306</v>
      </c>
      <c r="H956" t="str">
        <f>_xlfn.XLOOKUP(Table1[[#This Row],[ProductID]],Products!A:A,Products!B:B)</f>
        <v>Clothing</v>
      </c>
      <c r="I956" t="str">
        <f>_xlfn.XLOOKUP(Table1[[#This Row],[ProductID]],Products!A:A,Products!C:C)</f>
        <v>Men</v>
      </c>
      <c r="J956">
        <v>3</v>
      </c>
      <c r="K956" s="5">
        <f>_xlfn.XLOOKUP(Table1[[#This Row],[ProductID]],Products!A:A,Products!E:E)</f>
        <v>185.69</v>
      </c>
      <c r="L956" s="5">
        <v>193.83</v>
      </c>
      <c r="M956" s="6">
        <v>0.12</v>
      </c>
      <c r="N956" t="s">
        <v>8</v>
      </c>
      <c r="O956" s="5">
        <f t="shared" si="70"/>
        <v>170.57040000000001</v>
      </c>
      <c r="P956" s="5">
        <f t="shared" si="71"/>
        <v>511.71120000000002</v>
      </c>
      <c r="Q956" s="5">
        <f>Table1[[#This Row],[Quantity]]*(Table1[[#This Row],[Saleprice]]-Table1[[#This Row],[Costprice]])</f>
        <v>-45.358799999999974</v>
      </c>
      <c r="R956">
        <f t="shared" si="72"/>
        <v>2023</v>
      </c>
      <c r="S956">
        <f t="shared" si="73"/>
        <v>2</v>
      </c>
      <c r="T956" t="str">
        <f t="shared" si="74"/>
        <v>February</v>
      </c>
    </row>
    <row r="957" spans="1:20" x14ac:dyDescent="0.3">
      <c r="A957" s="3">
        <v>44966</v>
      </c>
      <c r="B957">
        <v>107</v>
      </c>
      <c r="C957" s="3">
        <f>_xlfn.XLOOKUP(B957,Stores!A:A,Stores!E:E)</f>
        <v>44702</v>
      </c>
      <c r="D957">
        <v>215</v>
      </c>
      <c r="E957" s="3">
        <f>_xlfn.XLOOKUP(D957,SalesReps!A:A,SalesReps!D:D)</f>
        <v>44878</v>
      </c>
      <c r="F957" s="3" t="str">
        <f>_xlfn.XLOOKUP(Table1[[#This Row],[RepID]],SalesReps!A:A,SalesReps!E:E)</f>
        <v>Active</v>
      </c>
      <c r="G957">
        <v>308</v>
      </c>
      <c r="H957" t="str">
        <f>_xlfn.XLOOKUP(Table1[[#This Row],[ProductID]],Products!A:A,Products!B:B)</f>
        <v>Home &amp; Kitchen</v>
      </c>
      <c r="I957" t="str">
        <f>_xlfn.XLOOKUP(Table1[[#This Row],[ProductID]],Products!A:A,Products!C:C)</f>
        <v>Furniture</v>
      </c>
      <c r="J957">
        <v>4</v>
      </c>
      <c r="K957" s="5">
        <f>_xlfn.XLOOKUP(Table1[[#This Row],[ProductID]],Products!A:A,Products!E:E)</f>
        <v>377.46</v>
      </c>
      <c r="L957" s="5">
        <v>420.89</v>
      </c>
      <c r="M957" s="6">
        <v>0.23</v>
      </c>
      <c r="N957" t="s">
        <v>8</v>
      </c>
      <c r="O957" s="5">
        <f t="shared" si="70"/>
        <v>324.08530000000002</v>
      </c>
      <c r="P957" s="5">
        <f t="shared" si="71"/>
        <v>1296.3412000000001</v>
      </c>
      <c r="Q957" s="5">
        <f>Table1[[#This Row],[Quantity]]*(Table1[[#This Row],[Saleprice]]-Table1[[#This Row],[Costprice]])</f>
        <v>-213.49879999999985</v>
      </c>
      <c r="R957">
        <f t="shared" si="72"/>
        <v>2023</v>
      </c>
      <c r="S957">
        <f t="shared" si="73"/>
        <v>2</v>
      </c>
      <c r="T957" t="str">
        <f t="shared" si="74"/>
        <v>February</v>
      </c>
    </row>
    <row r="958" spans="1:20" x14ac:dyDescent="0.3">
      <c r="A958" s="3">
        <v>44966</v>
      </c>
      <c r="B958">
        <v>102</v>
      </c>
      <c r="C958" s="3">
        <f>_xlfn.XLOOKUP(B958,Stores!A:A,Stores!E:E)</f>
        <v>44875</v>
      </c>
      <c r="D958">
        <v>219</v>
      </c>
      <c r="E958" s="3">
        <f>_xlfn.XLOOKUP(D958,SalesReps!A:A,SalesReps!D:D)</f>
        <v>44883</v>
      </c>
      <c r="F958" s="3" t="str">
        <f>_xlfn.XLOOKUP(Table1[[#This Row],[RepID]],SalesReps!A:A,SalesReps!E:E)</f>
        <v>Active</v>
      </c>
      <c r="G958">
        <v>307</v>
      </c>
      <c r="H958" t="str">
        <f>_xlfn.XLOOKUP(Table1[[#This Row],[ProductID]],Products!A:A,Products!B:B)</f>
        <v>Toys</v>
      </c>
      <c r="I958" t="str">
        <f>_xlfn.XLOOKUP(Table1[[#This Row],[ProductID]],Products!A:A,Products!C:C)</f>
        <v>Outdoor</v>
      </c>
      <c r="J958">
        <v>8</v>
      </c>
      <c r="K958" s="5">
        <f>_xlfn.XLOOKUP(Table1[[#This Row],[ProductID]],Products!A:A,Products!E:E)</f>
        <v>15.17</v>
      </c>
      <c r="L958" s="5">
        <v>101.71</v>
      </c>
      <c r="M958" s="6">
        <v>0.12</v>
      </c>
      <c r="N958" t="s">
        <v>8</v>
      </c>
      <c r="O958" s="5">
        <f t="shared" si="70"/>
        <v>89.504799999999989</v>
      </c>
      <c r="P958" s="5">
        <f t="shared" si="71"/>
        <v>716.03839999999991</v>
      </c>
      <c r="Q958" s="5">
        <f>Table1[[#This Row],[Quantity]]*(Table1[[#This Row],[Saleprice]]-Table1[[#This Row],[Costprice]])</f>
        <v>594.6783999999999</v>
      </c>
      <c r="R958">
        <f t="shared" si="72"/>
        <v>2023</v>
      </c>
      <c r="S958">
        <f t="shared" si="73"/>
        <v>2</v>
      </c>
      <c r="T958" t="str">
        <f t="shared" si="74"/>
        <v>February</v>
      </c>
    </row>
    <row r="959" spans="1:20" x14ac:dyDescent="0.3">
      <c r="A959" s="3">
        <v>44966</v>
      </c>
      <c r="B959">
        <v>102</v>
      </c>
      <c r="C959" s="3">
        <f>_xlfn.XLOOKUP(B959,Stores!A:A,Stores!E:E)</f>
        <v>44875</v>
      </c>
      <c r="D959">
        <v>219</v>
      </c>
      <c r="E959" s="3">
        <f>_xlfn.XLOOKUP(D959,SalesReps!A:A,SalesReps!D:D)</f>
        <v>44883</v>
      </c>
      <c r="F959" s="3" t="str">
        <f>_xlfn.XLOOKUP(Table1[[#This Row],[RepID]],SalesReps!A:A,SalesReps!E:E)</f>
        <v>Active</v>
      </c>
      <c r="G959">
        <v>310</v>
      </c>
      <c r="H959" t="str">
        <f>_xlfn.XLOOKUP(Table1[[#This Row],[ProductID]],Products!A:A,Products!B:B)</f>
        <v>Home &amp; Kitchen</v>
      </c>
      <c r="I959" t="str">
        <f>_xlfn.XLOOKUP(Table1[[#This Row],[ProductID]],Products!A:A,Products!C:C)</f>
        <v>Furniture</v>
      </c>
      <c r="J959">
        <v>6</v>
      </c>
      <c r="K959" s="5">
        <f>_xlfn.XLOOKUP(Table1[[#This Row],[ProductID]],Products!A:A,Products!E:E)</f>
        <v>160.31</v>
      </c>
      <c r="L959" s="5">
        <v>251.39</v>
      </c>
      <c r="M959" s="6">
        <v>0.14000000000000001</v>
      </c>
      <c r="N959" t="s">
        <v>8</v>
      </c>
      <c r="O959" s="5">
        <f t="shared" si="70"/>
        <v>216.19539999999998</v>
      </c>
      <c r="P959" s="5">
        <f t="shared" si="71"/>
        <v>1297.1723999999999</v>
      </c>
      <c r="Q959" s="5">
        <f>Table1[[#This Row],[Quantity]]*(Table1[[#This Row],[Saleprice]]-Table1[[#This Row],[Costprice]])</f>
        <v>335.31239999999985</v>
      </c>
      <c r="R959">
        <f t="shared" si="72"/>
        <v>2023</v>
      </c>
      <c r="S959">
        <f t="shared" si="73"/>
        <v>2</v>
      </c>
      <c r="T959" t="str">
        <f t="shared" si="74"/>
        <v>February</v>
      </c>
    </row>
    <row r="960" spans="1:20" x14ac:dyDescent="0.3">
      <c r="A960" s="3">
        <v>44966</v>
      </c>
      <c r="B960">
        <v>110</v>
      </c>
      <c r="C960" s="3">
        <f>_xlfn.XLOOKUP(B960,Stores!A:A,Stores!E:E)</f>
        <v>44174</v>
      </c>
      <c r="D960">
        <v>217</v>
      </c>
      <c r="E960" s="3">
        <f>_xlfn.XLOOKUP(D960,SalesReps!A:A,SalesReps!D:D)</f>
        <v>44896</v>
      </c>
      <c r="F960" s="3" t="str">
        <f>_xlfn.XLOOKUP(Table1[[#This Row],[RepID]],SalesReps!A:A,SalesReps!E:E)</f>
        <v>Left</v>
      </c>
      <c r="G960">
        <v>307</v>
      </c>
      <c r="H960" t="str">
        <f>_xlfn.XLOOKUP(Table1[[#This Row],[ProductID]],Products!A:A,Products!B:B)</f>
        <v>Toys</v>
      </c>
      <c r="I960" t="str">
        <f>_xlfn.XLOOKUP(Table1[[#This Row],[ProductID]],Products!A:A,Products!C:C)</f>
        <v>Outdoor</v>
      </c>
      <c r="J960">
        <v>2</v>
      </c>
      <c r="K960" s="5">
        <f>_xlfn.XLOOKUP(Table1[[#This Row],[ProductID]],Products!A:A,Products!E:E)</f>
        <v>15.17</v>
      </c>
      <c r="L960" s="5">
        <v>41.88</v>
      </c>
      <c r="M960" s="6">
        <v>0.08</v>
      </c>
      <c r="N960" t="s">
        <v>8</v>
      </c>
      <c r="O960" s="5">
        <f t="shared" si="70"/>
        <v>38.529600000000002</v>
      </c>
      <c r="P960" s="5">
        <f t="shared" si="71"/>
        <v>77.059200000000004</v>
      </c>
      <c r="Q960" s="5">
        <f>Table1[[#This Row],[Quantity]]*(Table1[[#This Row],[Saleprice]]-Table1[[#This Row],[Costprice]])</f>
        <v>46.719200000000001</v>
      </c>
      <c r="R960">
        <f t="shared" si="72"/>
        <v>2023</v>
      </c>
      <c r="S960">
        <f t="shared" si="73"/>
        <v>2</v>
      </c>
      <c r="T960" t="str">
        <f t="shared" si="74"/>
        <v>February</v>
      </c>
    </row>
    <row r="961" spans="1:20" x14ac:dyDescent="0.3">
      <c r="A961" s="3">
        <v>44967</v>
      </c>
      <c r="B961">
        <v>110</v>
      </c>
      <c r="C961" s="3">
        <f>_xlfn.XLOOKUP(B961,Stores!A:A,Stores!E:E)</f>
        <v>44174</v>
      </c>
      <c r="D961">
        <v>217</v>
      </c>
      <c r="E961" s="3">
        <f>_xlfn.XLOOKUP(D961,SalesReps!A:A,SalesReps!D:D)</f>
        <v>44896</v>
      </c>
      <c r="F961" s="3" t="str">
        <f>_xlfn.XLOOKUP(Table1[[#This Row],[RepID]],SalesReps!A:A,SalesReps!E:E)</f>
        <v>Left</v>
      </c>
      <c r="G961">
        <v>302</v>
      </c>
      <c r="H961" t="str">
        <f>_xlfn.XLOOKUP(Table1[[#This Row],[ProductID]],Products!A:A,Products!B:B)</f>
        <v>Toys</v>
      </c>
      <c r="I961" t="str">
        <f>_xlfn.XLOOKUP(Table1[[#This Row],[ProductID]],Products!A:A,Products!C:C)</f>
        <v>Outdoor</v>
      </c>
      <c r="J961">
        <v>4</v>
      </c>
      <c r="K961" s="5">
        <f>_xlfn.XLOOKUP(Table1[[#This Row],[ProductID]],Products!A:A,Products!E:E)</f>
        <v>393.46</v>
      </c>
      <c r="L961" s="5">
        <v>462</v>
      </c>
      <c r="M961" s="6">
        <v>0.18</v>
      </c>
      <c r="N961" t="s">
        <v>8</v>
      </c>
      <c r="O961" s="5">
        <f t="shared" si="70"/>
        <v>378.84000000000003</v>
      </c>
      <c r="P961" s="5">
        <f t="shared" si="71"/>
        <v>1515.3600000000001</v>
      </c>
      <c r="Q961" s="5">
        <f>Table1[[#This Row],[Quantity]]*(Table1[[#This Row],[Saleprice]]-Table1[[#This Row],[Costprice]])</f>
        <v>-58.479999999999791</v>
      </c>
      <c r="R961">
        <f t="shared" si="72"/>
        <v>2023</v>
      </c>
      <c r="S961">
        <f t="shared" si="73"/>
        <v>2</v>
      </c>
      <c r="T961" t="str">
        <f t="shared" si="74"/>
        <v>February</v>
      </c>
    </row>
    <row r="962" spans="1:20" x14ac:dyDescent="0.3">
      <c r="A962" s="3">
        <v>44967</v>
      </c>
      <c r="B962">
        <v>102</v>
      </c>
      <c r="C962" s="3">
        <f>_xlfn.XLOOKUP(B962,Stores!A:A,Stores!E:E)</f>
        <v>44875</v>
      </c>
      <c r="D962">
        <v>219</v>
      </c>
      <c r="E962" s="3">
        <f>_xlfn.XLOOKUP(D962,SalesReps!A:A,SalesReps!D:D)</f>
        <v>44883</v>
      </c>
      <c r="F962" s="3" t="str">
        <f>_xlfn.XLOOKUP(Table1[[#This Row],[RepID]],SalesReps!A:A,SalesReps!E:E)</f>
        <v>Active</v>
      </c>
      <c r="G962">
        <v>304</v>
      </c>
      <c r="H962" t="str">
        <f>_xlfn.XLOOKUP(Table1[[#This Row],[ProductID]],Products!A:A,Products!B:B)</f>
        <v>Home &amp; Kitchen</v>
      </c>
      <c r="I962" t="str">
        <f>_xlfn.XLOOKUP(Table1[[#This Row],[ProductID]],Products!A:A,Products!C:C)</f>
        <v>Furniture</v>
      </c>
      <c r="J962">
        <v>8</v>
      </c>
      <c r="K962" s="5">
        <f>_xlfn.XLOOKUP(Table1[[#This Row],[ProductID]],Products!A:A,Products!E:E)</f>
        <v>345.38</v>
      </c>
      <c r="L962" s="5">
        <v>439.95</v>
      </c>
      <c r="M962" s="6">
        <v>0.17</v>
      </c>
      <c r="N962" t="s">
        <v>8</v>
      </c>
      <c r="O962" s="5">
        <f t="shared" ref="O962:O1001" si="75">L962*(1-M962)</f>
        <v>365.15849999999995</v>
      </c>
      <c r="P962" s="5">
        <f t="shared" ref="P962:P1001" si="76">O962*J962</f>
        <v>2921.2679999999996</v>
      </c>
      <c r="Q962" s="5">
        <f>Table1[[#This Row],[Quantity]]*(Table1[[#This Row],[Saleprice]]-Table1[[#This Row],[Costprice]])</f>
        <v>158.22799999999961</v>
      </c>
      <c r="R962">
        <f t="shared" ref="R962:R1001" si="77">YEAR(A962)</f>
        <v>2023</v>
      </c>
      <c r="S962">
        <f t="shared" ref="S962:S1001" si="78">MONTH(A962)</f>
        <v>2</v>
      </c>
      <c r="T962" t="str">
        <f t="shared" ref="T962:T1001" si="79">TEXT(A962,"MMMM")</f>
        <v>February</v>
      </c>
    </row>
    <row r="963" spans="1:20" x14ac:dyDescent="0.3">
      <c r="A963" s="3">
        <v>44967</v>
      </c>
      <c r="B963">
        <v>110</v>
      </c>
      <c r="C963" s="3">
        <f>_xlfn.XLOOKUP(B963,Stores!A:A,Stores!E:E)</f>
        <v>44174</v>
      </c>
      <c r="D963">
        <v>217</v>
      </c>
      <c r="E963" s="3">
        <f>_xlfn.XLOOKUP(D963,SalesReps!A:A,SalesReps!D:D)</f>
        <v>44896</v>
      </c>
      <c r="F963" s="3" t="str">
        <f>_xlfn.XLOOKUP(Table1[[#This Row],[RepID]],SalesReps!A:A,SalesReps!E:E)</f>
        <v>Left</v>
      </c>
      <c r="G963">
        <v>303</v>
      </c>
      <c r="H963" t="str">
        <f>_xlfn.XLOOKUP(Table1[[#This Row],[ProductID]],Products!A:A,Products!B:B)</f>
        <v>Home &amp; Kitchen</v>
      </c>
      <c r="I963" t="str">
        <f>_xlfn.XLOOKUP(Table1[[#This Row],[ProductID]],Products!A:A,Products!C:C)</f>
        <v>Furniture</v>
      </c>
      <c r="J963">
        <v>9</v>
      </c>
      <c r="K963" s="5">
        <f>_xlfn.XLOOKUP(Table1[[#This Row],[ProductID]],Products!A:A,Products!E:E)</f>
        <v>192.04</v>
      </c>
      <c r="L963" s="5">
        <v>210.28</v>
      </c>
      <c r="M963" s="6">
        <v>0.17</v>
      </c>
      <c r="N963" t="s">
        <v>8</v>
      </c>
      <c r="O963" s="5">
        <f t="shared" si="75"/>
        <v>174.5324</v>
      </c>
      <c r="P963" s="5">
        <f t="shared" si="76"/>
        <v>1570.7916</v>
      </c>
      <c r="Q963" s="5">
        <f>Table1[[#This Row],[Quantity]]*(Table1[[#This Row],[Saleprice]]-Table1[[#This Row],[Costprice]])</f>
        <v>-157.56839999999997</v>
      </c>
      <c r="R963">
        <f t="shared" si="77"/>
        <v>2023</v>
      </c>
      <c r="S963">
        <f t="shared" si="78"/>
        <v>2</v>
      </c>
      <c r="T963" t="str">
        <f t="shared" si="79"/>
        <v>February</v>
      </c>
    </row>
    <row r="964" spans="1:20" x14ac:dyDescent="0.3">
      <c r="A964" s="3">
        <v>44967</v>
      </c>
      <c r="B964">
        <v>110</v>
      </c>
      <c r="C964" s="3">
        <f>_xlfn.XLOOKUP(B964,Stores!A:A,Stores!E:E)</f>
        <v>44174</v>
      </c>
      <c r="D964">
        <v>217</v>
      </c>
      <c r="E964" s="3">
        <f>_xlfn.XLOOKUP(D964,SalesReps!A:A,SalesReps!D:D)</f>
        <v>44896</v>
      </c>
      <c r="F964" s="3" t="str">
        <f>_xlfn.XLOOKUP(Table1[[#This Row],[RepID]],SalesReps!A:A,SalesReps!E:E)</f>
        <v>Left</v>
      </c>
      <c r="G964">
        <v>320</v>
      </c>
      <c r="H964" t="str">
        <f>_xlfn.XLOOKUP(Table1[[#This Row],[ProductID]],Products!A:A,Products!B:B)</f>
        <v>Toys</v>
      </c>
      <c r="I964" t="str">
        <f>_xlfn.XLOOKUP(Table1[[#This Row],[ProductID]],Products!A:A,Products!C:C)</f>
        <v>Outdoor</v>
      </c>
      <c r="J964">
        <v>6</v>
      </c>
      <c r="K964" s="5">
        <f>_xlfn.XLOOKUP(Table1[[#This Row],[ProductID]],Products!A:A,Products!E:E)</f>
        <v>304.58999999999997</v>
      </c>
      <c r="L964" s="5">
        <v>332.08</v>
      </c>
      <c r="M964" s="6">
        <v>0.23</v>
      </c>
      <c r="N964" t="s">
        <v>8</v>
      </c>
      <c r="O964" s="5">
        <f t="shared" si="75"/>
        <v>255.70159999999998</v>
      </c>
      <c r="P964" s="5">
        <f t="shared" si="76"/>
        <v>1534.2095999999999</v>
      </c>
      <c r="Q964" s="5">
        <f>Table1[[#This Row],[Quantity]]*(Table1[[#This Row],[Saleprice]]-Table1[[#This Row],[Costprice]])</f>
        <v>-293.33039999999994</v>
      </c>
      <c r="R964">
        <f t="shared" si="77"/>
        <v>2023</v>
      </c>
      <c r="S964">
        <f t="shared" si="78"/>
        <v>2</v>
      </c>
      <c r="T964" t="str">
        <f t="shared" si="79"/>
        <v>February</v>
      </c>
    </row>
    <row r="965" spans="1:20" x14ac:dyDescent="0.3">
      <c r="A965" s="3">
        <v>44967</v>
      </c>
      <c r="B965">
        <v>102</v>
      </c>
      <c r="C965" s="3">
        <f>_xlfn.XLOOKUP(B965,Stores!A:A,Stores!E:E)</f>
        <v>44875</v>
      </c>
      <c r="D965">
        <v>219</v>
      </c>
      <c r="E965" s="3">
        <f>_xlfn.XLOOKUP(D965,SalesReps!A:A,SalesReps!D:D)</f>
        <v>44883</v>
      </c>
      <c r="F965" s="3" t="str">
        <f>_xlfn.XLOOKUP(Table1[[#This Row],[RepID]],SalesReps!A:A,SalesReps!E:E)</f>
        <v>Active</v>
      </c>
      <c r="G965">
        <v>309</v>
      </c>
      <c r="H965" t="str">
        <f>_xlfn.XLOOKUP(Table1[[#This Row],[ProductID]],Products!A:A,Products!B:B)</f>
        <v>Electronics</v>
      </c>
      <c r="I965" t="str">
        <f>_xlfn.XLOOKUP(Table1[[#This Row],[ProductID]],Products!A:A,Products!C:C)</f>
        <v>Laptops</v>
      </c>
      <c r="J965">
        <v>9</v>
      </c>
      <c r="K965" s="5">
        <f>_xlfn.XLOOKUP(Table1[[#This Row],[ProductID]],Products!A:A,Products!E:E)</f>
        <v>229.68</v>
      </c>
      <c r="L965" s="5">
        <v>261.64999999999998</v>
      </c>
      <c r="M965" s="6">
        <v>0.11</v>
      </c>
      <c r="N965" t="s">
        <v>8</v>
      </c>
      <c r="O965" s="5">
        <f t="shared" si="75"/>
        <v>232.86849999999998</v>
      </c>
      <c r="P965" s="5">
        <f t="shared" si="76"/>
        <v>2095.8164999999999</v>
      </c>
      <c r="Q965" s="5">
        <f>Table1[[#This Row],[Quantity]]*(Table1[[#This Row],[Saleprice]]-Table1[[#This Row],[Costprice]])</f>
        <v>28.696499999999787</v>
      </c>
      <c r="R965">
        <f t="shared" si="77"/>
        <v>2023</v>
      </c>
      <c r="S965">
        <f t="shared" si="78"/>
        <v>2</v>
      </c>
      <c r="T965" t="str">
        <f t="shared" si="79"/>
        <v>February</v>
      </c>
    </row>
    <row r="966" spans="1:20" x14ac:dyDescent="0.3">
      <c r="A966" s="3">
        <v>44968</v>
      </c>
      <c r="B966">
        <v>110</v>
      </c>
      <c r="C966" s="3">
        <f>_xlfn.XLOOKUP(B966,Stores!A:A,Stores!E:E)</f>
        <v>44174</v>
      </c>
      <c r="D966">
        <v>217</v>
      </c>
      <c r="E966" s="3">
        <f>_xlfn.XLOOKUP(D966,SalesReps!A:A,SalesReps!D:D)</f>
        <v>44896</v>
      </c>
      <c r="F966" s="3" t="str">
        <f>_xlfn.XLOOKUP(Table1[[#This Row],[RepID]],SalesReps!A:A,SalesReps!E:E)</f>
        <v>Left</v>
      </c>
      <c r="G966">
        <v>312</v>
      </c>
      <c r="H966" t="str">
        <f>_xlfn.XLOOKUP(Table1[[#This Row],[ProductID]],Products!A:A,Products!B:B)</f>
        <v>Toys</v>
      </c>
      <c r="I966" t="str">
        <f>_xlfn.XLOOKUP(Table1[[#This Row],[ProductID]],Products!A:A,Products!C:C)</f>
        <v>Board Games</v>
      </c>
      <c r="J966">
        <v>4</v>
      </c>
      <c r="K966" s="5">
        <f>_xlfn.XLOOKUP(Table1[[#This Row],[ProductID]],Products!A:A,Products!E:E)</f>
        <v>100.05</v>
      </c>
      <c r="L966" s="5">
        <v>168.89</v>
      </c>
      <c r="M966" s="6">
        <v>0.12</v>
      </c>
      <c r="N966" t="s">
        <v>8</v>
      </c>
      <c r="O966" s="5">
        <f t="shared" si="75"/>
        <v>148.6232</v>
      </c>
      <c r="P966" s="5">
        <f t="shared" si="76"/>
        <v>594.49279999999999</v>
      </c>
      <c r="Q966" s="5">
        <f>Table1[[#This Row],[Quantity]]*(Table1[[#This Row],[Saleprice]]-Table1[[#This Row],[Costprice]])</f>
        <v>194.2928</v>
      </c>
      <c r="R966">
        <f t="shared" si="77"/>
        <v>2023</v>
      </c>
      <c r="S966">
        <f t="shared" si="78"/>
        <v>2</v>
      </c>
      <c r="T966" t="str">
        <f t="shared" si="79"/>
        <v>February</v>
      </c>
    </row>
    <row r="967" spans="1:20" x14ac:dyDescent="0.3">
      <c r="A967" s="3">
        <v>44968</v>
      </c>
      <c r="B967">
        <v>110</v>
      </c>
      <c r="C967" s="3">
        <f>_xlfn.XLOOKUP(B967,Stores!A:A,Stores!E:E)</f>
        <v>44174</v>
      </c>
      <c r="D967">
        <v>217</v>
      </c>
      <c r="E967" s="3">
        <f>_xlfn.XLOOKUP(D967,SalesReps!A:A,SalesReps!D:D)</f>
        <v>44896</v>
      </c>
      <c r="F967" s="3" t="str">
        <f>_xlfn.XLOOKUP(Table1[[#This Row],[RepID]],SalesReps!A:A,SalesReps!E:E)</f>
        <v>Left</v>
      </c>
      <c r="G967">
        <v>305</v>
      </c>
      <c r="H967" t="str">
        <f>_xlfn.XLOOKUP(Table1[[#This Row],[ProductID]],Products!A:A,Products!B:B)</f>
        <v>Electronics</v>
      </c>
      <c r="I967" t="str">
        <f>_xlfn.XLOOKUP(Table1[[#This Row],[ProductID]],Products!A:A,Products!C:C)</f>
        <v>Accessories</v>
      </c>
      <c r="J967">
        <v>9</v>
      </c>
      <c r="K967" s="5">
        <f>_xlfn.XLOOKUP(Table1[[#This Row],[ProductID]],Products!A:A,Products!E:E)</f>
        <v>275.32</v>
      </c>
      <c r="L967" s="5">
        <v>375.11</v>
      </c>
      <c r="M967" s="6">
        <v>0.1</v>
      </c>
      <c r="N967" t="s">
        <v>8</v>
      </c>
      <c r="O967" s="5">
        <f t="shared" si="75"/>
        <v>337.59900000000005</v>
      </c>
      <c r="P967" s="5">
        <f t="shared" si="76"/>
        <v>3038.3910000000005</v>
      </c>
      <c r="Q967" s="5">
        <f>Table1[[#This Row],[Quantity]]*(Table1[[#This Row],[Saleprice]]-Table1[[#This Row],[Costprice]])</f>
        <v>560.51100000000042</v>
      </c>
      <c r="R967">
        <f t="shared" si="77"/>
        <v>2023</v>
      </c>
      <c r="S967">
        <f t="shared" si="78"/>
        <v>2</v>
      </c>
      <c r="T967" t="str">
        <f t="shared" si="79"/>
        <v>February</v>
      </c>
    </row>
    <row r="968" spans="1:20" x14ac:dyDescent="0.3">
      <c r="A968" s="3">
        <v>44968</v>
      </c>
      <c r="B968">
        <v>102</v>
      </c>
      <c r="C968" s="3">
        <f>_xlfn.XLOOKUP(B968,Stores!A:A,Stores!E:E)</f>
        <v>44875</v>
      </c>
      <c r="D968">
        <v>219</v>
      </c>
      <c r="E968" s="3">
        <f>_xlfn.XLOOKUP(D968,SalesReps!A:A,SalesReps!D:D)</f>
        <v>44883</v>
      </c>
      <c r="F968" s="3" t="str">
        <f>_xlfn.XLOOKUP(Table1[[#This Row],[RepID]],SalesReps!A:A,SalesReps!E:E)</f>
        <v>Active</v>
      </c>
      <c r="G968">
        <v>313</v>
      </c>
      <c r="H968" t="str">
        <f>_xlfn.XLOOKUP(Table1[[#This Row],[ProductID]],Products!A:A,Products!B:B)</f>
        <v>Clothing</v>
      </c>
      <c r="I968" t="str">
        <f>_xlfn.XLOOKUP(Table1[[#This Row],[ProductID]],Products!A:A,Products!C:C)</f>
        <v>Women</v>
      </c>
      <c r="J968">
        <v>6</v>
      </c>
      <c r="K968" s="5">
        <f>_xlfn.XLOOKUP(Table1[[#This Row],[ProductID]],Products!A:A,Products!E:E)</f>
        <v>104</v>
      </c>
      <c r="L968" s="5">
        <v>188.7</v>
      </c>
      <c r="M968" s="6">
        <v>0.22</v>
      </c>
      <c r="N968" t="s">
        <v>8</v>
      </c>
      <c r="O968" s="5">
        <f t="shared" si="75"/>
        <v>147.18600000000001</v>
      </c>
      <c r="P968" s="5">
        <f t="shared" si="76"/>
        <v>883.11599999999999</v>
      </c>
      <c r="Q968" s="5">
        <f>Table1[[#This Row],[Quantity]]*(Table1[[#This Row],[Saleprice]]-Table1[[#This Row],[Costprice]])</f>
        <v>259.11600000000004</v>
      </c>
      <c r="R968">
        <f t="shared" si="77"/>
        <v>2023</v>
      </c>
      <c r="S968">
        <f t="shared" si="78"/>
        <v>2</v>
      </c>
      <c r="T968" t="str">
        <f t="shared" si="79"/>
        <v>February</v>
      </c>
    </row>
    <row r="969" spans="1:20" x14ac:dyDescent="0.3">
      <c r="A969" s="3">
        <v>44968</v>
      </c>
      <c r="B969">
        <v>110</v>
      </c>
      <c r="C969" s="3">
        <f>_xlfn.XLOOKUP(B969,Stores!A:A,Stores!E:E)</f>
        <v>44174</v>
      </c>
      <c r="D969">
        <v>217</v>
      </c>
      <c r="E969" s="3">
        <f>_xlfn.XLOOKUP(D969,SalesReps!A:A,SalesReps!D:D)</f>
        <v>44896</v>
      </c>
      <c r="F969" s="3" t="str">
        <f>_xlfn.XLOOKUP(Table1[[#This Row],[RepID]],SalesReps!A:A,SalesReps!E:E)</f>
        <v>Left</v>
      </c>
      <c r="G969">
        <v>313</v>
      </c>
      <c r="H969" t="str">
        <f>_xlfn.XLOOKUP(Table1[[#This Row],[ProductID]],Products!A:A,Products!B:B)</f>
        <v>Clothing</v>
      </c>
      <c r="I969" t="str">
        <f>_xlfn.XLOOKUP(Table1[[#This Row],[ProductID]],Products!A:A,Products!C:C)</f>
        <v>Women</v>
      </c>
      <c r="J969">
        <v>3</v>
      </c>
      <c r="K969" s="5">
        <f>_xlfn.XLOOKUP(Table1[[#This Row],[ProductID]],Products!A:A,Products!E:E)</f>
        <v>104</v>
      </c>
      <c r="L969" s="5">
        <v>121.61</v>
      </c>
      <c r="M969" s="6">
        <v>0.24</v>
      </c>
      <c r="N969" t="s">
        <v>8</v>
      </c>
      <c r="O969" s="5">
        <f t="shared" si="75"/>
        <v>92.423600000000008</v>
      </c>
      <c r="P969" s="5">
        <f t="shared" si="76"/>
        <v>277.27080000000001</v>
      </c>
      <c r="Q969" s="5">
        <f>Table1[[#This Row],[Quantity]]*(Table1[[#This Row],[Saleprice]]-Table1[[#This Row],[Costprice]])</f>
        <v>-34.729199999999977</v>
      </c>
      <c r="R969">
        <f t="shared" si="77"/>
        <v>2023</v>
      </c>
      <c r="S969">
        <f t="shared" si="78"/>
        <v>2</v>
      </c>
      <c r="T969" t="str">
        <f t="shared" si="79"/>
        <v>February</v>
      </c>
    </row>
    <row r="970" spans="1:20" x14ac:dyDescent="0.3">
      <c r="A970" s="3">
        <v>44968</v>
      </c>
      <c r="B970">
        <v>110</v>
      </c>
      <c r="C970" s="3">
        <f>_xlfn.XLOOKUP(B970,Stores!A:A,Stores!E:E)</f>
        <v>44174</v>
      </c>
      <c r="D970">
        <v>217</v>
      </c>
      <c r="E970" s="3">
        <f>_xlfn.XLOOKUP(D970,SalesReps!A:A,SalesReps!D:D)</f>
        <v>44896</v>
      </c>
      <c r="F970" s="3" t="str">
        <f>_xlfn.XLOOKUP(Table1[[#This Row],[RepID]],SalesReps!A:A,SalesReps!E:E)</f>
        <v>Left</v>
      </c>
      <c r="G970">
        <v>306</v>
      </c>
      <c r="H970" t="str">
        <f>_xlfn.XLOOKUP(Table1[[#This Row],[ProductID]],Products!A:A,Products!B:B)</f>
        <v>Clothing</v>
      </c>
      <c r="I970" t="str">
        <f>_xlfn.XLOOKUP(Table1[[#This Row],[ProductID]],Products!A:A,Products!C:C)</f>
        <v>Men</v>
      </c>
      <c r="J970">
        <v>7</v>
      </c>
      <c r="K970" s="5">
        <f>_xlfn.XLOOKUP(Table1[[#This Row],[ProductID]],Products!A:A,Products!E:E)</f>
        <v>185.69</v>
      </c>
      <c r="L970" s="5">
        <v>266.52999999999997</v>
      </c>
      <c r="M970" s="6">
        <v>0.08</v>
      </c>
      <c r="N970" t="s">
        <v>8</v>
      </c>
      <c r="O970" s="5">
        <f t="shared" si="75"/>
        <v>245.20759999999999</v>
      </c>
      <c r="P970" s="5">
        <f t="shared" si="76"/>
        <v>1716.4531999999999</v>
      </c>
      <c r="Q970" s="5">
        <f>Table1[[#This Row],[Quantity]]*(Table1[[#This Row],[Saleprice]]-Table1[[#This Row],[Costprice]])</f>
        <v>416.62319999999988</v>
      </c>
      <c r="R970">
        <f t="shared" si="77"/>
        <v>2023</v>
      </c>
      <c r="S970">
        <f t="shared" si="78"/>
        <v>2</v>
      </c>
      <c r="T970" t="str">
        <f t="shared" si="79"/>
        <v>February</v>
      </c>
    </row>
    <row r="971" spans="1:20" x14ac:dyDescent="0.3">
      <c r="A971" s="3">
        <v>44969</v>
      </c>
      <c r="B971">
        <v>102</v>
      </c>
      <c r="C971" s="3">
        <f>_xlfn.XLOOKUP(B971,Stores!A:A,Stores!E:E)</f>
        <v>44875</v>
      </c>
      <c r="D971">
        <v>219</v>
      </c>
      <c r="E971" s="3">
        <f>_xlfn.XLOOKUP(D971,SalesReps!A:A,SalesReps!D:D)</f>
        <v>44883</v>
      </c>
      <c r="F971" s="3" t="str">
        <f>_xlfn.XLOOKUP(Table1[[#This Row],[RepID]],SalesReps!A:A,SalesReps!E:E)</f>
        <v>Active</v>
      </c>
      <c r="G971">
        <v>316</v>
      </c>
      <c r="H971" t="str">
        <f>_xlfn.XLOOKUP(Table1[[#This Row],[ProductID]],Products!A:A,Products!B:B)</f>
        <v>Home &amp; Kitchen</v>
      </c>
      <c r="I971" t="str">
        <f>_xlfn.XLOOKUP(Table1[[#This Row],[ProductID]],Products!A:A,Products!C:C)</f>
        <v>Furniture</v>
      </c>
      <c r="J971">
        <v>7</v>
      </c>
      <c r="K971" s="5">
        <f>_xlfn.XLOOKUP(Table1[[#This Row],[ProductID]],Products!A:A,Products!E:E)</f>
        <v>334.95</v>
      </c>
      <c r="L971" s="5">
        <v>341.4</v>
      </c>
      <c r="M971" s="6">
        <v>0.24</v>
      </c>
      <c r="N971" t="s">
        <v>8</v>
      </c>
      <c r="O971" s="5">
        <f t="shared" si="75"/>
        <v>259.464</v>
      </c>
      <c r="P971" s="5">
        <f t="shared" si="76"/>
        <v>1816.248</v>
      </c>
      <c r="Q971" s="5">
        <f>Table1[[#This Row],[Quantity]]*(Table1[[#This Row],[Saleprice]]-Table1[[#This Row],[Costprice]])</f>
        <v>-528.40199999999993</v>
      </c>
      <c r="R971">
        <f t="shared" si="77"/>
        <v>2023</v>
      </c>
      <c r="S971">
        <f t="shared" si="78"/>
        <v>2</v>
      </c>
      <c r="T971" t="str">
        <f t="shared" si="79"/>
        <v>February</v>
      </c>
    </row>
    <row r="972" spans="1:20" x14ac:dyDescent="0.3">
      <c r="A972" s="3">
        <v>44969</v>
      </c>
      <c r="B972">
        <v>110</v>
      </c>
      <c r="C972" s="3">
        <f>_xlfn.XLOOKUP(B972,Stores!A:A,Stores!E:E)</f>
        <v>44174</v>
      </c>
      <c r="D972">
        <v>217</v>
      </c>
      <c r="E972" s="3">
        <f>_xlfn.XLOOKUP(D972,SalesReps!A:A,SalesReps!D:D)</f>
        <v>44896</v>
      </c>
      <c r="F972" s="3" t="str">
        <f>_xlfn.XLOOKUP(Table1[[#This Row],[RepID]],SalesReps!A:A,SalesReps!E:E)</f>
        <v>Left</v>
      </c>
      <c r="G972">
        <v>313</v>
      </c>
      <c r="H972" t="str">
        <f>_xlfn.XLOOKUP(Table1[[#This Row],[ProductID]],Products!A:A,Products!B:B)</f>
        <v>Clothing</v>
      </c>
      <c r="I972" t="str">
        <f>_xlfn.XLOOKUP(Table1[[#This Row],[ProductID]],Products!A:A,Products!C:C)</f>
        <v>Women</v>
      </c>
      <c r="J972">
        <v>7</v>
      </c>
      <c r="K972" s="5">
        <f>_xlfn.XLOOKUP(Table1[[#This Row],[ProductID]],Products!A:A,Products!E:E)</f>
        <v>104</v>
      </c>
      <c r="L972" s="5">
        <v>121.61</v>
      </c>
      <c r="M972" s="6">
        <v>0.24</v>
      </c>
      <c r="N972" t="s">
        <v>8</v>
      </c>
      <c r="O972" s="5">
        <f t="shared" si="75"/>
        <v>92.423600000000008</v>
      </c>
      <c r="P972" s="5">
        <f t="shared" si="76"/>
        <v>646.9652000000001</v>
      </c>
      <c r="Q972" s="5">
        <f>Table1[[#This Row],[Quantity]]*(Table1[[#This Row],[Saleprice]]-Table1[[#This Row],[Costprice]])</f>
        <v>-81.034799999999947</v>
      </c>
      <c r="R972">
        <f t="shared" si="77"/>
        <v>2023</v>
      </c>
      <c r="S972">
        <f t="shared" si="78"/>
        <v>2</v>
      </c>
      <c r="T972" t="str">
        <f t="shared" si="79"/>
        <v>February</v>
      </c>
    </row>
    <row r="973" spans="1:20" x14ac:dyDescent="0.3">
      <c r="A973" s="3">
        <v>44970</v>
      </c>
      <c r="B973">
        <v>110</v>
      </c>
      <c r="C973" s="3">
        <f>_xlfn.XLOOKUP(B973,Stores!A:A,Stores!E:E)</f>
        <v>44174</v>
      </c>
      <c r="D973">
        <v>217</v>
      </c>
      <c r="E973" s="3">
        <f>_xlfn.XLOOKUP(D973,SalesReps!A:A,SalesReps!D:D)</f>
        <v>44896</v>
      </c>
      <c r="F973" s="3" t="str">
        <f>_xlfn.XLOOKUP(Table1[[#This Row],[RepID]],SalesReps!A:A,SalesReps!E:E)</f>
        <v>Left</v>
      </c>
      <c r="G973">
        <v>319</v>
      </c>
      <c r="H973" t="str">
        <f>_xlfn.XLOOKUP(Table1[[#This Row],[ProductID]],Products!A:A,Products!B:B)</f>
        <v>Toys</v>
      </c>
      <c r="I973" t="str">
        <f>_xlfn.XLOOKUP(Table1[[#This Row],[ProductID]],Products!A:A,Products!C:C)</f>
        <v>Board Games</v>
      </c>
      <c r="J973">
        <v>7</v>
      </c>
      <c r="K973" s="5">
        <f>_xlfn.XLOOKUP(Table1[[#This Row],[ProductID]],Products!A:A,Products!E:E)</f>
        <v>81.069999999999993</v>
      </c>
      <c r="L973" s="5">
        <v>180.68</v>
      </c>
      <c r="M973" s="6">
        <v>0.06</v>
      </c>
      <c r="N973" t="s">
        <v>8</v>
      </c>
      <c r="O973" s="5">
        <f t="shared" si="75"/>
        <v>169.83920000000001</v>
      </c>
      <c r="P973" s="5">
        <f t="shared" si="76"/>
        <v>1188.8744000000002</v>
      </c>
      <c r="Q973" s="5">
        <f>Table1[[#This Row],[Quantity]]*(Table1[[#This Row],[Saleprice]]-Table1[[#This Row],[Costprice]])</f>
        <v>621.38440000000014</v>
      </c>
      <c r="R973">
        <f t="shared" si="77"/>
        <v>2023</v>
      </c>
      <c r="S973">
        <f t="shared" si="78"/>
        <v>2</v>
      </c>
      <c r="T973" t="str">
        <f t="shared" si="79"/>
        <v>February</v>
      </c>
    </row>
    <row r="974" spans="1:20" x14ac:dyDescent="0.3">
      <c r="A974" s="3">
        <v>44970</v>
      </c>
      <c r="B974">
        <v>102</v>
      </c>
      <c r="C974" s="3">
        <f>_xlfn.XLOOKUP(B974,Stores!A:A,Stores!E:E)</f>
        <v>44875</v>
      </c>
      <c r="D974">
        <v>219</v>
      </c>
      <c r="E974" s="3">
        <f>_xlfn.XLOOKUP(D974,SalesReps!A:A,SalesReps!D:D)</f>
        <v>44883</v>
      </c>
      <c r="F974" s="3" t="str">
        <f>_xlfn.XLOOKUP(Table1[[#This Row],[RepID]],SalesReps!A:A,SalesReps!E:E)</f>
        <v>Active</v>
      </c>
      <c r="G974">
        <v>312</v>
      </c>
      <c r="H974" t="str">
        <f>_xlfn.XLOOKUP(Table1[[#This Row],[ProductID]],Products!A:A,Products!B:B)</f>
        <v>Toys</v>
      </c>
      <c r="I974" t="str">
        <f>_xlfn.XLOOKUP(Table1[[#This Row],[ProductID]],Products!A:A,Products!C:C)</f>
        <v>Board Games</v>
      </c>
      <c r="J974">
        <v>6</v>
      </c>
      <c r="K974" s="5">
        <f>_xlfn.XLOOKUP(Table1[[#This Row],[ProductID]],Products!A:A,Products!E:E)</f>
        <v>100.05</v>
      </c>
      <c r="L974" s="5">
        <v>157.57</v>
      </c>
      <c r="M974" s="6">
        <v>0.11</v>
      </c>
      <c r="N974" t="s">
        <v>8</v>
      </c>
      <c r="O974" s="5">
        <f t="shared" si="75"/>
        <v>140.2373</v>
      </c>
      <c r="P974" s="5">
        <f t="shared" si="76"/>
        <v>841.42380000000003</v>
      </c>
      <c r="Q974" s="5">
        <f>Table1[[#This Row],[Quantity]]*(Table1[[#This Row],[Saleprice]]-Table1[[#This Row],[Costprice]])</f>
        <v>241.12380000000005</v>
      </c>
      <c r="R974">
        <f t="shared" si="77"/>
        <v>2023</v>
      </c>
      <c r="S974">
        <f t="shared" si="78"/>
        <v>2</v>
      </c>
      <c r="T974" t="str">
        <f t="shared" si="79"/>
        <v>February</v>
      </c>
    </row>
    <row r="975" spans="1:20" x14ac:dyDescent="0.3">
      <c r="A975" s="3">
        <v>44970</v>
      </c>
      <c r="B975">
        <v>102</v>
      </c>
      <c r="C975" s="3">
        <f>_xlfn.XLOOKUP(B975,Stores!A:A,Stores!E:E)</f>
        <v>44875</v>
      </c>
      <c r="D975">
        <v>219</v>
      </c>
      <c r="E975" s="3">
        <f>_xlfn.XLOOKUP(D975,SalesReps!A:A,SalesReps!D:D)</f>
        <v>44883</v>
      </c>
      <c r="F975" s="3" t="str">
        <f>_xlfn.XLOOKUP(Table1[[#This Row],[RepID]],SalesReps!A:A,SalesReps!E:E)</f>
        <v>Active</v>
      </c>
      <c r="G975">
        <v>302</v>
      </c>
      <c r="H975" t="str">
        <f>_xlfn.XLOOKUP(Table1[[#This Row],[ProductID]],Products!A:A,Products!B:B)</f>
        <v>Toys</v>
      </c>
      <c r="I975" t="str">
        <f>_xlfn.XLOOKUP(Table1[[#This Row],[ProductID]],Products!A:A,Products!C:C)</f>
        <v>Outdoor</v>
      </c>
      <c r="J975">
        <v>2</v>
      </c>
      <c r="K975" s="5">
        <f>_xlfn.XLOOKUP(Table1[[#This Row],[ProductID]],Products!A:A,Products!E:E)</f>
        <v>393.46</v>
      </c>
      <c r="L975" s="5">
        <v>399.95</v>
      </c>
      <c r="M975" s="6">
        <v>0.13</v>
      </c>
      <c r="N975" t="s">
        <v>8</v>
      </c>
      <c r="O975" s="5">
        <f t="shared" si="75"/>
        <v>347.95650000000001</v>
      </c>
      <c r="P975" s="5">
        <f t="shared" si="76"/>
        <v>695.91300000000001</v>
      </c>
      <c r="Q975" s="5">
        <f>Table1[[#This Row],[Quantity]]*(Table1[[#This Row],[Saleprice]]-Table1[[#This Row],[Costprice]])</f>
        <v>-91.006999999999948</v>
      </c>
      <c r="R975">
        <f t="shared" si="77"/>
        <v>2023</v>
      </c>
      <c r="S975">
        <f t="shared" si="78"/>
        <v>2</v>
      </c>
      <c r="T975" t="str">
        <f t="shared" si="79"/>
        <v>February</v>
      </c>
    </row>
    <row r="976" spans="1:20" x14ac:dyDescent="0.3">
      <c r="A976" s="3">
        <v>44970</v>
      </c>
      <c r="B976">
        <v>102</v>
      </c>
      <c r="C976" s="3">
        <f>_xlfn.XLOOKUP(B976,Stores!A:A,Stores!E:E)</f>
        <v>44875</v>
      </c>
      <c r="D976">
        <v>219</v>
      </c>
      <c r="E976" s="3">
        <f>_xlfn.XLOOKUP(D976,SalesReps!A:A,SalesReps!D:D)</f>
        <v>44883</v>
      </c>
      <c r="F976" s="3" t="str">
        <f>_xlfn.XLOOKUP(Table1[[#This Row],[RepID]],SalesReps!A:A,SalesReps!E:E)</f>
        <v>Active</v>
      </c>
      <c r="G976">
        <v>313</v>
      </c>
      <c r="H976" t="str">
        <f>_xlfn.XLOOKUP(Table1[[#This Row],[ProductID]],Products!A:A,Products!B:B)</f>
        <v>Clothing</v>
      </c>
      <c r="I976" t="str">
        <f>_xlfn.XLOOKUP(Table1[[#This Row],[ProductID]],Products!A:A,Products!C:C)</f>
        <v>Women</v>
      </c>
      <c r="J976">
        <v>4</v>
      </c>
      <c r="K976" s="5">
        <f>_xlfn.XLOOKUP(Table1[[#This Row],[ProductID]],Products!A:A,Products!E:E)</f>
        <v>104</v>
      </c>
      <c r="L976" s="5">
        <v>188.7</v>
      </c>
      <c r="M976" s="6">
        <v>0.22</v>
      </c>
      <c r="N976" t="s">
        <v>8</v>
      </c>
      <c r="O976" s="5">
        <f t="shared" si="75"/>
        <v>147.18600000000001</v>
      </c>
      <c r="P976" s="5">
        <f t="shared" si="76"/>
        <v>588.74400000000003</v>
      </c>
      <c r="Q976" s="5">
        <f>Table1[[#This Row],[Quantity]]*(Table1[[#This Row],[Saleprice]]-Table1[[#This Row],[Costprice]])</f>
        <v>172.74400000000003</v>
      </c>
      <c r="R976">
        <f t="shared" si="77"/>
        <v>2023</v>
      </c>
      <c r="S976">
        <f t="shared" si="78"/>
        <v>2</v>
      </c>
      <c r="T976" t="str">
        <f t="shared" si="79"/>
        <v>February</v>
      </c>
    </row>
    <row r="977" spans="1:20" x14ac:dyDescent="0.3">
      <c r="A977" s="3">
        <v>44971</v>
      </c>
      <c r="B977">
        <v>110</v>
      </c>
      <c r="C977" s="3">
        <f>_xlfn.XLOOKUP(B977,Stores!A:A,Stores!E:E)</f>
        <v>44174</v>
      </c>
      <c r="D977">
        <v>217</v>
      </c>
      <c r="E977" s="3">
        <f>_xlfn.XLOOKUP(D977,SalesReps!A:A,SalesReps!D:D)</f>
        <v>44896</v>
      </c>
      <c r="F977" s="3" t="str">
        <f>_xlfn.XLOOKUP(Table1[[#This Row],[RepID]],SalesReps!A:A,SalesReps!E:E)</f>
        <v>Left</v>
      </c>
      <c r="G977">
        <v>317</v>
      </c>
      <c r="H977" t="str">
        <f>_xlfn.XLOOKUP(Table1[[#This Row],[ProductID]],Products!A:A,Products!B:B)</f>
        <v>Toys</v>
      </c>
      <c r="I977" t="str">
        <f>_xlfn.XLOOKUP(Table1[[#This Row],[ProductID]],Products!A:A,Products!C:C)</f>
        <v>Educational</v>
      </c>
      <c r="J977">
        <v>8</v>
      </c>
      <c r="K977" s="5">
        <f>_xlfn.XLOOKUP(Table1[[#This Row],[ProductID]],Products!A:A,Products!E:E)</f>
        <v>77.61</v>
      </c>
      <c r="L977" s="5">
        <v>122.31</v>
      </c>
      <c r="M977" s="6">
        <v>0.24</v>
      </c>
      <c r="N977" t="s">
        <v>8</v>
      </c>
      <c r="O977" s="5">
        <f t="shared" si="75"/>
        <v>92.955600000000004</v>
      </c>
      <c r="P977" s="5">
        <f t="shared" si="76"/>
        <v>743.64480000000003</v>
      </c>
      <c r="Q977" s="5">
        <f>Table1[[#This Row],[Quantity]]*(Table1[[#This Row],[Saleprice]]-Table1[[#This Row],[Costprice]])</f>
        <v>122.76480000000004</v>
      </c>
      <c r="R977">
        <f t="shared" si="77"/>
        <v>2023</v>
      </c>
      <c r="S977">
        <f t="shared" si="78"/>
        <v>2</v>
      </c>
      <c r="T977" t="str">
        <f t="shared" si="79"/>
        <v>February</v>
      </c>
    </row>
    <row r="978" spans="1:20" x14ac:dyDescent="0.3">
      <c r="A978" s="3">
        <v>44971</v>
      </c>
      <c r="B978">
        <v>110</v>
      </c>
      <c r="C978" s="3">
        <f>_xlfn.XLOOKUP(B978,Stores!A:A,Stores!E:E)</f>
        <v>44174</v>
      </c>
      <c r="D978">
        <v>217</v>
      </c>
      <c r="E978" s="3">
        <f>_xlfn.XLOOKUP(D978,SalesReps!A:A,SalesReps!D:D)</f>
        <v>44896</v>
      </c>
      <c r="F978" s="3" t="str">
        <f>_xlfn.XLOOKUP(Table1[[#This Row],[RepID]],SalesReps!A:A,SalesReps!E:E)</f>
        <v>Left</v>
      </c>
      <c r="G978">
        <v>308</v>
      </c>
      <c r="H978" t="str">
        <f>_xlfn.XLOOKUP(Table1[[#This Row],[ProductID]],Products!A:A,Products!B:B)</f>
        <v>Home &amp; Kitchen</v>
      </c>
      <c r="I978" t="str">
        <f>_xlfn.XLOOKUP(Table1[[#This Row],[ProductID]],Products!A:A,Products!C:C)</f>
        <v>Furniture</v>
      </c>
      <c r="J978">
        <v>6</v>
      </c>
      <c r="K978" s="5">
        <f>_xlfn.XLOOKUP(Table1[[#This Row],[ProductID]],Products!A:A,Products!E:E)</f>
        <v>377.46</v>
      </c>
      <c r="L978" s="5">
        <v>437.63</v>
      </c>
      <c r="M978" s="6">
        <v>0.12</v>
      </c>
      <c r="N978" t="s">
        <v>8</v>
      </c>
      <c r="O978" s="5">
        <f t="shared" si="75"/>
        <v>385.11439999999999</v>
      </c>
      <c r="P978" s="5">
        <f t="shared" si="76"/>
        <v>2310.6864</v>
      </c>
      <c r="Q978" s="5">
        <f>Table1[[#This Row],[Quantity]]*(Table1[[#This Row],[Saleprice]]-Table1[[#This Row],[Costprice]])</f>
        <v>45.926400000000058</v>
      </c>
      <c r="R978">
        <f t="shared" si="77"/>
        <v>2023</v>
      </c>
      <c r="S978">
        <f t="shared" si="78"/>
        <v>2</v>
      </c>
      <c r="T978" t="str">
        <f t="shared" si="79"/>
        <v>February</v>
      </c>
    </row>
    <row r="979" spans="1:20" x14ac:dyDescent="0.3">
      <c r="A979" s="3">
        <v>44971</v>
      </c>
      <c r="B979">
        <v>102</v>
      </c>
      <c r="C979" s="3">
        <f>_xlfn.XLOOKUP(B979,Stores!A:A,Stores!E:E)</f>
        <v>44875</v>
      </c>
      <c r="D979">
        <v>219</v>
      </c>
      <c r="E979" s="3">
        <f>_xlfn.XLOOKUP(D979,SalesReps!A:A,SalesReps!D:D)</f>
        <v>44883</v>
      </c>
      <c r="F979" s="3" t="str">
        <f>_xlfn.XLOOKUP(Table1[[#This Row],[RepID]],SalesReps!A:A,SalesReps!E:E)</f>
        <v>Active</v>
      </c>
      <c r="G979">
        <v>314</v>
      </c>
      <c r="H979" t="str">
        <f>_xlfn.XLOOKUP(Table1[[#This Row],[ProductID]],Products!A:A,Products!B:B)</f>
        <v>Clothing</v>
      </c>
      <c r="I979" t="str">
        <f>_xlfn.XLOOKUP(Table1[[#This Row],[ProductID]],Products!A:A,Products!C:C)</f>
        <v>Kids</v>
      </c>
      <c r="J979">
        <v>4</v>
      </c>
      <c r="K979" s="5">
        <f>_xlfn.XLOOKUP(Table1[[#This Row],[ProductID]],Products!A:A,Products!E:E)</f>
        <v>276.47000000000003</v>
      </c>
      <c r="L979" s="5">
        <v>319.36</v>
      </c>
      <c r="M979" s="6">
        <v>0.14000000000000001</v>
      </c>
      <c r="N979" t="s">
        <v>8</v>
      </c>
      <c r="O979" s="5">
        <f t="shared" si="75"/>
        <v>274.64960000000002</v>
      </c>
      <c r="P979" s="5">
        <f t="shared" si="76"/>
        <v>1098.5984000000001</v>
      </c>
      <c r="Q979" s="5">
        <f>Table1[[#This Row],[Quantity]]*(Table1[[#This Row],[Saleprice]]-Table1[[#This Row],[Costprice]])</f>
        <v>-7.2816000000000258</v>
      </c>
      <c r="R979">
        <f t="shared" si="77"/>
        <v>2023</v>
      </c>
      <c r="S979">
        <f t="shared" si="78"/>
        <v>2</v>
      </c>
      <c r="T979" t="str">
        <f t="shared" si="79"/>
        <v>February</v>
      </c>
    </row>
    <row r="980" spans="1:20" x14ac:dyDescent="0.3">
      <c r="A980" s="3">
        <v>44971</v>
      </c>
      <c r="B980">
        <v>110</v>
      </c>
      <c r="C980" s="3">
        <f>_xlfn.XLOOKUP(B980,Stores!A:A,Stores!E:E)</f>
        <v>44174</v>
      </c>
      <c r="D980">
        <v>217</v>
      </c>
      <c r="E980" s="3">
        <f>_xlfn.XLOOKUP(D980,SalesReps!A:A,SalesReps!D:D)</f>
        <v>44896</v>
      </c>
      <c r="F980" s="3" t="str">
        <f>_xlfn.XLOOKUP(Table1[[#This Row],[RepID]],SalesReps!A:A,SalesReps!E:E)</f>
        <v>Left</v>
      </c>
      <c r="G980">
        <v>306</v>
      </c>
      <c r="H980" t="str">
        <f>_xlfn.XLOOKUP(Table1[[#This Row],[ProductID]],Products!A:A,Products!B:B)</f>
        <v>Clothing</v>
      </c>
      <c r="I980" t="str">
        <f>_xlfn.XLOOKUP(Table1[[#This Row],[ProductID]],Products!A:A,Products!C:C)</f>
        <v>Men</v>
      </c>
      <c r="J980">
        <v>4</v>
      </c>
      <c r="K980" s="5">
        <f>_xlfn.XLOOKUP(Table1[[#This Row],[ProductID]],Products!A:A,Products!E:E)</f>
        <v>185.69</v>
      </c>
      <c r="L980" s="5">
        <v>266.52999999999997</v>
      </c>
      <c r="M980" s="6">
        <v>0.08</v>
      </c>
      <c r="N980" t="s">
        <v>8</v>
      </c>
      <c r="O980" s="5">
        <f t="shared" si="75"/>
        <v>245.20759999999999</v>
      </c>
      <c r="P980" s="5">
        <f t="shared" si="76"/>
        <v>980.83039999999994</v>
      </c>
      <c r="Q980" s="5">
        <f>Table1[[#This Row],[Quantity]]*(Table1[[#This Row],[Saleprice]]-Table1[[#This Row],[Costprice]])</f>
        <v>238.07039999999995</v>
      </c>
      <c r="R980">
        <f t="shared" si="77"/>
        <v>2023</v>
      </c>
      <c r="S980">
        <f t="shared" si="78"/>
        <v>2</v>
      </c>
      <c r="T980" t="str">
        <f t="shared" si="79"/>
        <v>February</v>
      </c>
    </row>
    <row r="981" spans="1:20" x14ac:dyDescent="0.3">
      <c r="A981" s="3">
        <v>44971</v>
      </c>
      <c r="B981">
        <v>102</v>
      </c>
      <c r="C981" s="3">
        <f>_xlfn.XLOOKUP(B981,Stores!A:A,Stores!E:E)</f>
        <v>44875</v>
      </c>
      <c r="D981">
        <v>219</v>
      </c>
      <c r="E981" s="3">
        <f>_xlfn.XLOOKUP(D981,SalesReps!A:A,SalesReps!D:D)</f>
        <v>44883</v>
      </c>
      <c r="F981" s="3" t="str">
        <f>_xlfn.XLOOKUP(Table1[[#This Row],[RepID]],SalesReps!A:A,SalesReps!E:E)</f>
        <v>Active</v>
      </c>
      <c r="G981">
        <v>314</v>
      </c>
      <c r="H981" t="str">
        <f>_xlfn.XLOOKUP(Table1[[#This Row],[ProductID]],Products!A:A,Products!B:B)</f>
        <v>Clothing</v>
      </c>
      <c r="I981" t="str">
        <f>_xlfn.XLOOKUP(Table1[[#This Row],[ProductID]],Products!A:A,Products!C:C)</f>
        <v>Kids</v>
      </c>
      <c r="J981">
        <v>6</v>
      </c>
      <c r="K981" s="5">
        <f>_xlfn.XLOOKUP(Table1[[#This Row],[ProductID]],Products!A:A,Products!E:E)</f>
        <v>276.47000000000003</v>
      </c>
      <c r="L981" s="5">
        <v>319.36</v>
      </c>
      <c r="M981" s="6">
        <v>0.14000000000000001</v>
      </c>
      <c r="N981" t="s">
        <v>8</v>
      </c>
      <c r="O981" s="5">
        <f t="shared" si="75"/>
        <v>274.64960000000002</v>
      </c>
      <c r="P981" s="5">
        <f t="shared" si="76"/>
        <v>1647.8976000000002</v>
      </c>
      <c r="Q981" s="5">
        <f>Table1[[#This Row],[Quantity]]*(Table1[[#This Row],[Saleprice]]-Table1[[#This Row],[Costprice]])</f>
        <v>-10.922400000000039</v>
      </c>
      <c r="R981">
        <f t="shared" si="77"/>
        <v>2023</v>
      </c>
      <c r="S981">
        <f t="shared" si="78"/>
        <v>2</v>
      </c>
      <c r="T981" t="str">
        <f t="shared" si="79"/>
        <v>February</v>
      </c>
    </row>
    <row r="982" spans="1:20" x14ac:dyDescent="0.3">
      <c r="A982" s="3">
        <v>44972</v>
      </c>
      <c r="B982">
        <v>102</v>
      </c>
      <c r="C982" s="3">
        <f>_xlfn.XLOOKUP(B982,Stores!A:A,Stores!E:E)</f>
        <v>44875</v>
      </c>
      <c r="D982">
        <v>219</v>
      </c>
      <c r="E982" s="3">
        <f>_xlfn.XLOOKUP(D982,SalesReps!A:A,SalesReps!D:D)</f>
        <v>44883</v>
      </c>
      <c r="F982" s="3" t="str">
        <f>_xlfn.XLOOKUP(Table1[[#This Row],[RepID]],SalesReps!A:A,SalesReps!E:E)</f>
        <v>Active</v>
      </c>
      <c r="G982">
        <v>316</v>
      </c>
      <c r="H982" t="str">
        <f>_xlfn.XLOOKUP(Table1[[#This Row],[ProductID]],Products!A:A,Products!B:B)</f>
        <v>Home &amp; Kitchen</v>
      </c>
      <c r="I982" t="str">
        <f>_xlfn.XLOOKUP(Table1[[#This Row],[ProductID]],Products!A:A,Products!C:C)</f>
        <v>Furniture</v>
      </c>
      <c r="J982">
        <v>2</v>
      </c>
      <c r="K982" s="5">
        <f>_xlfn.XLOOKUP(Table1[[#This Row],[ProductID]],Products!A:A,Products!E:E)</f>
        <v>334.95</v>
      </c>
      <c r="L982" s="5">
        <v>341.4</v>
      </c>
      <c r="M982" s="6">
        <v>0.24</v>
      </c>
      <c r="N982" t="s">
        <v>8</v>
      </c>
      <c r="O982" s="5">
        <f t="shared" si="75"/>
        <v>259.464</v>
      </c>
      <c r="P982" s="5">
        <f t="shared" si="76"/>
        <v>518.928</v>
      </c>
      <c r="Q982" s="5">
        <f>Table1[[#This Row],[Quantity]]*(Table1[[#This Row],[Saleprice]]-Table1[[#This Row],[Costprice]])</f>
        <v>-150.97199999999998</v>
      </c>
      <c r="R982">
        <f t="shared" si="77"/>
        <v>2023</v>
      </c>
      <c r="S982">
        <f t="shared" si="78"/>
        <v>2</v>
      </c>
      <c r="T982" t="str">
        <f t="shared" si="79"/>
        <v>February</v>
      </c>
    </row>
    <row r="983" spans="1:20" x14ac:dyDescent="0.3">
      <c r="A983" s="3">
        <v>44972</v>
      </c>
      <c r="B983">
        <v>102</v>
      </c>
      <c r="C983" s="3">
        <f>_xlfn.XLOOKUP(B983,Stores!A:A,Stores!E:E)</f>
        <v>44875</v>
      </c>
      <c r="D983">
        <v>219</v>
      </c>
      <c r="E983" s="3">
        <f>_xlfn.XLOOKUP(D983,SalesReps!A:A,SalesReps!D:D)</f>
        <v>44883</v>
      </c>
      <c r="F983" s="3" t="str">
        <f>_xlfn.XLOOKUP(Table1[[#This Row],[RepID]],SalesReps!A:A,SalesReps!E:E)</f>
        <v>Active</v>
      </c>
      <c r="G983">
        <v>301</v>
      </c>
      <c r="H983" t="str">
        <f>_xlfn.XLOOKUP(Table1[[#This Row],[ProductID]],Products!A:A,Products!B:B)</f>
        <v>Electronics</v>
      </c>
      <c r="I983" t="str">
        <f>_xlfn.XLOOKUP(Table1[[#This Row],[ProductID]],Products!A:A,Products!C:C)</f>
        <v>Mobiles</v>
      </c>
      <c r="J983">
        <v>8</v>
      </c>
      <c r="K983" s="5">
        <f>_xlfn.XLOOKUP(Table1[[#This Row],[ProductID]],Products!A:A,Products!E:E)</f>
        <v>159.16</v>
      </c>
      <c r="L983" s="5">
        <v>218.09</v>
      </c>
      <c r="M983" s="6">
        <v>0.06</v>
      </c>
      <c r="N983" t="s">
        <v>8</v>
      </c>
      <c r="O983" s="5">
        <f t="shared" si="75"/>
        <v>205.00459999999998</v>
      </c>
      <c r="P983" s="5">
        <f t="shared" si="76"/>
        <v>1640.0367999999999</v>
      </c>
      <c r="Q983" s="5">
        <f>Table1[[#This Row],[Quantity]]*(Table1[[#This Row],[Saleprice]]-Table1[[#This Row],[Costprice]])</f>
        <v>366.75679999999988</v>
      </c>
      <c r="R983">
        <f t="shared" si="77"/>
        <v>2023</v>
      </c>
      <c r="S983">
        <f t="shared" si="78"/>
        <v>2</v>
      </c>
      <c r="T983" t="str">
        <f t="shared" si="79"/>
        <v>February</v>
      </c>
    </row>
    <row r="984" spans="1:20" x14ac:dyDescent="0.3">
      <c r="A984" s="3">
        <v>44972</v>
      </c>
      <c r="B984">
        <v>110</v>
      </c>
      <c r="C984" s="3">
        <f>_xlfn.XLOOKUP(B984,Stores!A:A,Stores!E:E)</f>
        <v>44174</v>
      </c>
      <c r="D984">
        <v>217</v>
      </c>
      <c r="E984" s="3">
        <f>_xlfn.XLOOKUP(D984,SalesReps!A:A,SalesReps!D:D)</f>
        <v>44896</v>
      </c>
      <c r="F984" s="3" t="str">
        <f>_xlfn.XLOOKUP(Table1[[#This Row],[RepID]],SalesReps!A:A,SalesReps!E:E)</f>
        <v>Left</v>
      </c>
      <c r="G984">
        <v>316</v>
      </c>
      <c r="H984" t="str">
        <f>_xlfn.XLOOKUP(Table1[[#This Row],[ProductID]],Products!A:A,Products!B:B)</f>
        <v>Home &amp; Kitchen</v>
      </c>
      <c r="I984" t="str">
        <f>_xlfn.XLOOKUP(Table1[[#This Row],[ProductID]],Products!A:A,Products!C:C)</f>
        <v>Furniture</v>
      </c>
      <c r="J984">
        <v>5</v>
      </c>
      <c r="K984" s="5">
        <f>_xlfn.XLOOKUP(Table1[[#This Row],[ProductID]],Products!A:A,Products!E:E)</f>
        <v>334.95</v>
      </c>
      <c r="L984" s="5">
        <v>399.41</v>
      </c>
      <c r="M984" s="6">
        <v>0.21</v>
      </c>
      <c r="N984" t="s">
        <v>8</v>
      </c>
      <c r="O984" s="5">
        <f t="shared" si="75"/>
        <v>315.53390000000002</v>
      </c>
      <c r="P984" s="5">
        <f t="shared" si="76"/>
        <v>1577.6695</v>
      </c>
      <c r="Q984" s="5">
        <f>Table1[[#This Row],[Quantity]]*(Table1[[#This Row],[Saleprice]]-Table1[[#This Row],[Costprice]])</f>
        <v>-97.080499999999859</v>
      </c>
      <c r="R984">
        <f t="shared" si="77"/>
        <v>2023</v>
      </c>
      <c r="S984">
        <f t="shared" si="78"/>
        <v>2</v>
      </c>
      <c r="T984" t="str">
        <f t="shared" si="79"/>
        <v>February</v>
      </c>
    </row>
    <row r="985" spans="1:20" x14ac:dyDescent="0.3">
      <c r="A985" s="3">
        <v>44972</v>
      </c>
      <c r="B985">
        <v>110</v>
      </c>
      <c r="C985" s="3">
        <f>_xlfn.XLOOKUP(B985,Stores!A:A,Stores!E:E)</f>
        <v>44174</v>
      </c>
      <c r="D985">
        <v>217</v>
      </c>
      <c r="E985" s="3">
        <f>_xlfn.XLOOKUP(D985,SalesReps!A:A,SalesReps!D:D)</f>
        <v>44896</v>
      </c>
      <c r="F985" s="3" t="str">
        <f>_xlfn.XLOOKUP(Table1[[#This Row],[RepID]],SalesReps!A:A,SalesReps!E:E)</f>
        <v>Left</v>
      </c>
      <c r="G985">
        <v>319</v>
      </c>
      <c r="H985" t="str">
        <f>_xlfn.XLOOKUP(Table1[[#This Row],[ProductID]],Products!A:A,Products!B:B)</f>
        <v>Toys</v>
      </c>
      <c r="I985" t="str">
        <f>_xlfn.XLOOKUP(Table1[[#This Row],[ProductID]],Products!A:A,Products!C:C)</f>
        <v>Board Games</v>
      </c>
      <c r="J985">
        <v>3</v>
      </c>
      <c r="K985" s="5">
        <f>_xlfn.XLOOKUP(Table1[[#This Row],[ProductID]],Products!A:A,Products!E:E)</f>
        <v>81.069999999999993</v>
      </c>
      <c r="L985" s="5">
        <v>180.68</v>
      </c>
      <c r="M985" s="6">
        <v>0.06</v>
      </c>
      <c r="N985" t="s">
        <v>8</v>
      </c>
      <c r="O985" s="5">
        <f t="shared" si="75"/>
        <v>169.83920000000001</v>
      </c>
      <c r="P985" s="5">
        <f t="shared" si="76"/>
        <v>509.51760000000002</v>
      </c>
      <c r="Q985" s="5">
        <f>Table1[[#This Row],[Quantity]]*(Table1[[#This Row],[Saleprice]]-Table1[[#This Row],[Costprice]])</f>
        <v>266.30760000000004</v>
      </c>
      <c r="R985">
        <f t="shared" si="77"/>
        <v>2023</v>
      </c>
      <c r="S985">
        <f t="shared" si="78"/>
        <v>2</v>
      </c>
      <c r="T985" t="str">
        <f t="shared" si="79"/>
        <v>February</v>
      </c>
    </row>
    <row r="986" spans="1:20" x14ac:dyDescent="0.3">
      <c r="A986" s="3">
        <v>44972</v>
      </c>
      <c r="B986">
        <v>110</v>
      </c>
      <c r="C986" s="3">
        <f>_xlfn.XLOOKUP(B986,Stores!A:A,Stores!E:E)</f>
        <v>44174</v>
      </c>
      <c r="D986">
        <v>217</v>
      </c>
      <c r="E986" s="3">
        <f>_xlfn.XLOOKUP(D986,SalesReps!A:A,SalesReps!D:D)</f>
        <v>44896</v>
      </c>
      <c r="F986" s="3" t="str">
        <f>_xlfn.XLOOKUP(Table1[[#This Row],[RepID]],SalesReps!A:A,SalesReps!E:E)</f>
        <v>Left</v>
      </c>
      <c r="G986">
        <v>306</v>
      </c>
      <c r="H986" t="str">
        <f>_xlfn.XLOOKUP(Table1[[#This Row],[ProductID]],Products!A:A,Products!B:B)</f>
        <v>Clothing</v>
      </c>
      <c r="I986" t="str">
        <f>_xlfn.XLOOKUP(Table1[[#This Row],[ProductID]],Products!A:A,Products!C:C)</f>
        <v>Men</v>
      </c>
      <c r="J986">
        <v>1</v>
      </c>
      <c r="K986" s="5">
        <f>_xlfn.XLOOKUP(Table1[[#This Row],[ProductID]],Products!A:A,Products!E:E)</f>
        <v>185.69</v>
      </c>
      <c r="L986" s="5">
        <v>266.52999999999997</v>
      </c>
      <c r="M986" s="6">
        <v>0.08</v>
      </c>
      <c r="N986" t="s">
        <v>8</v>
      </c>
      <c r="O986" s="5">
        <f t="shared" si="75"/>
        <v>245.20759999999999</v>
      </c>
      <c r="P986" s="5">
        <f t="shared" si="76"/>
        <v>245.20759999999999</v>
      </c>
      <c r="Q986" s="5">
        <f>Table1[[#This Row],[Quantity]]*(Table1[[#This Row],[Saleprice]]-Table1[[#This Row],[Costprice]])</f>
        <v>59.517599999999987</v>
      </c>
      <c r="R986">
        <f t="shared" si="77"/>
        <v>2023</v>
      </c>
      <c r="S986">
        <f t="shared" si="78"/>
        <v>2</v>
      </c>
      <c r="T986" t="str">
        <f t="shared" si="79"/>
        <v>February</v>
      </c>
    </row>
    <row r="987" spans="1:20" x14ac:dyDescent="0.3">
      <c r="A987" s="3">
        <v>44973</v>
      </c>
      <c r="B987">
        <v>110</v>
      </c>
      <c r="C987" s="3">
        <f>_xlfn.XLOOKUP(B987,Stores!A:A,Stores!E:E)</f>
        <v>44174</v>
      </c>
      <c r="D987">
        <v>217</v>
      </c>
      <c r="E987" s="3">
        <f>_xlfn.XLOOKUP(D987,SalesReps!A:A,SalesReps!D:D)</f>
        <v>44896</v>
      </c>
      <c r="F987" s="3" t="str">
        <f>_xlfn.XLOOKUP(Table1[[#This Row],[RepID]],SalesReps!A:A,SalesReps!E:E)</f>
        <v>Left</v>
      </c>
      <c r="G987">
        <v>302</v>
      </c>
      <c r="H987" t="str">
        <f>_xlfn.XLOOKUP(Table1[[#This Row],[ProductID]],Products!A:A,Products!B:B)</f>
        <v>Toys</v>
      </c>
      <c r="I987" t="str">
        <f>_xlfn.XLOOKUP(Table1[[#This Row],[ProductID]],Products!A:A,Products!C:C)</f>
        <v>Outdoor</v>
      </c>
      <c r="J987">
        <v>9</v>
      </c>
      <c r="K987" s="5">
        <f>_xlfn.XLOOKUP(Table1[[#This Row],[ProductID]],Products!A:A,Products!E:E)</f>
        <v>393.46</v>
      </c>
      <c r="L987" s="5">
        <v>462</v>
      </c>
      <c r="M987" s="6">
        <v>0.18</v>
      </c>
      <c r="N987" t="s">
        <v>8</v>
      </c>
      <c r="O987" s="5">
        <f t="shared" si="75"/>
        <v>378.84000000000003</v>
      </c>
      <c r="P987" s="5">
        <f t="shared" si="76"/>
        <v>3409.5600000000004</v>
      </c>
      <c r="Q987" s="5">
        <f>Table1[[#This Row],[Quantity]]*(Table1[[#This Row],[Saleprice]]-Table1[[#This Row],[Costprice]])</f>
        <v>-131.57999999999953</v>
      </c>
      <c r="R987">
        <f t="shared" si="77"/>
        <v>2023</v>
      </c>
      <c r="S987">
        <f t="shared" si="78"/>
        <v>2</v>
      </c>
      <c r="T987" t="str">
        <f t="shared" si="79"/>
        <v>February</v>
      </c>
    </row>
    <row r="988" spans="1:20" x14ac:dyDescent="0.3">
      <c r="A988" s="3">
        <v>44974</v>
      </c>
      <c r="B988">
        <v>110</v>
      </c>
      <c r="C988" s="3">
        <f>_xlfn.XLOOKUP(B988,Stores!A:A,Stores!E:E)</f>
        <v>44174</v>
      </c>
      <c r="D988">
        <v>217</v>
      </c>
      <c r="E988" s="3">
        <f>_xlfn.XLOOKUP(D988,SalesReps!A:A,SalesReps!D:D)</f>
        <v>44896</v>
      </c>
      <c r="F988" s="3" t="str">
        <f>_xlfn.XLOOKUP(Table1[[#This Row],[RepID]],SalesReps!A:A,SalesReps!E:E)</f>
        <v>Left</v>
      </c>
      <c r="G988">
        <v>313</v>
      </c>
      <c r="H988" t="str">
        <f>_xlfn.XLOOKUP(Table1[[#This Row],[ProductID]],Products!A:A,Products!B:B)</f>
        <v>Clothing</v>
      </c>
      <c r="I988" t="str">
        <f>_xlfn.XLOOKUP(Table1[[#This Row],[ProductID]],Products!A:A,Products!C:C)</f>
        <v>Women</v>
      </c>
      <c r="J988">
        <v>8</v>
      </c>
      <c r="K988" s="5">
        <f>_xlfn.XLOOKUP(Table1[[#This Row],[ProductID]],Products!A:A,Products!E:E)</f>
        <v>104</v>
      </c>
      <c r="L988" s="5">
        <v>121.61</v>
      </c>
      <c r="M988" s="6">
        <v>0.24</v>
      </c>
      <c r="N988" t="s">
        <v>8</v>
      </c>
      <c r="O988" s="5">
        <f t="shared" si="75"/>
        <v>92.423600000000008</v>
      </c>
      <c r="P988" s="5">
        <f t="shared" si="76"/>
        <v>739.38880000000006</v>
      </c>
      <c r="Q988" s="5">
        <f>Table1[[#This Row],[Quantity]]*(Table1[[#This Row],[Saleprice]]-Table1[[#This Row],[Costprice]])</f>
        <v>-92.61119999999994</v>
      </c>
      <c r="R988">
        <f t="shared" si="77"/>
        <v>2023</v>
      </c>
      <c r="S988">
        <f t="shared" si="78"/>
        <v>2</v>
      </c>
      <c r="T988" t="str">
        <f t="shared" si="79"/>
        <v>February</v>
      </c>
    </row>
    <row r="989" spans="1:20" x14ac:dyDescent="0.3">
      <c r="A989" s="3">
        <v>44975</v>
      </c>
      <c r="B989">
        <v>110</v>
      </c>
      <c r="C989" s="3">
        <f>_xlfn.XLOOKUP(B989,Stores!A:A,Stores!E:E)</f>
        <v>44174</v>
      </c>
      <c r="D989">
        <v>217</v>
      </c>
      <c r="E989" s="3">
        <f>_xlfn.XLOOKUP(D989,SalesReps!A:A,SalesReps!D:D)</f>
        <v>44896</v>
      </c>
      <c r="F989" s="3" t="str">
        <f>_xlfn.XLOOKUP(Table1[[#This Row],[RepID]],SalesReps!A:A,SalesReps!E:E)</f>
        <v>Left</v>
      </c>
      <c r="G989">
        <v>320</v>
      </c>
      <c r="H989" t="str">
        <f>_xlfn.XLOOKUP(Table1[[#This Row],[ProductID]],Products!A:A,Products!B:B)</f>
        <v>Toys</v>
      </c>
      <c r="I989" t="str">
        <f>_xlfn.XLOOKUP(Table1[[#This Row],[ProductID]],Products!A:A,Products!C:C)</f>
        <v>Outdoor</v>
      </c>
      <c r="J989">
        <v>5</v>
      </c>
      <c r="K989" s="5">
        <f>_xlfn.XLOOKUP(Table1[[#This Row],[ProductID]],Products!A:A,Products!E:E)</f>
        <v>304.58999999999997</v>
      </c>
      <c r="L989" s="5">
        <v>332.08</v>
      </c>
      <c r="M989" s="6">
        <v>0.23</v>
      </c>
      <c r="N989" t="s">
        <v>8</v>
      </c>
      <c r="O989" s="5">
        <f t="shared" si="75"/>
        <v>255.70159999999998</v>
      </c>
      <c r="P989" s="5">
        <f t="shared" si="76"/>
        <v>1278.5079999999998</v>
      </c>
      <c r="Q989" s="5">
        <f>Table1[[#This Row],[Quantity]]*(Table1[[#This Row],[Saleprice]]-Table1[[#This Row],[Costprice]])</f>
        <v>-244.44199999999995</v>
      </c>
      <c r="R989">
        <f t="shared" si="77"/>
        <v>2023</v>
      </c>
      <c r="S989">
        <f t="shared" si="78"/>
        <v>2</v>
      </c>
      <c r="T989" t="str">
        <f t="shared" si="79"/>
        <v>February</v>
      </c>
    </row>
    <row r="990" spans="1:20" x14ac:dyDescent="0.3">
      <c r="A990" s="3">
        <v>44975</v>
      </c>
      <c r="B990">
        <v>110</v>
      </c>
      <c r="C990" s="3">
        <f>_xlfn.XLOOKUP(B990,Stores!A:A,Stores!E:E)</f>
        <v>44174</v>
      </c>
      <c r="D990">
        <v>217</v>
      </c>
      <c r="E990" s="3">
        <f>_xlfn.XLOOKUP(D990,SalesReps!A:A,SalesReps!D:D)</f>
        <v>44896</v>
      </c>
      <c r="F990" s="3" t="str">
        <f>_xlfn.XLOOKUP(Table1[[#This Row],[RepID]],SalesReps!A:A,SalesReps!E:E)</f>
        <v>Left</v>
      </c>
      <c r="G990">
        <v>309</v>
      </c>
      <c r="H990" t="str">
        <f>_xlfn.XLOOKUP(Table1[[#This Row],[ProductID]],Products!A:A,Products!B:B)</f>
        <v>Electronics</v>
      </c>
      <c r="I990" t="str">
        <f>_xlfn.XLOOKUP(Table1[[#This Row],[ProductID]],Products!A:A,Products!C:C)</f>
        <v>Laptops</v>
      </c>
      <c r="J990">
        <v>6</v>
      </c>
      <c r="K990" s="5">
        <f>_xlfn.XLOOKUP(Table1[[#This Row],[ProductID]],Products!A:A,Products!E:E)</f>
        <v>229.68</v>
      </c>
      <c r="L990" s="5">
        <v>258.47000000000003</v>
      </c>
      <c r="M990" s="6">
        <v>0.17</v>
      </c>
      <c r="N990" t="s">
        <v>8</v>
      </c>
      <c r="O990" s="5">
        <f t="shared" si="75"/>
        <v>214.5301</v>
      </c>
      <c r="P990" s="5">
        <f t="shared" si="76"/>
        <v>1287.1806000000001</v>
      </c>
      <c r="Q990" s="5">
        <f>Table1[[#This Row],[Quantity]]*(Table1[[#This Row],[Saleprice]]-Table1[[#This Row],[Costprice]])</f>
        <v>-90.899400000000014</v>
      </c>
      <c r="R990">
        <f t="shared" si="77"/>
        <v>2023</v>
      </c>
      <c r="S990">
        <f t="shared" si="78"/>
        <v>2</v>
      </c>
      <c r="T990" t="str">
        <f t="shared" si="79"/>
        <v>February</v>
      </c>
    </row>
    <row r="991" spans="1:20" x14ac:dyDescent="0.3">
      <c r="A991" s="3">
        <v>44975</v>
      </c>
      <c r="B991">
        <v>110</v>
      </c>
      <c r="C991" s="3">
        <f>_xlfn.XLOOKUP(B991,Stores!A:A,Stores!E:E)</f>
        <v>44174</v>
      </c>
      <c r="D991">
        <v>217</v>
      </c>
      <c r="E991" s="3">
        <f>_xlfn.XLOOKUP(D991,SalesReps!A:A,SalesReps!D:D)</f>
        <v>44896</v>
      </c>
      <c r="F991" s="3" t="str">
        <f>_xlfn.XLOOKUP(Table1[[#This Row],[RepID]],SalesReps!A:A,SalesReps!E:E)</f>
        <v>Left</v>
      </c>
      <c r="G991">
        <v>309</v>
      </c>
      <c r="H991" t="str">
        <f>_xlfn.XLOOKUP(Table1[[#This Row],[ProductID]],Products!A:A,Products!B:B)</f>
        <v>Electronics</v>
      </c>
      <c r="I991" t="str">
        <f>_xlfn.XLOOKUP(Table1[[#This Row],[ProductID]],Products!A:A,Products!C:C)</f>
        <v>Laptops</v>
      </c>
      <c r="J991">
        <v>2</v>
      </c>
      <c r="K991" s="5">
        <f>_xlfn.XLOOKUP(Table1[[#This Row],[ProductID]],Products!A:A,Products!E:E)</f>
        <v>229.68</v>
      </c>
      <c r="L991" s="5">
        <v>258.47000000000003</v>
      </c>
      <c r="M991" s="6">
        <v>0.17</v>
      </c>
      <c r="N991" t="s">
        <v>8</v>
      </c>
      <c r="O991" s="5">
        <f t="shared" si="75"/>
        <v>214.5301</v>
      </c>
      <c r="P991" s="5">
        <f t="shared" si="76"/>
        <v>429.06020000000001</v>
      </c>
      <c r="Q991" s="5">
        <f>Table1[[#This Row],[Quantity]]*(Table1[[#This Row],[Saleprice]]-Table1[[#This Row],[Costprice]])</f>
        <v>-30.299800000000005</v>
      </c>
      <c r="R991">
        <f t="shared" si="77"/>
        <v>2023</v>
      </c>
      <c r="S991">
        <f t="shared" si="78"/>
        <v>2</v>
      </c>
      <c r="T991" t="str">
        <f t="shared" si="79"/>
        <v>February</v>
      </c>
    </row>
    <row r="992" spans="1:20" x14ac:dyDescent="0.3">
      <c r="A992" s="3">
        <v>44975</v>
      </c>
      <c r="B992">
        <v>110</v>
      </c>
      <c r="C992" s="3">
        <f>_xlfn.XLOOKUP(B992,Stores!A:A,Stores!E:E)</f>
        <v>44174</v>
      </c>
      <c r="D992">
        <v>217</v>
      </c>
      <c r="E992" s="3">
        <f>_xlfn.XLOOKUP(D992,SalesReps!A:A,SalesReps!D:D)</f>
        <v>44896</v>
      </c>
      <c r="F992" s="3" t="str">
        <f>_xlfn.XLOOKUP(Table1[[#This Row],[RepID]],SalesReps!A:A,SalesReps!E:E)</f>
        <v>Left</v>
      </c>
      <c r="G992">
        <v>319</v>
      </c>
      <c r="H992" t="str">
        <f>_xlfn.XLOOKUP(Table1[[#This Row],[ProductID]],Products!A:A,Products!B:B)</f>
        <v>Toys</v>
      </c>
      <c r="I992" t="str">
        <f>_xlfn.XLOOKUP(Table1[[#This Row],[ProductID]],Products!A:A,Products!C:C)</f>
        <v>Board Games</v>
      </c>
      <c r="J992">
        <v>5</v>
      </c>
      <c r="K992" s="5">
        <f>_xlfn.XLOOKUP(Table1[[#This Row],[ProductID]],Products!A:A,Products!E:E)</f>
        <v>81.069999999999993</v>
      </c>
      <c r="L992" s="5">
        <v>180.68</v>
      </c>
      <c r="M992" s="6">
        <v>0.06</v>
      </c>
      <c r="N992" t="s">
        <v>8</v>
      </c>
      <c r="O992" s="5">
        <f t="shared" si="75"/>
        <v>169.83920000000001</v>
      </c>
      <c r="P992" s="5">
        <f t="shared" si="76"/>
        <v>849.19600000000003</v>
      </c>
      <c r="Q992" s="5">
        <f>Table1[[#This Row],[Quantity]]*(Table1[[#This Row],[Saleprice]]-Table1[[#This Row],[Costprice]])</f>
        <v>443.84600000000006</v>
      </c>
      <c r="R992">
        <f t="shared" si="77"/>
        <v>2023</v>
      </c>
      <c r="S992">
        <f t="shared" si="78"/>
        <v>2</v>
      </c>
      <c r="T992" t="str">
        <f t="shared" si="79"/>
        <v>February</v>
      </c>
    </row>
    <row r="993" spans="1:20" x14ac:dyDescent="0.3">
      <c r="A993" s="3">
        <v>44976</v>
      </c>
      <c r="B993">
        <v>110</v>
      </c>
      <c r="C993" s="3">
        <f>_xlfn.XLOOKUP(B993,Stores!A:A,Stores!E:E)</f>
        <v>44174</v>
      </c>
      <c r="D993">
        <v>217</v>
      </c>
      <c r="E993" s="3">
        <f>_xlfn.XLOOKUP(D993,SalesReps!A:A,SalesReps!D:D)</f>
        <v>44896</v>
      </c>
      <c r="F993" s="3" t="str">
        <f>_xlfn.XLOOKUP(Table1[[#This Row],[RepID]],SalesReps!A:A,SalesReps!E:E)</f>
        <v>Left</v>
      </c>
      <c r="G993">
        <v>315</v>
      </c>
      <c r="H993" t="str">
        <f>_xlfn.XLOOKUP(Table1[[#This Row],[ProductID]],Products!A:A,Products!B:B)</f>
        <v>Toys</v>
      </c>
      <c r="I993" t="str">
        <f>_xlfn.XLOOKUP(Table1[[#This Row],[ProductID]],Products!A:A,Products!C:C)</f>
        <v>Board Games</v>
      </c>
      <c r="J993">
        <v>8</v>
      </c>
      <c r="K993" s="5">
        <f>_xlfn.XLOOKUP(Table1[[#This Row],[ProductID]],Products!A:A,Products!E:E)</f>
        <v>247.9</v>
      </c>
      <c r="L993" s="5">
        <v>257.47000000000003</v>
      </c>
      <c r="M993" s="6">
        <v>0.24</v>
      </c>
      <c r="N993" t="s">
        <v>8</v>
      </c>
      <c r="O993" s="5">
        <f t="shared" si="75"/>
        <v>195.67720000000003</v>
      </c>
      <c r="P993" s="5">
        <f t="shared" si="76"/>
        <v>1565.4176000000002</v>
      </c>
      <c r="Q993" s="5">
        <f>Table1[[#This Row],[Quantity]]*(Table1[[#This Row],[Saleprice]]-Table1[[#This Row],[Costprice]])</f>
        <v>-417.78239999999983</v>
      </c>
      <c r="R993">
        <f t="shared" si="77"/>
        <v>2023</v>
      </c>
      <c r="S993">
        <f t="shared" si="78"/>
        <v>2</v>
      </c>
      <c r="T993" t="str">
        <f t="shared" si="79"/>
        <v>February</v>
      </c>
    </row>
    <row r="994" spans="1:20" x14ac:dyDescent="0.3">
      <c r="A994" s="3">
        <v>44977</v>
      </c>
      <c r="B994">
        <v>110</v>
      </c>
      <c r="C994" s="3">
        <f>_xlfn.XLOOKUP(B994,Stores!A:A,Stores!E:E)</f>
        <v>44174</v>
      </c>
      <c r="D994">
        <v>217</v>
      </c>
      <c r="E994" s="3">
        <f>_xlfn.XLOOKUP(D994,SalesReps!A:A,SalesReps!D:D)</f>
        <v>44896</v>
      </c>
      <c r="F994" s="3" t="str">
        <f>_xlfn.XLOOKUP(Table1[[#This Row],[RepID]],SalesReps!A:A,SalesReps!E:E)</f>
        <v>Left</v>
      </c>
      <c r="G994">
        <v>307</v>
      </c>
      <c r="H994" t="str">
        <f>_xlfn.XLOOKUP(Table1[[#This Row],[ProductID]],Products!A:A,Products!B:B)</f>
        <v>Toys</v>
      </c>
      <c r="I994" t="str">
        <f>_xlfn.XLOOKUP(Table1[[#This Row],[ProductID]],Products!A:A,Products!C:C)</f>
        <v>Outdoor</v>
      </c>
      <c r="J994">
        <v>7</v>
      </c>
      <c r="K994" s="5">
        <f>_xlfn.XLOOKUP(Table1[[#This Row],[ProductID]],Products!A:A,Products!E:E)</f>
        <v>15.17</v>
      </c>
      <c r="L994" s="5">
        <v>41.88</v>
      </c>
      <c r="M994" s="6">
        <v>0.08</v>
      </c>
      <c r="N994" t="s">
        <v>8</v>
      </c>
      <c r="O994" s="5">
        <f t="shared" si="75"/>
        <v>38.529600000000002</v>
      </c>
      <c r="P994" s="5">
        <f t="shared" si="76"/>
        <v>269.7072</v>
      </c>
      <c r="Q994" s="5">
        <f>Table1[[#This Row],[Quantity]]*(Table1[[#This Row],[Saleprice]]-Table1[[#This Row],[Costprice]])</f>
        <v>163.5172</v>
      </c>
      <c r="R994">
        <f t="shared" si="77"/>
        <v>2023</v>
      </c>
      <c r="S994">
        <f t="shared" si="78"/>
        <v>2</v>
      </c>
      <c r="T994" t="str">
        <f t="shared" si="79"/>
        <v>February</v>
      </c>
    </row>
    <row r="995" spans="1:20" x14ac:dyDescent="0.3">
      <c r="A995" s="3">
        <v>44977</v>
      </c>
      <c r="B995">
        <v>110</v>
      </c>
      <c r="C995" s="3">
        <f>_xlfn.XLOOKUP(B995,Stores!A:A,Stores!E:E)</f>
        <v>44174</v>
      </c>
      <c r="D995">
        <v>217</v>
      </c>
      <c r="E995" s="3">
        <f>_xlfn.XLOOKUP(D995,SalesReps!A:A,SalesReps!D:D)</f>
        <v>44896</v>
      </c>
      <c r="F995" s="3" t="str">
        <f>_xlfn.XLOOKUP(Table1[[#This Row],[RepID]],SalesReps!A:A,SalesReps!E:E)</f>
        <v>Left</v>
      </c>
      <c r="G995">
        <v>303</v>
      </c>
      <c r="H995" t="str">
        <f>_xlfn.XLOOKUP(Table1[[#This Row],[ProductID]],Products!A:A,Products!B:B)</f>
        <v>Home &amp; Kitchen</v>
      </c>
      <c r="I995" t="str">
        <f>_xlfn.XLOOKUP(Table1[[#This Row],[ProductID]],Products!A:A,Products!C:C)</f>
        <v>Furniture</v>
      </c>
      <c r="J995">
        <v>6</v>
      </c>
      <c r="K995" s="5">
        <f>_xlfn.XLOOKUP(Table1[[#This Row],[ProductID]],Products!A:A,Products!E:E)</f>
        <v>192.04</v>
      </c>
      <c r="L995" s="5">
        <v>210.28</v>
      </c>
      <c r="M995" s="6">
        <v>0.17</v>
      </c>
      <c r="N995" t="s">
        <v>8</v>
      </c>
      <c r="O995" s="5">
        <f t="shared" si="75"/>
        <v>174.5324</v>
      </c>
      <c r="P995" s="5">
        <f t="shared" si="76"/>
        <v>1047.1943999999999</v>
      </c>
      <c r="Q995" s="5">
        <f>Table1[[#This Row],[Quantity]]*(Table1[[#This Row],[Saleprice]]-Table1[[#This Row],[Costprice]])</f>
        <v>-105.04559999999998</v>
      </c>
      <c r="R995">
        <f t="shared" si="77"/>
        <v>2023</v>
      </c>
      <c r="S995">
        <f t="shared" si="78"/>
        <v>2</v>
      </c>
      <c r="T995" t="str">
        <f t="shared" si="79"/>
        <v>February</v>
      </c>
    </row>
    <row r="996" spans="1:20" x14ac:dyDescent="0.3">
      <c r="A996" s="3">
        <v>44979</v>
      </c>
      <c r="B996">
        <v>110</v>
      </c>
      <c r="C996" s="3">
        <f>_xlfn.XLOOKUP(B996,Stores!A:A,Stores!E:E)</f>
        <v>44174</v>
      </c>
      <c r="D996">
        <v>217</v>
      </c>
      <c r="E996" s="3">
        <f>_xlfn.XLOOKUP(D996,SalesReps!A:A,SalesReps!D:D)</f>
        <v>44896</v>
      </c>
      <c r="F996" s="3" t="str">
        <f>_xlfn.XLOOKUP(Table1[[#This Row],[RepID]],SalesReps!A:A,SalesReps!E:E)</f>
        <v>Left</v>
      </c>
      <c r="G996">
        <v>305</v>
      </c>
      <c r="H996" t="str">
        <f>_xlfn.XLOOKUP(Table1[[#This Row],[ProductID]],Products!A:A,Products!B:B)</f>
        <v>Electronics</v>
      </c>
      <c r="I996" t="str">
        <f>_xlfn.XLOOKUP(Table1[[#This Row],[ProductID]],Products!A:A,Products!C:C)</f>
        <v>Accessories</v>
      </c>
      <c r="J996">
        <v>1</v>
      </c>
      <c r="K996" s="5">
        <f>_xlfn.XLOOKUP(Table1[[#This Row],[ProductID]],Products!A:A,Products!E:E)</f>
        <v>275.32</v>
      </c>
      <c r="L996" s="5">
        <v>375.11</v>
      </c>
      <c r="M996" s="6">
        <v>0.1</v>
      </c>
      <c r="N996" t="s">
        <v>8</v>
      </c>
      <c r="O996" s="5">
        <f t="shared" si="75"/>
        <v>337.59900000000005</v>
      </c>
      <c r="P996" s="5">
        <f t="shared" si="76"/>
        <v>337.59900000000005</v>
      </c>
      <c r="Q996" s="5">
        <f>Table1[[#This Row],[Quantity]]*(Table1[[#This Row],[Saleprice]]-Table1[[#This Row],[Costprice]])</f>
        <v>62.279000000000053</v>
      </c>
      <c r="R996">
        <f t="shared" si="77"/>
        <v>2023</v>
      </c>
      <c r="S996">
        <f t="shared" si="78"/>
        <v>2</v>
      </c>
      <c r="T996" t="str">
        <f t="shared" si="79"/>
        <v>February</v>
      </c>
    </row>
    <row r="997" spans="1:20" x14ac:dyDescent="0.3">
      <c r="A997" s="3">
        <v>44980</v>
      </c>
      <c r="B997">
        <v>110</v>
      </c>
      <c r="C997" s="3">
        <f>_xlfn.XLOOKUP(B997,Stores!A:A,Stores!E:E)</f>
        <v>44174</v>
      </c>
      <c r="D997">
        <v>217</v>
      </c>
      <c r="E997" s="3">
        <f>_xlfn.XLOOKUP(D997,SalesReps!A:A,SalesReps!D:D)</f>
        <v>44896</v>
      </c>
      <c r="F997" s="3" t="str">
        <f>_xlfn.XLOOKUP(Table1[[#This Row],[RepID]],SalesReps!A:A,SalesReps!E:E)</f>
        <v>Left</v>
      </c>
      <c r="G997">
        <v>306</v>
      </c>
      <c r="H997" t="str">
        <f>_xlfn.XLOOKUP(Table1[[#This Row],[ProductID]],Products!A:A,Products!B:B)</f>
        <v>Clothing</v>
      </c>
      <c r="I997" t="str">
        <f>_xlfn.XLOOKUP(Table1[[#This Row],[ProductID]],Products!A:A,Products!C:C)</f>
        <v>Men</v>
      </c>
      <c r="J997">
        <v>2</v>
      </c>
      <c r="K997" s="5">
        <f>_xlfn.XLOOKUP(Table1[[#This Row],[ProductID]],Products!A:A,Products!E:E)</f>
        <v>185.69</v>
      </c>
      <c r="L997" s="5">
        <v>266.52999999999997</v>
      </c>
      <c r="M997" s="6">
        <v>0.08</v>
      </c>
      <c r="N997" t="s">
        <v>8</v>
      </c>
      <c r="O997" s="5">
        <f t="shared" si="75"/>
        <v>245.20759999999999</v>
      </c>
      <c r="P997" s="5">
        <f t="shared" si="76"/>
        <v>490.41519999999997</v>
      </c>
      <c r="Q997" s="5">
        <f>Table1[[#This Row],[Quantity]]*(Table1[[#This Row],[Saleprice]]-Table1[[#This Row],[Costprice]])</f>
        <v>119.03519999999997</v>
      </c>
      <c r="R997">
        <f t="shared" si="77"/>
        <v>2023</v>
      </c>
      <c r="S997">
        <f t="shared" si="78"/>
        <v>2</v>
      </c>
      <c r="T997" t="str">
        <f t="shared" si="79"/>
        <v>February</v>
      </c>
    </row>
    <row r="998" spans="1:20" x14ac:dyDescent="0.3">
      <c r="A998" s="3">
        <v>44981</v>
      </c>
      <c r="B998">
        <v>110</v>
      </c>
      <c r="C998" s="3">
        <f>_xlfn.XLOOKUP(B998,Stores!A:A,Stores!E:E)</f>
        <v>44174</v>
      </c>
      <c r="D998">
        <v>217</v>
      </c>
      <c r="E998" s="3">
        <f>_xlfn.XLOOKUP(D998,SalesReps!A:A,SalesReps!D:D)</f>
        <v>44896</v>
      </c>
      <c r="F998" s="3" t="str">
        <f>_xlfn.XLOOKUP(Table1[[#This Row],[RepID]],SalesReps!A:A,SalesReps!E:E)</f>
        <v>Left</v>
      </c>
      <c r="G998">
        <v>314</v>
      </c>
      <c r="H998" t="str">
        <f>_xlfn.XLOOKUP(Table1[[#This Row],[ProductID]],Products!A:A,Products!B:B)</f>
        <v>Clothing</v>
      </c>
      <c r="I998" t="str">
        <f>_xlfn.XLOOKUP(Table1[[#This Row],[ProductID]],Products!A:A,Products!C:C)</f>
        <v>Kids</v>
      </c>
      <c r="J998">
        <v>9</v>
      </c>
      <c r="K998" s="5">
        <f>_xlfn.XLOOKUP(Table1[[#This Row],[ProductID]],Products!A:A,Products!E:E)</f>
        <v>276.47000000000003</v>
      </c>
      <c r="L998" s="5">
        <v>330.56</v>
      </c>
      <c r="M998" s="6">
        <v>0.18</v>
      </c>
      <c r="N998" t="s">
        <v>8</v>
      </c>
      <c r="O998" s="5">
        <f t="shared" si="75"/>
        <v>271.05920000000003</v>
      </c>
      <c r="P998" s="5">
        <f t="shared" si="76"/>
        <v>2439.5328000000004</v>
      </c>
      <c r="Q998" s="5">
        <f>Table1[[#This Row],[Quantity]]*(Table1[[#This Row],[Saleprice]]-Table1[[#This Row],[Costprice]])</f>
        <v>-48.697199999999953</v>
      </c>
      <c r="R998">
        <f t="shared" si="77"/>
        <v>2023</v>
      </c>
      <c r="S998">
        <f t="shared" si="78"/>
        <v>2</v>
      </c>
      <c r="T998" t="str">
        <f t="shared" si="79"/>
        <v>February</v>
      </c>
    </row>
    <row r="999" spans="1:20" x14ac:dyDescent="0.3">
      <c r="A999" s="3">
        <v>44981</v>
      </c>
      <c r="B999">
        <v>110</v>
      </c>
      <c r="C999" s="3">
        <f>_xlfn.XLOOKUP(B999,Stores!A:A,Stores!E:E)</f>
        <v>44174</v>
      </c>
      <c r="D999">
        <v>217</v>
      </c>
      <c r="E999" s="3">
        <f>_xlfn.XLOOKUP(D999,SalesReps!A:A,SalesReps!D:D)</f>
        <v>44896</v>
      </c>
      <c r="F999" s="3" t="str">
        <f>_xlfn.XLOOKUP(Table1[[#This Row],[RepID]],SalesReps!A:A,SalesReps!E:E)</f>
        <v>Left</v>
      </c>
      <c r="G999">
        <v>306</v>
      </c>
      <c r="H999" t="str">
        <f>_xlfn.XLOOKUP(Table1[[#This Row],[ProductID]],Products!A:A,Products!B:B)</f>
        <v>Clothing</v>
      </c>
      <c r="I999" t="str">
        <f>_xlfn.XLOOKUP(Table1[[#This Row],[ProductID]],Products!A:A,Products!C:C)</f>
        <v>Men</v>
      </c>
      <c r="J999">
        <v>3</v>
      </c>
      <c r="K999" s="5">
        <f>_xlfn.XLOOKUP(Table1[[#This Row],[ProductID]],Products!A:A,Products!E:E)</f>
        <v>185.69</v>
      </c>
      <c r="L999" s="5">
        <v>266.52999999999997</v>
      </c>
      <c r="M999" s="6">
        <v>0.08</v>
      </c>
      <c r="N999" t="s">
        <v>8</v>
      </c>
      <c r="O999" s="5">
        <f t="shared" si="75"/>
        <v>245.20759999999999</v>
      </c>
      <c r="P999" s="5">
        <f t="shared" si="76"/>
        <v>735.62279999999998</v>
      </c>
      <c r="Q999" s="5">
        <f>Table1[[#This Row],[Quantity]]*(Table1[[#This Row],[Saleprice]]-Table1[[#This Row],[Costprice]])</f>
        <v>178.55279999999996</v>
      </c>
      <c r="R999">
        <f t="shared" si="77"/>
        <v>2023</v>
      </c>
      <c r="S999">
        <f t="shared" si="78"/>
        <v>2</v>
      </c>
      <c r="T999" t="str">
        <f t="shared" si="79"/>
        <v>February</v>
      </c>
    </row>
    <row r="1000" spans="1:20" x14ac:dyDescent="0.3">
      <c r="A1000" s="3">
        <v>44982</v>
      </c>
      <c r="B1000">
        <v>110</v>
      </c>
      <c r="C1000" s="3">
        <f>_xlfn.XLOOKUP(B1000,Stores!A:A,Stores!E:E)</f>
        <v>44174</v>
      </c>
      <c r="D1000">
        <v>217</v>
      </c>
      <c r="E1000" s="3">
        <f>_xlfn.XLOOKUP(D1000,SalesReps!A:A,SalesReps!D:D)</f>
        <v>44896</v>
      </c>
      <c r="F1000" s="3" t="str">
        <f>_xlfn.XLOOKUP(Table1[[#This Row],[RepID]],SalesReps!A:A,SalesReps!E:E)</f>
        <v>Left</v>
      </c>
      <c r="G1000">
        <v>303</v>
      </c>
      <c r="H1000" t="str">
        <f>_xlfn.XLOOKUP(Table1[[#This Row],[ProductID]],Products!A:A,Products!B:B)</f>
        <v>Home &amp; Kitchen</v>
      </c>
      <c r="I1000" t="str">
        <f>_xlfn.XLOOKUP(Table1[[#This Row],[ProductID]],Products!A:A,Products!C:C)</f>
        <v>Furniture</v>
      </c>
      <c r="J1000">
        <v>1</v>
      </c>
      <c r="K1000" s="5">
        <f>_xlfn.XLOOKUP(Table1[[#This Row],[ProductID]],Products!A:A,Products!E:E)</f>
        <v>192.04</v>
      </c>
      <c r="L1000" s="5">
        <v>210.28</v>
      </c>
      <c r="M1000" s="6">
        <v>0.17</v>
      </c>
      <c r="N1000" t="s">
        <v>8</v>
      </c>
      <c r="O1000" s="5">
        <f t="shared" si="75"/>
        <v>174.5324</v>
      </c>
      <c r="P1000" s="5">
        <f t="shared" si="76"/>
        <v>174.5324</v>
      </c>
      <c r="Q1000" s="5">
        <f>Table1[[#This Row],[Quantity]]*(Table1[[#This Row],[Saleprice]]-Table1[[#This Row],[Costprice]])</f>
        <v>-17.507599999999996</v>
      </c>
      <c r="R1000">
        <f t="shared" si="77"/>
        <v>2023</v>
      </c>
      <c r="S1000">
        <f t="shared" si="78"/>
        <v>2</v>
      </c>
      <c r="T1000" t="str">
        <f t="shared" si="79"/>
        <v>February</v>
      </c>
    </row>
    <row r="1001" spans="1:20" x14ac:dyDescent="0.3">
      <c r="A1001" s="3">
        <v>44983</v>
      </c>
      <c r="B1001">
        <v>110</v>
      </c>
      <c r="C1001" s="3">
        <f>_xlfn.XLOOKUP(B1001,Stores!A:A,Stores!E:E)</f>
        <v>44174</v>
      </c>
      <c r="D1001">
        <v>217</v>
      </c>
      <c r="E1001" s="3">
        <f>_xlfn.XLOOKUP(D1001,SalesReps!A:A,SalesReps!D:D)</f>
        <v>44896</v>
      </c>
      <c r="F1001" s="3" t="str">
        <f>_xlfn.XLOOKUP(Table1[[#This Row],[RepID]],SalesReps!A:A,SalesReps!E:E)</f>
        <v>Left</v>
      </c>
      <c r="G1001">
        <v>317</v>
      </c>
      <c r="H1001" t="str">
        <f>_xlfn.XLOOKUP(Table1[[#This Row],[ProductID]],Products!A:A,Products!B:B)</f>
        <v>Toys</v>
      </c>
      <c r="I1001" t="str">
        <f>_xlfn.XLOOKUP(Table1[[#This Row],[ProductID]],Products!A:A,Products!C:C)</f>
        <v>Educational</v>
      </c>
      <c r="J1001">
        <v>2</v>
      </c>
      <c r="K1001" s="5">
        <f>_xlfn.XLOOKUP(Table1[[#This Row],[ProductID]],Products!A:A,Products!E:E)</f>
        <v>77.61</v>
      </c>
      <c r="L1001" s="5">
        <v>122.31</v>
      </c>
      <c r="M1001" s="6">
        <v>0.24</v>
      </c>
      <c r="N1001" t="s">
        <v>8</v>
      </c>
      <c r="O1001" s="5">
        <f t="shared" si="75"/>
        <v>92.955600000000004</v>
      </c>
      <c r="P1001" s="5">
        <f t="shared" si="76"/>
        <v>185.91120000000001</v>
      </c>
      <c r="Q1001" s="5">
        <f>Table1[[#This Row],[Quantity]]*(Table1[[#This Row],[Saleprice]]-Table1[[#This Row],[Costprice]])</f>
        <v>30.691200000000009</v>
      </c>
      <c r="R1001">
        <f t="shared" si="77"/>
        <v>2023</v>
      </c>
      <c r="S1001">
        <f t="shared" si="78"/>
        <v>2</v>
      </c>
      <c r="T1001" t="str">
        <f t="shared" si="79"/>
        <v>February</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1" sqref="E1:E1048576"/>
    </sheetView>
  </sheetViews>
  <sheetFormatPr defaultRowHeight="14.4" x14ac:dyDescent="0.3"/>
  <cols>
    <col min="5" max="5" width="8.88671875" style="5"/>
  </cols>
  <sheetData>
    <row r="1" spans="1:5" x14ac:dyDescent="0.3">
      <c r="A1" s="1" t="s">
        <v>3</v>
      </c>
      <c r="B1" s="1" t="s">
        <v>35</v>
      </c>
      <c r="C1" s="1" t="s">
        <v>36</v>
      </c>
      <c r="D1" s="1" t="s">
        <v>37</v>
      </c>
      <c r="E1" s="4" t="s">
        <v>38</v>
      </c>
    </row>
    <row r="2" spans="1:5" x14ac:dyDescent="0.3">
      <c r="A2">
        <v>301</v>
      </c>
      <c r="B2" t="s">
        <v>39</v>
      </c>
      <c r="C2" t="s">
        <v>43</v>
      </c>
      <c r="D2" t="s">
        <v>53</v>
      </c>
      <c r="E2" s="5">
        <v>159.16</v>
      </c>
    </row>
    <row r="3" spans="1:5" x14ac:dyDescent="0.3">
      <c r="A3">
        <v>302</v>
      </c>
      <c r="B3" t="s">
        <v>40</v>
      </c>
      <c r="C3" t="s">
        <v>44</v>
      </c>
      <c r="D3" t="s">
        <v>54</v>
      </c>
      <c r="E3" s="5">
        <v>393.46</v>
      </c>
    </row>
    <row r="4" spans="1:5" x14ac:dyDescent="0.3">
      <c r="A4">
        <v>303</v>
      </c>
      <c r="B4" t="s">
        <v>41</v>
      </c>
      <c r="C4" t="s">
        <v>45</v>
      </c>
      <c r="D4" t="s">
        <v>55</v>
      </c>
      <c r="E4" s="5">
        <v>192.04</v>
      </c>
    </row>
    <row r="5" spans="1:5" x14ac:dyDescent="0.3">
      <c r="A5">
        <v>304</v>
      </c>
      <c r="B5" t="s">
        <v>41</v>
      </c>
      <c r="C5" t="s">
        <v>45</v>
      </c>
      <c r="D5" t="s">
        <v>55</v>
      </c>
      <c r="E5" s="5">
        <v>345.38</v>
      </c>
    </row>
    <row r="6" spans="1:5" x14ac:dyDescent="0.3">
      <c r="A6">
        <v>305</v>
      </c>
      <c r="B6" t="s">
        <v>39</v>
      </c>
      <c r="C6" t="s">
        <v>46</v>
      </c>
      <c r="D6" t="s">
        <v>56</v>
      </c>
      <c r="E6" s="5">
        <v>275.32</v>
      </c>
    </row>
    <row r="7" spans="1:5" x14ac:dyDescent="0.3">
      <c r="A7">
        <v>306</v>
      </c>
      <c r="B7" t="s">
        <v>42</v>
      </c>
      <c r="C7" t="s">
        <v>47</v>
      </c>
      <c r="D7" t="s">
        <v>54</v>
      </c>
      <c r="E7" s="5">
        <v>185.69</v>
      </c>
    </row>
    <row r="8" spans="1:5" x14ac:dyDescent="0.3">
      <c r="A8">
        <v>307</v>
      </c>
      <c r="B8" t="s">
        <v>40</v>
      </c>
      <c r="C8" t="s">
        <v>44</v>
      </c>
      <c r="D8" t="s">
        <v>56</v>
      </c>
      <c r="E8" s="5">
        <v>15.17</v>
      </c>
    </row>
    <row r="9" spans="1:5" x14ac:dyDescent="0.3">
      <c r="A9">
        <v>308</v>
      </c>
      <c r="B9" t="s">
        <v>41</v>
      </c>
      <c r="C9" t="s">
        <v>45</v>
      </c>
      <c r="D9" t="s">
        <v>56</v>
      </c>
      <c r="E9" s="5">
        <v>377.46</v>
      </c>
    </row>
    <row r="10" spans="1:5" x14ac:dyDescent="0.3">
      <c r="A10">
        <v>309</v>
      </c>
      <c r="B10" t="s">
        <v>39</v>
      </c>
      <c r="C10" t="s">
        <v>48</v>
      </c>
      <c r="D10" t="s">
        <v>54</v>
      </c>
      <c r="E10" s="5">
        <v>229.68</v>
      </c>
    </row>
    <row r="11" spans="1:5" x14ac:dyDescent="0.3">
      <c r="A11">
        <v>310</v>
      </c>
      <c r="B11" t="s">
        <v>41</v>
      </c>
      <c r="C11" t="s">
        <v>45</v>
      </c>
      <c r="D11" t="s">
        <v>56</v>
      </c>
      <c r="E11" s="5">
        <v>160.31</v>
      </c>
    </row>
    <row r="12" spans="1:5" x14ac:dyDescent="0.3">
      <c r="A12">
        <v>311</v>
      </c>
      <c r="B12" t="s">
        <v>41</v>
      </c>
      <c r="C12" t="s">
        <v>45</v>
      </c>
      <c r="D12" t="s">
        <v>54</v>
      </c>
      <c r="E12" s="5">
        <v>16.23</v>
      </c>
    </row>
    <row r="13" spans="1:5" x14ac:dyDescent="0.3">
      <c r="A13">
        <v>312</v>
      </c>
      <c r="B13" t="s">
        <v>40</v>
      </c>
      <c r="C13" t="s">
        <v>49</v>
      </c>
      <c r="D13" t="s">
        <v>54</v>
      </c>
      <c r="E13" s="5">
        <v>100.05</v>
      </c>
    </row>
    <row r="14" spans="1:5" x14ac:dyDescent="0.3">
      <c r="A14">
        <v>313</v>
      </c>
      <c r="B14" t="s">
        <v>42</v>
      </c>
      <c r="C14" t="s">
        <v>50</v>
      </c>
      <c r="D14" t="s">
        <v>56</v>
      </c>
      <c r="E14" s="5">
        <v>104</v>
      </c>
    </row>
    <row r="15" spans="1:5" x14ac:dyDescent="0.3">
      <c r="A15">
        <v>314</v>
      </c>
      <c r="B15" t="s">
        <v>42</v>
      </c>
      <c r="C15" t="s">
        <v>51</v>
      </c>
      <c r="D15" t="s">
        <v>55</v>
      </c>
      <c r="E15" s="5">
        <v>276.47000000000003</v>
      </c>
    </row>
    <row r="16" spans="1:5" x14ac:dyDescent="0.3">
      <c r="A16">
        <v>315</v>
      </c>
      <c r="B16" t="s">
        <v>40</v>
      </c>
      <c r="C16" t="s">
        <v>49</v>
      </c>
      <c r="D16" t="s">
        <v>54</v>
      </c>
      <c r="E16" s="5">
        <v>247.9</v>
      </c>
    </row>
    <row r="17" spans="1:5" x14ac:dyDescent="0.3">
      <c r="A17">
        <v>316</v>
      </c>
      <c r="B17" t="s">
        <v>41</v>
      </c>
      <c r="C17" t="s">
        <v>45</v>
      </c>
      <c r="D17" t="s">
        <v>56</v>
      </c>
      <c r="E17" s="5">
        <v>334.95</v>
      </c>
    </row>
    <row r="18" spans="1:5" x14ac:dyDescent="0.3">
      <c r="A18">
        <v>317</v>
      </c>
      <c r="B18" t="s">
        <v>40</v>
      </c>
      <c r="C18" t="s">
        <v>52</v>
      </c>
      <c r="D18" t="s">
        <v>53</v>
      </c>
      <c r="E18" s="5">
        <v>77.61</v>
      </c>
    </row>
    <row r="19" spans="1:5" x14ac:dyDescent="0.3">
      <c r="A19">
        <v>318</v>
      </c>
      <c r="B19" t="s">
        <v>39</v>
      </c>
      <c r="C19" t="s">
        <v>43</v>
      </c>
      <c r="D19" t="s">
        <v>56</v>
      </c>
      <c r="E19" s="5">
        <v>162.51</v>
      </c>
    </row>
    <row r="20" spans="1:5" x14ac:dyDescent="0.3">
      <c r="A20">
        <v>319</v>
      </c>
      <c r="B20" t="s">
        <v>40</v>
      </c>
      <c r="C20" t="s">
        <v>49</v>
      </c>
      <c r="D20" t="s">
        <v>53</v>
      </c>
      <c r="E20" s="5">
        <v>81.069999999999993</v>
      </c>
    </row>
    <row r="21" spans="1:5" x14ac:dyDescent="0.3">
      <c r="A21">
        <v>320</v>
      </c>
      <c r="B21" t="s">
        <v>40</v>
      </c>
      <c r="C21" t="s">
        <v>44</v>
      </c>
      <c r="D21" t="s">
        <v>54</v>
      </c>
      <c r="E21" s="5">
        <v>304.58999999999997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E1" sqref="E1:E1048576"/>
    </sheetView>
  </sheetViews>
  <sheetFormatPr defaultRowHeight="14.4" x14ac:dyDescent="0.3"/>
  <cols>
    <col min="5" max="5" width="18.109375" style="3" bestFit="1" customWidth="1"/>
  </cols>
  <sheetData>
    <row r="1" spans="1:5" x14ac:dyDescent="0.3">
      <c r="A1" s="1" t="s">
        <v>1</v>
      </c>
      <c r="B1" s="1" t="s">
        <v>12</v>
      </c>
      <c r="C1" s="1" t="s">
        <v>7</v>
      </c>
      <c r="D1" s="1" t="s">
        <v>13</v>
      </c>
      <c r="E1" s="2" t="s">
        <v>14</v>
      </c>
    </row>
    <row r="2" spans="1:5" x14ac:dyDescent="0.3">
      <c r="A2">
        <v>101</v>
      </c>
      <c r="B2" t="s">
        <v>15</v>
      </c>
      <c r="C2" t="s">
        <v>8</v>
      </c>
      <c r="D2" t="s">
        <v>25</v>
      </c>
      <c r="E2" s="3">
        <v>44691</v>
      </c>
    </row>
    <row r="3" spans="1:5" x14ac:dyDescent="0.3">
      <c r="A3">
        <v>102</v>
      </c>
      <c r="B3" t="s">
        <v>16</v>
      </c>
      <c r="C3" t="s">
        <v>8</v>
      </c>
      <c r="D3" t="s">
        <v>26</v>
      </c>
      <c r="E3" s="3">
        <v>44875</v>
      </c>
    </row>
    <row r="4" spans="1:5" x14ac:dyDescent="0.3">
      <c r="A4">
        <v>103</v>
      </c>
      <c r="B4" t="s">
        <v>17</v>
      </c>
      <c r="C4" t="s">
        <v>9</v>
      </c>
      <c r="D4" t="s">
        <v>27</v>
      </c>
      <c r="E4" s="3">
        <v>43952</v>
      </c>
    </row>
    <row r="5" spans="1:5" x14ac:dyDescent="0.3">
      <c r="A5">
        <v>104</v>
      </c>
      <c r="B5" t="s">
        <v>18</v>
      </c>
      <c r="C5" t="s">
        <v>10</v>
      </c>
      <c r="D5" t="s">
        <v>28</v>
      </c>
      <c r="E5" s="3">
        <v>44297</v>
      </c>
    </row>
    <row r="6" spans="1:5" x14ac:dyDescent="0.3">
      <c r="A6">
        <v>105</v>
      </c>
      <c r="B6" t="s">
        <v>19</v>
      </c>
      <c r="C6" t="s">
        <v>10</v>
      </c>
      <c r="D6" t="s">
        <v>29</v>
      </c>
      <c r="E6" s="3">
        <v>44161</v>
      </c>
    </row>
    <row r="7" spans="1:5" x14ac:dyDescent="0.3">
      <c r="A7">
        <v>106</v>
      </c>
      <c r="B7" t="s">
        <v>20</v>
      </c>
      <c r="C7" t="s">
        <v>10</v>
      </c>
      <c r="D7" t="s">
        <v>30</v>
      </c>
      <c r="E7" s="3">
        <v>43918</v>
      </c>
    </row>
    <row r="8" spans="1:5" x14ac:dyDescent="0.3">
      <c r="A8">
        <v>107</v>
      </c>
      <c r="B8" t="s">
        <v>21</v>
      </c>
      <c r="C8" t="s">
        <v>8</v>
      </c>
      <c r="D8" t="s">
        <v>31</v>
      </c>
      <c r="E8" s="3">
        <v>44702</v>
      </c>
    </row>
    <row r="9" spans="1:5" x14ac:dyDescent="0.3">
      <c r="A9">
        <v>108</v>
      </c>
      <c r="B9" t="s">
        <v>22</v>
      </c>
      <c r="C9" t="s">
        <v>8</v>
      </c>
      <c r="D9" t="s">
        <v>32</v>
      </c>
      <c r="E9" s="3">
        <v>43961</v>
      </c>
    </row>
    <row r="10" spans="1:5" x14ac:dyDescent="0.3">
      <c r="A10">
        <v>109</v>
      </c>
      <c r="B10" t="s">
        <v>23</v>
      </c>
      <c r="C10" t="s">
        <v>11</v>
      </c>
      <c r="D10" t="s">
        <v>33</v>
      </c>
      <c r="E10" s="3">
        <v>44600</v>
      </c>
    </row>
    <row r="11" spans="1:5" x14ac:dyDescent="0.3">
      <c r="A11">
        <v>110</v>
      </c>
      <c r="B11" t="s">
        <v>24</v>
      </c>
      <c r="C11" t="s">
        <v>8</v>
      </c>
      <c r="D11" t="s">
        <v>34</v>
      </c>
      <c r="E11" s="3">
        <v>44174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selection activeCell="D1" sqref="D1:D1048576"/>
    </sheetView>
  </sheetViews>
  <sheetFormatPr defaultRowHeight="14.4" x14ac:dyDescent="0.3"/>
  <cols>
    <col min="4" max="4" width="18.109375" style="3" bestFit="1" customWidth="1"/>
  </cols>
  <sheetData>
    <row r="1" spans="1:5" x14ac:dyDescent="0.3">
      <c r="A1" s="1" t="s">
        <v>2</v>
      </c>
      <c r="B1" s="1" t="s">
        <v>57</v>
      </c>
      <c r="C1" s="1" t="s">
        <v>1</v>
      </c>
      <c r="D1" s="2" t="s">
        <v>58</v>
      </c>
      <c r="E1" s="1" t="s">
        <v>59</v>
      </c>
    </row>
    <row r="2" spans="1:5" x14ac:dyDescent="0.3">
      <c r="A2">
        <v>201</v>
      </c>
      <c r="B2" t="s">
        <v>60</v>
      </c>
      <c r="C2">
        <v>101</v>
      </c>
      <c r="D2" s="3">
        <v>44688</v>
      </c>
      <c r="E2" t="s">
        <v>80</v>
      </c>
    </row>
    <row r="3" spans="1:5" x14ac:dyDescent="0.3">
      <c r="A3">
        <v>202</v>
      </c>
      <c r="B3" t="s">
        <v>61</v>
      </c>
      <c r="C3">
        <v>104</v>
      </c>
      <c r="D3" s="3">
        <v>44610</v>
      </c>
      <c r="E3" t="s">
        <v>80</v>
      </c>
    </row>
    <row r="4" spans="1:5" x14ac:dyDescent="0.3">
      <c r="A4">
        <v>203</v>
      </c>
      <c r="B4" t="s">
        <v>62</v>
      </c>
      <c r="C4">
        <v>101</v>
      </c>
      <c r="D4" s="3">
        <v>44582</v>
      </c>
      <c r="E4" t="s">
        <v>80</v>
      </c>
    </row>
    <row r="5" spans="1:5" x14ac:dyDescent="0.3">
      <c r="A5">
        <v>204</v>
      </c>
      <c r="B5" t="s">
        <v>63</v>
      </c>
      <c r="C5">
        <v>109</v>
      </c>
      <c r="D5" s="3">
        <v>44388</v>
      </c>
      <c r="E5" t="s">
        <v>80</v>
      </c>
    </row>
    <row r="6" spans="1:5" x14ac:dyDescent="0.3">
      <c r="A6">
        <v>205</v>
      </c>
      <c r="B6" t="s">
        <v>64</v>
      </c>
      <c r="C6">
        <v>108</v>
      </c>
      <c r="D6" s="3">
        <v>44473</v>
      </c>
      <c r="E6" t="s">
        <v>80</v>
      </c>
    </row>
    <row r="7" spans="1:5" x14ac:dyDescent="0.3">
      <c r="A7">
        <v>206</v>
      </c>
      <c r="B7" t="s">
        <v>65</v>
      </c>
      <c r="C7">
        <v>101</v>
      </c>
      <c r="D7" s="3">
        <v>44357</v>
      </c>
      <c r="E7" t="s">
        <v>80</v>
      </c>
    </row>
    <row r="8" spans="1:5" x14ac:dyDescent="0.3">
      <c r="A8">
        <v>207</v>
      </c>
      <c r="B8" t="s">
        <v>66</v>
      </c>
      <c r="C8">
        <v>103</v>
      </c>
      <c r="D8" s="3">
        <v>44656</v>
      </c>
      <c r="E8" t="s">
        <v>80</v>
      </c>
    </row>
    <row r="9" spans="1:5" x14ac:dyDescent="0.3">
      <c r="A9">
        <v>208</v>
      </c>
      <c r="B9" t="s">
        <v>67</v>
      </c>
      <c r="C9">
        <v>106</v>
      </c>
      <c r="D9" s="3">
        <v>44510</v>
      </c>
      <c r="E9" t="s">
        <v>80</v>
      </c>
    </row>
    <row r="10" spans="1:5" x14ac:dyDescent="0.3">
      <c r="A10">
        <v>209</v>
      </c>
      <c r="B10" t="s">
        <v>68</v>
      </c>
      <c r="C10">
        <v>104</v>
      </c>
      <c r="D10" s="3">
        <v>44218</v>
      </c>
      <c r="E10" t="s">
        <v>81</v>
      </c>
    </row>
    <row r="11" spans="1:5" x14ac:dyDescent="0.3">
      <c r="A11">
        <v>210</v>
      </c>
      <c r="B11" t="s">
        <v>69</v>
      </c>
      <c r="C11">
        <v>106</v>
      </c>
      <c r="D11" s="3">
        <v>44449</v>
      </c>
      <c r="E11" t="s">
        <v>80</v>
      </c>
    </row>
    <row r="12" spans="1:5" x14ac:dyDescent="0.3">
      <c r="A12">
        <v>211</v>
      </c>
      <c r="B12" t="s">
        <v>70</v>
      </c>
      <c r="C12">
        <v>107</v>
      </c>
      <c r="D12" s="3">
        <v>44757</v>
      </c>
      <c r="E12" t="s">
        <v>80</v>
      </c>
    </row>
    <row r="13" spans="1:5" x14ac:dyDescent="0.3">
      <c r="A13">
        <v>212</v>
      </c>
      <c r="B13" t="s">
        <v>71</v>
      </c>
      <c r="C13">
        <v>106</v>
      </c>
      <c r="D13" s="3">
        <v>44671</v>
      </c>
      <c r="E13" t="s">
        <v>80</v>
      </c>
    </row>
    <row r="14" spans="1:5" x14ac:dyDescent="0.3">
      <c r="A14">
        <v>213</v>
      </c>
      <c r="B14" t="s">
        <v>72</v>
      </c>
      <c r="C14">
        <v>101</v>
      </c>
      <c r="D14" s="3">
        <v>44255</v>
      </c>
      <c r="E14" t="s">
        <v>80</v>
      </c>
    </row>
    <row r="15" spans="1:5" x14ac:dyDescent="0.3">
      <c r="A15">
        <v>214</v>
      </c>
      <c r="B15" t="s">
        <v>73</v>
      </c>
      <c r="C15">
        <v>109</v>
      </c>
      <c r="D15" s="3">
        <v>44707</v>
      </c>
      <c r="E15" t="s">
        <v>80</v>
      </c>
    </row>
    <row r="16" spans="1:5" x14ac:dyDescent="0.3">
      <c r="A16">
        <v>215</v>
      </c>
      <c r="B16" t="s">
        <v>74</v>
      </c>
      <c r="C16">
        <v>107</v>
      </c>
      <c r="D16" s="3">
        <v>44878</v>
      </c>
      <c r="E16" t="s">
        <v>80</v>
      </c>
    </row>
    <row r="17" spans="1:5" x14ac:dyDescent="0.3">
      <c r="A17">
        <v>216</v>
      </c>
      <c r="B17" t="s">
        <v>75</v>
      </c>
      <c r="C17">
        <v>105</v>
      </c>
      <c r="D17" s="3">
        <v>44672</v>
      </c>
      <c r="E17" t="s">
        <v>81</v>
      </c>
    </row>
    <row r="18" spans="1:5" x14ac:dyDescent="0.3">
      <c r="A18">
        <v>217</v>
      </c>
      <c r="B18" t="s">
        <v>76</v>
      </c>
      <c r="C18">
        <v>110</v>
      </c>
      <c r="D18" s="3">
        <v>44896</v>
      </c>
      <c r="E18" t="s">
        <v>81</v>
      </c>
    </row>
    <row r="19" spans="1:5" x14ac:dyDescent="0.3">
      <c r="A19">
        <v>218</v>
      </c>
      <c r="B19" t="s">
        <v>77</v>
      </c>
      <c r="C19">
        <v>106</v>
      </c>
      <c r="D19" s="3">
        <v>44386</v>
      </c>
      <c r="E19" t="s">
        <v>80</v>
      </c>
    </row>
    <row r="20" spans="1:5" x14ac:dyDescent="0.3">
      <c r="A20">
        <v>219</v>
      </c>
      <c r="B20" t="s">
        <v>78</v>
      </c>
      <c r="C20">
        <v>102</v>
      </c>
      <c r="D20" s="3">
        <v>44883</v>
      </c>
      <c r="E20" t="s">
        <v>80</v>
      </c>
    </row>
    <row r="21" spans="1:5" x14ac:dyDescent="0.3">
      <c r="A21">
        <v>220</v>
      </c>
      <c r="B21" t="s">
        <v>79</v>
      </c>
      <c r="C21">
        <v>104</v>
      </c>
      <c r="D21" s="3">
        <v>44759</v>
      </c>
      <c r="E21" t="s">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D201"/>
  <sheetViews>
    <sheetView workbookViewId="0"/>
  </sheetViews>
  <sheetFormatPr defaultRowHeight="14.4" x14ac:dyDescent="0.3"/>
  <sheetData>
    <row r="1" spans="1:4" x14ac:dyDescent="0.3">
      <c r="A1" s="1" t="s">
        <v>3</v>
      </c>
      <c r="B1" s="1" t="s">
        <v>1</v>
      </c>
      <c r="C1" s="1" t="s">
        <v>5</v>
      </c>
      <c r="D1" s="1" t="s">
        <v>6</v>
      </c>
    </row>
    <row r="2" spans="1:4" x14ac:dyDescent="0.3">
      <c r="A2">
        <v>301</v>
      </c>
      <c r="B2">
        <v>101</v>
      </c>
      <c r="C2">
        <v>204.55</v>
      </c>
      <c r="D2">
        <v>0.09</v>
      </c>
    </row>
    <row r="3" spans="1:4" x14ac:dyDescent="0.3">
      <c r="A3">
        <v>301</v>
      </c>
      <c r="B3">
        <v>102</v>
      </c>
      <c r="C3">
        <v>218.09</v>
      </c>
      <c r="D3">
        <v>0.06</v>
      </c>
    </row>
    <row r="4" spans="1:4" x14ac:dyDescent="0.3">
      <c r="A4">
        <v>301</v>
      </c>
      <c r="B4">
        <v>103</v>
      </c>
      <c r="C4">
        <v>244.18</v>
      </c>
      <c r="D4">
        <v>0.14000000000000001</v>
      </c>
    </row>
    <row r="5" spans="1:4" x14ac:dyDescent="0.3">
      <c r="A5">
        <v>301</v>
      </c>
      <c r="B5">
        <v>104</v>
      </c>
      <c r="C5">
        <v>201.7</v>
      </c>
      <c r="D5">
        <v>0.24</v>
      </c>
    </row>
    <row r="6" spans="1:4" x14ac:dyDescent="0.3">
      <c r="A6">
        <v>301</v>
      </c>
      <c r="B6">
        <v>105</v>
      </c>
      <c r="C6">
        <v>233.25</v>
      </c>
      <c r="D6">
        <v>0.12</v>
      </c>
    </row>
    <row r="7" spans="1:4" x14ac:dyDescent="0.3">
      <c r="A7">
        <v>301</v>
      </c>
      <c r="B7">
        <v>106</v>
      </c>
      <c r="C7">
        <v>218.35</v>
      </c>
      <c r="D7">
        <v>0.15</v>
      </c>
    </row>
    <row r="8" spans="1:4" x14ac:dyDescent="0.3">
      <c r="A8">
        <v>301</v>
      </c>
      <c r="B8">
        <v>107</v>
      </c>
      <c r="C8">
        <v>255.47</v>
      </c>
      <c r="D8">
        <v>0.22</v>
      </c>
    </row>
    <row r="9" spans="1:4" x14ac:dyDescent="0.3">
      <c r="A9">
        <v>301</v>
      </c>
      <c r="B9">
        <v>108</v>
      </c>
      <c r="C9">
        <v>235.16</v>
      </c>
      <c r="D9">
        <v>0.16</v>
      </c>
    </row>
    <row r="10" spans="1:4" x14ac:dyDescent="0.3">
      <c r="A10">
        <v>301</v>
      </c>
      <c r="B10">
        <v>109</v>
      </c>
      <c r="C10">
        <v>219.9</v>
      </c>
      <c r="D10">
        <v>0.24</v>
      </c>
    </row>
    <row r="11" spans="1:4" x14ac:dyDescent="0.3">
      <c r="A11">
        <v>301</v>
      </c>
      <c r="B11">
        <v>110</v>
      </c>
      <c r="C11">
        <v>221.83</v>
      </c>
      <c r="D11">
        <v>0.11</v>
      </c>
    </row>
    <row r="12" spans="1:4" hidden="1" x14ac:dyDescent="0.3">
      <c r="A12">
        <v>302</v>
      </c>
      <c r="B12">
        <v>101</v>
      </c>
      <c r="C12">
        <v>426.61</v>
      </c>
      <c r="D12">
        <v>0.08</v>
      </c>
    </row>
    <row r="13" spans="1:4" hidden="1" x14ac:dyDescent="0.3">
      <c r="A13">
        <v>302</v>
      </c>
      <c r="B13">
        <v>102</v>
      </c>
      <c r="C13">
        <v>399.95</v>
      </c>
      <c r="D13">
        <v>0.13</v>
      </c>
    </row>
    <row r="14" spans="1:4" hidden="1" x14ac:dyDescent="0.3">
      <c r="A14">
        <v>302</v>
      </c>
      <c r="B14">
        <v>103</v>
      </c>
      <c r="C14">
        <v>435.97</v>
      </c>
      <c r="D14">
        <v>0.11</v>
      </c>
    </row>
    <row r="15" spans="1:4" hidden="1" x14ac:dyDescent="0.3">
      <c r="A15">
        <v>302</v>
      </c>
      <c r="B15">
        <v>104</v>
      </c>
      <c r="C15">
        <v>399.8</v>
      </c>
      <c r="D15">
        <v>0.09</v>
      </c>
    </row>
    <row r="16" spans="1:4" hidden="1" x14ac:dyDescent="0.3">
      <c r="A16">
        <v>302</v>
      </c>
      <c r="B16">
        <v>105</v>
      </c>
      <c r="C16">
        <v>466.04</v>
      </c>
      <c r="D16">
        <v>0.21</v>
      </c>
    </row>
    <row r="17" spans="1:4" hidden="1" x14ac:dyDescent="0.3">
      <c r="A17">
        <v>302</v>
      </c>
      <c r="B17">
        <v>106</v>
      </c>
      <c r="C17">
        <v>456.03</v>
      </c>
      <c r="D17">
        <v>0.24</v>
      </c>
    </row>
    <row r="18" spans="1:4" hidden="1" x14ac:dyDescent="0.3">
      <c r="A18">
        <v>302</v>
      </c>
      <c r="B18">
        <v>107</v>
      </c>
      <c r="C18">
        <v>460.31</v>
      </c>
      <c r="D18">
        <v>0.23</v>
      </c>
    </row>
    <row r="19" spans="1:4" hidden="1" x14ac:dyDescent="0.3">
      <c r="A19">
        <v>302</v>
      </c>
      <c r="B19">
        <v>108</v>
      </c>
      <c r="C19">
        <v>479.21</v>
      </c>
      <c r="D19">
        <v>0.14000000000000001</v>
      </c>
    </row>
    <row r="20" spans="1:4" hidden="1" x14ac:dyDescent="0.3">
      <c r="A20">
        <v>302</v>
      </c>
      <c r="B20">
        <v>109</v>
      </c>
      <c r="C20">
        <v>407.52</v>
      </c>
      <c r="D20">
        <v>0.12</v>
      </c>
    </row>
    <row r="21" spans="1:4" hidden="1" x14ac:dyDescent="0.3">
      <c r="A21">
        <v>302</v>
      </c>
      <c r="B21">
        <v>110</v>
      </c>
      <c r="C21">
        <v>462</v>
      </c>
      <c r="D21">
        <v>0.18</v>
      </c>
    </row>
    <row r="22" spans="1:4" hidden="1" x14ac:dyDescent="0.3">
      <c r="A22">
        <v>303</v>
      </c>
      <c r="B22">
        <v>101</v>
      </c>
      <c r="C22">
        <v>253.21</v>
      </c>
      <c r="D22">
        <v>0.1</v>
      </c>
    </row>
    <row r="23" spans="1:4" hidden="1" x14ac:dyDescent="0.3">
      <c r="A23">
        <v>303</v>
      </c>
      <c r="B23">
        <v>102</v>
      </c>
      <c r="C23">
        <v>250.36</v>
      </c>
      <c r="D23">
        <v>0.13</v>
      </c>
    </row>
    <row r="24" spans="1:4" hidden="1" x14ac:dyDescent="0.3">
      <c r="A24">
        <v>303</v>
      </c>
      <c r="B24">
        <v>103</v>
      </c>
      <c r="C24">
        <v>289.35000000000002</v>
      </c>
      <c r="D24">
        <v>0.22</v>
      </c>
    </row>
    <row r="25" spans="1:4" hidden="1" x14ac:dyDescent="0.3">
      <c r="A25">
        <v>303</v>
      </c>
      <c r="B25">
        <v>104</v>
      </c>
      <c r="C25">
        <v>265.60000000000002</v>
      </c>
      <c r="D25">
        <v>0.1</v>
      </c>
    </row>
    <row r="26" spans="1:4" hidden="1" x14ac:dyDescent="0.3">
      <c r="A26">
        <v>303</v>
      </c>
      <c r="B26">
        <v>105</v>
      </c>
      <c r="C26">
        <v>221.37</v>
      </c>
      <c r="D26">
        <v>0.06</v>
      </c>
    </row>
    <row r="27" spans="1:4" hidden="1" x14ac:dyDescent="0.3">
      <c r="A27">
        <v>303</v>
      </c>
      <c r="B27">
        <v>106</v>
      </c>
      <c r="C27">
        <v>264.55</v>
      </c>
      <c r="D27">
        <v>7.0000000000000007E-2</v>
      </c>
    </row>
    <row r="28" spans="1:4" hidden="1" x14ac:dyDescent="0.3">
      <c r="A28">
        <v>303</v>
      </c>
      <c r="B28">
        <v>107</v>
      </c>
      <c r="C28">
        <v>238.78</v>
      </c>
      <c r="D28">
        <v>0.09</v>
      </c>
    </row>
    <row r="29" spans="1:4" hidden="1" x14ac:dyDescent="0.3">
      <c r="A29">
        <v>303</v>
      </c>
      <c r="B29">
        <v>108</v>
      </c>
      <c r="C29">
        <v>282.14</v>
      </c>
      <c r="D29">
        <v>0.15</v>
      </c>
    </row>
    <row r="30" spans="1:4" hidden="1" x14ac:dyDescent="0.3">
      <c r="A30">
        <v>303</v>
      </c>
      <c r="B30">
        <v>109</v>
      </c>
      <c r="C30">
        <v>250.55</v>
      </c>
      <c r="D30">
        <v>0.19</v>
      </c>
    </row>
    <row r="31" spans="1:4" hidden="1" x14ac:dyDescent="0.3">
      <c r="A31">
        <v>303</v>
      </c>
      <c r="B31">
        <v>110</v>
      </c>
      <c r="C31">
        <v>210.28</v>
      </c>
      <c r="D31">
        <v>0.17</v>
      </c>
    </row>
    <row r="32" spans="1:4" hidden="1" x14ac:dyDescent="0.3">
      <c r="A32">
        <v>304</v>
      </c>
      <c r="B32">
        <v>101</v>
      </c>
      <c r="C32">
        <v>401.66</v>
      </c>
      <c r="D32">
        <v>0.09</v>
      </c>
    </row>
    <row r="33" spans="1:4" hidden="1" x14ac:dyDescent="0.3">
      <c r="A33">
        <v>304</v>
      </c>
      <c r="B33">
        <v>102</v>
      </c>
      <c r="C33">
        <v>439.95</v>
      </c>
      <c r="D33">
        <v>0.17</v>
      </c>
    </row>
    <row r="34" spans="1:4" hidden="1" x14ac:dyDescent="0.3">
      <c r="A34">
        <v>304</v>
      </c>
      <c r="B34">
        <v>103</v>
      </c>
      <c r="C34">
        <v>416.38</v>
      </c>
      <c r="D34">
        <v>0.23</v>
      </c>
    </row>
    <row r="35" spans="1:4" hidden="1" x14ac:dyDescent="0.3">
      <c r="A35">
        <v>304</v>
      </c>
      <c r="B35">
        <v>104</v>
      </c>
      <c r="C35">
        <v>409.69</v>
      </c>
      <c r="D35">
        <v>0.11</v>
      </c>
    </row>
    <row r="36" spans="1:4" hidden="1" x14ac:dyDescent="0.3">
      <c r="A36">
        <v>304</v>
      </c>
      <c r="B36">
        <v>105</v>
      </c>
      <c r="C36">
        <v>360.4</v>
      </c>
      <c r="D36">
        <v>0.14000000000000001</v>
      </c>
    </row>
    <row r="37" spans="1:4" hidden="1" x14ac:dyDescent="0.3">
      <c r="A37">
        <v>304</v>
      </c>
      <c r="B37">
        <v>106</v>
      </c>
      <c r="C37">
        <v>371.13</v>
      </c>
      <c r="D37">
        <v>0.13</v>
      </c>
    </row>
    <row r="38" spans="1:4" hidden="1" x14ac:dyDescent="0.3">
      <c r="A38">
        <v>304</v>
      </c>
      <c r="B38">
        <v>107</v>
      </c>
      <c r="C38">
        <v>434.29</v>
      </c>
      <c r="D38">
        <v>0.11</v>
      </c>
    </row>
    <row r="39" spans="1:4" hidden="1" x14ac:dyDescent="0.3">
      <c r="A39">
        <v>304</v>
      </c>
      <c r="B39">
        <v>108</v>
      </c>
      <c r="C39">
        <v>361.98</v>
      </c>
      <c r="D39">
        <v>0.12</v>
      </c>
    </row>
    <row r="40" spans="1:4" hidden="1" x14ac:dyDescent="0.3">
      <c r="A40">
        <v>304</v>
      </c>
      <c r="B40">
        <v>109</v>
      </c>
      <c r="C40">
        <v>436.53</v>
      </c>
      <c r="D40">
        <v>0.1</v>
      </c>
    </row>
    <row r="41" spans="1:4" hidden="1" x14ac:dyDescent="0.3">
      <c r="A41">
        <v>304</v>
      </c>
      <c r="B41">
        <v>110</v>
      </c>
      <c r="C41">
        <v>411.91</v>
      </c>
      <c r="D41">
        <v>0.05</v>
      </c>
    </row>
    <row r="42" spans="1:4" hidden="1" x14ac:dyDescent="0.3">
      <c r="A42">
        <v>305</v>
      </c>
      <c r="B42">
        <v>101</v>
      </c>
      <c r="C42">
        <v>313.81</v>
      </c>
      <c r="D42">
        <v>0.11</v>
      </c>
    </row>
    <row r="43" spans="1:4" hidden="1" x14ac:dyDescent="0.3">
      <c r="A43">
        <v>305</v>
      </c>
      <c r="B43">
        <v>102</v>
      </c>
      <c r="C43">
        <v>295.95999999999998</v>
      </c>
      <c r="D43">
        <v>0.16</v>
      </c>
    </row>
    <row r="44" spans="1:4" hidden="1" x14ac:dyDescent="0.3">
      <c r="A44">
        <v>305</v>
      </c>
      <c r="B44">
        <v>103</v>
      </c>
      <c r="C44">
        <v>326.38</v>
      </c>
      <c r="D44">
        <v>0.19</v>
      </c>
    </row>
    <row r="45" spans="1:4" hidden="1" x14ac:dyDescent="0.3">
      <c r="A45">
        <v>305</v>
      </c>
      <c r="B45">
        <v>104</v>
      </c>
      <c r="C45">
        <v>305.91000000000003</v>
      </c>
      <c r="D45">
        <v>0.1</v>
      </c>
    </row>
    <row r="46" spans="1:4" hidden="1" x14ac:dyDescent="0.3">
      <c r="A46">
        <v>305</v>
      </c>
      <c r="B46">
        <v>105</v>
      </c>
      <c r="C46">
        <v>296.31</v>
      </c>
      <c r="D46">
        <v>0.09</v>
      </c>
    </row>
    <row r="47" spans="1:4" hidden="1" x14ac:dyDescent="0.3">
      <c r="A47">
        <v>305</v>
      </c>
      <c r="B47">
        <v>106</v>
      </c>
      <c r="C47">
        <v>333.34</v>
      </c>
      <c r="D47">
        <v>0.13</v>
      </c>
    </row>
    <row r="48" spans="1:4" hidden="1" x14ac:dyDescent="0.3">
      <c r="A48">
        <v>305</v>
      </c>
      <c r="B48">
        <v>107</v>
      </c>
      <c r="C48">
        <v>286.48</v>
      </c>
      <c r="D48">
        <v>0.1</v>
      </c>
    </row>
    <row r="49" spans="1:4" hidden="1" x14ac:dyDescent="0.3">
      <c r="A49">
        <v>305</v>
      </c>
      <c r="B49">
        <v>108</v>
      </c>
      <c r="C49">
        <v>303.77</v>
      </c>
      <c r="D49">
        <v>0.19</v>
      </c>
    </row>
    <row r="50" spans="1:4" hidden="1" x14ac:dyDescent="0.3">
      <c r="A50">
        <v>305</v>
      </c>
      <c r="B50">
        <v>109</v>
      </c>
      <c r="C50">
        <v>347.99</v>
      </c>
      <c r="D50">
        <v>0.08</v>
      </c>
    </row>
    <row r="51" spans="1:4" hidden="1" x14ac:dyDescent="0.3">
      <c r="A51">
        <v>305</v>
      </c>
      <c r="B51">
        <v>110</v>
      </c>
      <c r="C51">
        <v>375.11</v>
      </c>
      <c r="D51">
        <v>0.1</v>
      </c>
    </row>
    <row r="52" spans="1:4" hidden="1" x14ac:dyDescent="0.3">
      <c r="A52">
        <v>306</v>
      </c>
      <c r="B52">
        <v>101</v>
      </c>
      <c r="C52">
        <v>283.47000000000003</v>
      </c>
      <c r="D52">
        <v>0.13</v>
      </c>
    </row>
    <row r="53" spans="1:4" hidden="1" x14ac:dyDescent="0.3">
      <c r="A53">
        <v>306</v>
      </c>
      <c r="B53">
        <v>102</v>
      </c>
      <c r="C53">
        <v>193.83</v>
      </c>
      <c r="D53">
        <v>0.12</v>
      </c>
    </row>
    <row r="54" spans="1:4" hidden="1" x14ac:dyDescent="0.3">
      <c r="A54">
        <v>306</v>
      </c>
      <c r="B54">
        <v>103</v>
      </c>
      <c r="C54">
        <v>250.95</v>
      </c>
      <c r="D54">
        <v>0.19</v>
      </c>
    </row>
    <row r="55" spans="1:4" hidden="1" x14ac:dyDescent="0.3">
      <c r="A55">
        <v>306</v>
      </c>
      <c r="B55">
        <v>104</v>
      </c>
      <c r="C55">
        <v>241.13</v>
      </c>
      <c r="D55">
        <v>0.14000000000000001</v>
      </c>
    </row>
    <row r="56" spans="1:4" hidden="1" x14ac:dyDescent="0.3">
      <c r="A56">
        <v>306</v>
      </c>
      <c r="B56">
        <v>105</v>
      </c>
      <c r="C56">
        <v>243.21</v>
      </c>
      <c r="D56">
        <v>0.17</v>
      </c>
    </row>
    <row r="57" spans="1:4" hidden="1" x14ac:dyDescent="0.3">
      <c r="A57">
        <v>306</v>
      </c>
      <c r="B57">
        <v>106</v>
      </c>
      <c r="C57">
        <v>198.37</v>
      </c>
      <c r="D57">
        <v>0.12</v>
      </c>
    </row>
    <row r="58" spans="1:4" hidden="1" x14ac:dyDescent="0.3">
      <c r="A58">
        <v>306</v>
      </c>
      <c r="B58">
        <v>107</v>
      </c>
      <c r="C58">
        <v>213.7</v>
      </c>
      <c r="D58">
        <v>0.21</v>
      </c>
    </row>
    <row r="59" spans="1:4" hidden="1" x14ac:dyDescent="0.3">
      <c r="A59">
        <v>306</v>
      </c>
      <c r="B59">
        <v>108</v>
      </c>
      <c r="C59">
        <v>235.37</v>
      </c>
      <c r="D59">
        <v>0.25</v>
      </c>
    </row>
    <row r="60" spans="1:4" hidden="1" x14ac:dyDescent="0.3">
      <c r="A60">
        <v>306</v>
      </c>
      <c r="B60">
        <v>109</v>
      </c>
      <c r="C60">
        <v>228.58</v>
      </c>
      <c r="D60">
        <v>0.21</v>
      </c>
    </row>
    <row r="61" spans="1:4" hidden="1" x14ac:dyDescent="0.3">
      <c r="A61">
        <v>306</v>
      </c>
      <c r="B61">
        <v>110</v>
      </c>
      <c r="C61">
        <v>266.52999999999997</v>
      </c>
      <c r="D61">
        <v>0.08</v>
      </c>
    </row>
    <row r="62" spans="1:4" hidden="1" x14ac:dyDescent="0.3">
      <c r="A62">
        <v>307</v>
      </c>
      <c r="B62">
        <v>101</v>
      </c>
      <c r="C62">
        <v>68.45</v>
      </c>
      <c r="D62">
        <v>0.19</v>
      </c>
    </row>
    <row r="63" spans="1:4" hidden="1" x14ac:dyDescent="0.3">
      <c r="A63">
        <v>307</v>
      </c>
      <c r="B63">
        <v>102</v>
      </c>
      <c r="C63">
        <v>101.71</v>
      </c>
      <c r="D63">
        <v>0.12</v>
      </c>
    </row>
    <row r="64" spans="1:4" hidden="1" x14ac:dyDescent="0.3">
      <c r="A64">
        <v>307</v>
      </c>
      <c r="B64">
        <v>103</v>
      </c>
      <c r="C64">
        <v>41.09</v>
      </c>
      <c r="D64">
        <v>0.19</v>
      </c>
    </row>
    <row r="65" spans="1:4" hidden="1" x14ac:dyDescent="0.3">
      <c r="A65">
        <v>307</v>
      </c>
      <c r="B65">
        <v>104</v>
      </c>
      <c r="C65">
        <v>97.07</v>
      </c>
      <c r="D65">
        <v>0.12</v>
      </c>
    </row>
    <row r="66" spans="1:4" hidden="1" x14ac:dyDescent="0.3">
      <c r="A66">
        <v>307</v>
      </c>
      <c r="B66">
        <v>105</v>
      </c>
      <c r="C66">
        <v>29.31</v>
      </c>
      <c r="D66">
        <v>0.24</v>
      </c>
    </row>
    <row r="67" spans="1:4" hidden="1" x14ac:dyDescent="0.3">
      <c r="A67">
        <v>307</v>
      </c>
      <c r="B67">
        <v>106</v>
      </c>
      <c r="C67">
        <v>57.94</v>
      </c>
      <c r="D67">
        <v>0.15</v>
      </c>
    </row>
    <row r="68" spans="1:4" hidden="1" x14ac:dyDescent="0.3">
      <c r="A68">
        <v>307</v>
      </c>
      <c r="B68">
        <v>107</v>
      </c>
      <c r="C68">
        <v>99.75</v>
      </c>
      <c r="D68">
        <v>0.19</v>
      </c>
    </row>
    <row r="69" spans="1:4" hidden="1" x14ac:dyDescent="0.3">
      <c r="A69">
        <v>307</v>
      </c>
      <c r="B69">
        <v>108</v>
      </c>
      <c r="C69">
        <v>90.02</v>
      </c>
      <c r="D69">
        <v>0.09</v>
      </c>
    </row>
    <row r="70" spans="1:4" hidden="1" x14ac:dyDescent="0.3">
      <c r="A70">
        <v>307</v>
      </c>
      <c r="B70">
        <v>109</v>
      </c>
      <c r="C70">
        <v>71.61</v>
      </c>
      <c r="D70">
        <v>0.19</v>
      </c>
    </row>
    <row r="71" spans="1:4" hidden="1" x14ac:dyDescent="0.3">
      <c r="A71">
        <v>307</v>
      </c>
      <c r="B71">
        <v>110</v>
      </c>
      <c r="C71">
        <v>41.88</v>
      </c>
      <c r="D71">
        <v>0.08</v>
      </c>
    </row>
    <row r="72" spans="1:4" hidden="1" x14ac:dyDescent="0.3">
      <c r="A72">
        <v>308</v>
      </c>
      <c r="B72">
        <v>101</v>
      </c>
      <c r="C72">
        <v>475.77</v>
      </c>
      <c r="D72">
        <v>0.15</v>
      </c>
    </row>
    <row r="73" spans="1:4" hidden="1" x14ac:dyDescent="0.3">
      <c r="A73">
        <v>308</v>
      </c>
      <c r="B73">
        <v>102</v>
      </c>
      <c r="C73">
        <v>407.24</v>
      </c>
      <c r="D73">
        <v>0.25</v>
      </c>
    </row>
    <row r="74" spans="1:4" hidden="1" x14ac:dyDescent="0.3">
      <c r="A74">
        <v>308</v>
      </c>
      <c r="B74">
        <v>103</v>
      </c>
      <c r="C74">
        <v>474.17</v>
      </c>
      <c r="D74">
        <v>0.16</v>
      </c>
    </row>
    <row r="75" spans="1:4" hidden="1" x14ac:dyDescent="0.3">
      <c r="A75">
        <v>308</v>
      </c>
      <c r="B75">
        <v>104</v>
      </c>
      <c r="C75">
        <v>466.31</v>
      </c>
      <c r="D75">
        <v>0.09</v>
      </c>
    </row>
    <row r="76" spans="1:4" hidden="1" x14ac:dyDescent="0.3">
      <c r="A76">
        <v>308</v>
      </c>
      <c r="B76">
        <v>105</v>
      </c>
      <c r="C76">
        <v>408.95</v>
      </c>
      <c r="D76">
        <v>0.19</v>
      </c>
    </row>
    <row r="77" spans="1:4" hidden="1" x14ac:dyDescent="0.3">
      <c r="A77">
        <v>308</v>
      </c>
      <c r="B77">
        <v>106</v>
      </c>
      <c r="C77">
        <v>462.89</v>
      </c>
      <c r="D77">
        <v>0.22</v>
      </c>
    </row>
    <row r="78" spans="1:4" hidden="1" x14ac:dyDescent="0.3">
      <c r="A78">
        <v>308</v>
      </c>
      <c r="B78">
        <v>107</v>
      </c>
      <c r="C78">
        <v>420.89</v>
      </c>
      <c r="D78">
        <v>0.23</v>
      </c>
    </row>
    <row r="79" spans="1:4" hidden="1" x14ac:dyDescent="0.3">
      <c r="A79">
        <v>308</v>
      </c>
      <c r="B79">
        <v>108</v>
      </c>
      <c r="C79">
        <v>463.3</v>
      </c>
      <c r="D79">
        <v>0.24</v>
      </c>
    </row>
    <row r="80" spans="1:4" hidden="1" x14ac:dyDescent="0.3">
      <c r="A80">
        <v>308</v>
      </c>
      <c r="B80">
        <v>109</v>
      </c>
      <c r="C80">
        <v>457.07</v>
      </c>
      <c r="D80">
        <v>0.18</v>
      </c>
    </row>
    <row r="81" spans="1:4" hidden="1" x14ac:dyDescent="0.3">
      <c r="A81">
        <v>308</v>
      </c>
      <c r="B81">
        <v>110</v>
      </c>
      <c r="C81">
        <v>437.63</v>
      </c>
      <c r="D81">
        <v>0.12</v>
      </c>
    </row>
    <row r="82" spans="1:4" hidden="1" x14ac:dyDescent="0.3">
      <c r="A82">
        <v>309</v>
      </c>
      <c r="B82">
        <v>101</v>
      </c>
      <c r="C82">
        <v>323.99</v>
      </c>
      <c r="D82">
        <v>0.24</v>
      </c>
    </row>
    <row r="83" spans="1:4" hidden="1" x14ac:dyDescent="0.3">
      <c r="A83">
        <v>309</v>
      </c>
      <c r="B83">
        <v>102</v>
      </c>
      <c r="C83">
        <v>261.64999999999998</v>
      </c>
      <c r="D83">
        <v>0.11</v>
      </c>
    </row>
    <row r="84" spans="1:4" hidden="1" x14ac:dyDescent="0.3">
      <c r="A84">
        <v>309</v>
      </c>
      <c r="B84">
        <v>103</v>
      </c>
      <c r="C84">
        <v>280.81</v>
      </c>
      <c r="D84">
        <v>0.14000000000000001</v>
      </c>
    </row>
    <row r="85" spans="1:4" hidden="1" x14ac:dyDescent="0.3">
      <c r="A85">
        <v>309</v>
      </c>
      <c r="B85">
        <v>104</v>
      </c>
      <c r="C85">
        <v>329.15</v>
      </c>
      <c r="D85">
        <v>0.09</v>
      </c>
    </row>
    <row r="86" spans="1:4" hidden="1" x14ac:dyDescent="0.3">
      <c r="A86">
        <v>309</v>
      </c>
      <c r="B86">
        <v>105</v>
      </c>
      <c r="C86">
        <v>236.4</v>
      </c>
      <c r="D86">
        <v>0.15</v>
      </c>
    </row>
    <row r="87" spans="1:4" hidden="1" x14ac:dyDescent="0.3">
      <c r="A87">
        <v>309</v>
      </c>
      <c r="B87">
        <v>106</v>
      </c>
      <c r="C87">
        <v>251.67</v>
      </c>
      <c r="D87">
        <v>0.12</v>
      </c>
    </row>
    <row r="88" spans="1:4" hidden="1" x14ac:dyDescent="0.3">
      <c r="A88">
        <v>309</v>
      </c>
      <c r="B88">
        <v>107</v>
      </c>
      <c r="C88">
        <v>305.38</v>
      </c>
      <c r="D88">
        <v>0.19</v>
      </c>
    </row>
    <row r="89" spans="1:4" hidden="1" x14ac:dyDescent="0.3">
      <c r="A89">
        <v>309</v>
      </c>
      <c r="B89">
        <v>108</v>
      </c>
      <c r="C89">
        <v>263.95</v>
      </c>
      <c r="D89">
        <v>0.16</v>
      </c>
    </row>
    <row r="90" spans="1:4" hidden="1" x14ac:dyDescent="0.3">
      <c r="A90">
        <v>309</v>
      </c>
      <c r="B90">
        <v>109</v>
      </c>
      <c r="C90">
        <v>283.02</v>
      </c>
      <c r="D90">
        <v>0.18</v>
      </c>
    </row>
    <row r="91" spans="1:4" hidden="1" x14ac:dyDescent="0.3">
      <c r="A91">
        <v>309</v>
      </c>
      <c r="B91">
        <v>110</v>
      </c>
      <c r="C91">
        <v>258.47000000000003</v>
      </c>
      <c r="D91">
        <v>0.17</v>
      </c>
    </row>
    <row r="92" spans="1:4" hidden="1" x14ac:dyDescent="0.3">
      <c r="A92">
        <v>310</v>
      </c>
      <c r="B92">
        <v>101</v>
      </c>
      <c r="C92">
        <v>258.3</v>
      </c>
      <c r="D92">
        <v>0.15</v>
      </c>
    </row>
    <row r="93" spans="1:4" hidden="1" x14ac:dyDescent="0.3">
      <c r="A93">
        <v>310</v>
      </c>
      <c r="B93">
        <v>102</v>
      </c>
      <c r="C93">
        <v>251.39</v>
      </c>
      <c r="D93">
        <v>0.14000000000000001</v>
      </c>
    </row>
    <row r="94" spans="1:4" hidden="1" x14ac:dyDescent="0.3">
      <c r="A94">
        <v>310</v>
      </c>
      <c r="B94">
        <v>103</v>
      </c>
      <c r="C94">
        <v>198.57</v>
      </c>
      <c r="D94">
        <v>0.18</v>
      </c>
    </row>
    <row r="95" spans="1:4" hidden="1" x14ac:dyDescent="0.3">
      <c r="A95">
        <v>310</v>
      </c>
      <c r="B95">
        <v>104</v>
      </c>
      <c r="C95">
        <v>228.86</v>
      </c>
      <c r="D95">
        <v>0.22</v>
      </c>
    </row>
    <row r="96" spans="1:4" hidden="1" x14ac:dyDescent="0.3">
      <c r="A96">
        <v>310</v>
      </c>
      <c r="B96">
        <v>105</v>
      </c>
      <c r="C96">
        <v>187.18</v>
      </c>
      <c r="D96">
        <v>0.15</v>
      </c>
    </row>
    <row r="97" spans="1:4" hidden="1" x14ac:dyDescent="0.3">
      <c r="A97">
        <v>310</v>
      </c>
      <c r="B97">
        <v>106</v>
      </c>
      <c r="C97">
        <v>219.65</v>
      </c>
      <c r="D97">
        <v>0.2</v>
      </c>
    </row>
    <row r="98" spans="1:4" hidden="1" x14ac:dyDescent="0.3">
      <c r="A98">
        <v>310</v>
      </c>
      <c r="B98">
        <v>107</v>
      </c>
      <c r="C98">
        <v>169.45</v>
      </c>
      <c r="D98">
        <v>0.25</v>
      </c>
    </row>
    <row r="99" spans="1:4" hidden="1" x14ac:dyDescent="0.3">
      <c r="A99">
        <v>310</v>
      </c>
      <c r="B99">
        <v>108</v>
      </c>
      <c r="C99">
        <v>209.95</v>
      </c>
      <c r="D99">
        <v>0.11</v>
      </c>
    </row>
    <row r="100" spans="1:4" hidden="1" x14ac:dyDescent="0.3">
      <c r="A100">
        <v>310</v>
      </c>
      <c r="B100">
        <v>109</v>
      </c>
      <c r="C100">
        <v>249.24</v>
      </c>
      <c r="D100">
        <v>0.2</v>
      </c>
    </row>
    <row r="101" spans="1:4" hidden="1" x14ac:dyDescent="0.3">
      <c r="A101">
        <v>310</v>
      </c>
      <c r="B101">
        <v>110</v>
      </c>
      <c r="C101">
        <v>255.85</v>
      </c>
      <c r="D101">
        <v>0.12</v>
      </c>
    </row>
    <row r="102" spans="1:4" hidden="1" x14ac:dyDescent="0.3">
      <c r="A102">
        <v>311</v>
      </c>
      <c r="B102">
        <v>101</v>
      </c>
      <c r="C102">
        <v>73.739999999999995</v>
      </c>
      <c r="D102">
        <v>0.16</v>
      </c>
    </row>
    <row r="103" spans="1:4" hidden="1" x14ac:dyDescent="0.3">
      <c r="A103">
        <v>311</v>
      </c>
      <c r="B103">
        <v>102</v>
      </c>
      <c r="C103">
        <v>114.36</v>
      </c>
      <c r="D103">
        <v>7.0000000000000007E-2</v>
      </c>
    </row>
    <row r="104" spans="1:4" hidden="1" x14ac:dyDescent="0.3">
      <c r="A104">
        <v>311</v>
      </c>
      <c r="B104">
        <v>103</v>
      </c>
      <c r="C104">
        <v>50.27</v>
      </c>
      <c r="D104">
        <v>0.09</v>
      </c>
    </row>
    <row r="105" spans="1:4" hidden="1" x14ac:dyDescent="0.3">
      <c r="A105">
        <v>311</v>
      </c>
      <c r="B105">
        <v>104</v>
      </c>
      <c r="C105">
        <v>46.74</v>
      </c>
      <c r="D105">
        <v>0.15</v>
      </c>
    </row>
    <row r="106" spans="1:4" hidden="1" x14ac:dyDescent="0.3">
      <c r="A106">
        <v>311</v>
      </c>
      <c r="B106">
        <v>105</v>
      </c>
      <c r="C106">
        <v>56.64</v>
      </c>
      <c r="D106">
        <v>0.13</v>
      </c>
    </row>
    <row r="107" spans="1:4" hidden="1" x14ac:dyDescent="0.3">
      <c r="A107">
        <v>311</v>
      </c>
      <c r="B107">
        <v>106</v>
      </c>
      <c r="C107">
        <v>101.43</v>
      </c>
      <c r="D107">
        <v>0.24</v>
      </c>
    </row>
    <row r="108" spans="1:4" hidden="1" x14ac:dyDescent="0.3">
      <c r="A108">
        <v>311</v>
      </c>
      <c r="B108">
        <v>107</v>
      </c>
      <c r="C108">
        <v>27.92</v>
      </c>
      <c r="D108">
        <v>0.09</v>
      </c>
    </row>
    <row r="109" spans="1:4" hidden="1" x14ac:dyDescent="0.3">
      <c r="A109">
        <v>311</v>
      </c>
      <c r="B109">
        <v>108</v>
      </c>
      <c r="C109">
        <v>84.99</v>
      </c>
      <c r="D109">
        <v>0.12</v>
      </c>
    </row>
    <row r="110" spans="1:4" hidden="1" x14ac:dyDescent="0.3">
      <c r="A110">
        <v>311</v>
      </c>
      <c r="B110">
        <v>109</v>
      </c>
      <c r="C110">
        <v>45.38</v>
      </c>
      <c r="D110">
        <v>0.11</v>
      </c>
    </row>
    <row r="111" spans="1:4" hidden="1" x14ac:dyDescent="0.3">
      <c r="A111">
        <v>311</v>
      </c>
      <c r="B111">
        <v>110</v>
      </c>
      <c r="C111">
        <v>51.87</v>
      </c>
      <c r="D111">
        <v>0.22</v>
      </c>
    </row>
    <row r="112" spans="1:4" hidden="1" x14ac:dyDescent="0.3">
      <c r="A112">
        <v>312</v>
      </c>
      <c r="B112">
        <v>101</v>
      </c>
      <c r="C112">
        <v>118.03</v>
      </c>
      <c r="D112">
        <v>0.19</v>
      </c>
    </row>
    <row r="113" spans="1:4" hidden="1" x14ac:dyDescent="0.3">
      <c r="A113">
        <v>312</v>
      </c>
      <c r="B113">
        <v>102</v>
      </c>
      <c r="C113">
        <v>157.57</v>
      </c>
      <c r="D113">
        <v>0.11</v>
      </c>
    </row>
    <row r="114" spans="1:4" hidden="1" x14ac:dyDescent="0.3">
      <c r="A114">
        <v>312</v>
      </c>
      <c r="B114">
        <v>103</v>
      </c>
      <c r="C114">
        <v>144.93</v>
      </c>
      <c r="D114">
        <v>0.1</v>
      </c>
    </row>
    <row r="115" spans="1:4" hidden="1" x14ac:dyDescent="0.3">
      <c r="A115">
        <v>312</v>
      </c>
      <c r="B115">
        <v>104</v>
      </c>
      <c r="C115">
        <v>163.13999999999999</v>
      </c>
      <c r="D115">
        <v>7.0000000000000007E-2</v>
      </c>
    </row>
    <row r="116" spans="1:4" hidden="1" x14ac:dyDescent="0.3">
      <c r="A116">
        <v>312</v>
      </c>
      <c r="B116">
        <v>105</v>
      </c>
      <c r="C116">
        <v>105.54</v>
      </c>
      <c r="D116">
        <v>0.18</v>
      </c>
    </row>
    <row r="117" spans="1:4" hidden="1" x14ac:dyDescent="0.3">
      <c r="A117">
        <v>312</v>
      </c>
      <c r="B117">
        <v>106</v>
      </c>
      <c r="C117">
        <v>123.51</v>
      </c>
      <c r="D117">
        <v>0.06</v>
      </c>
    </row>
    <row r="118" spans="1:4" hidden="1" x14ac:dyDescent="0.3">
      <c r="A118">
        <v>312</v>
      </c>
      <c r="B118">
        <v>107</v>
      </c>
      <c r="C118">
        <v>142.74</v>
      </c>
      <c r="D118">
        <v>0.06</v>
      </c>
    </row>
    <row r="119" spans="1:4" hidden="1" x14ac:dyDescent="0.3">
      <c r="A119">
        <v>312</v>
      </c>
      <c r="B119">
        <v>108</v>
      </c>
      <c r="C119">
        <v>189.28</v>
      </c>
      <c r="D119">
        <v>0.06</v>
      </c>
    </row>
    <row r="120" spans="1:4" hidden="1" x14ac:dyDescent="0.3">
      <c r="A120">
        <v>312</v>
      </c>
      <c r="B120">
        <v>109</v>
      </c>
      <c r="C120">
        <v>160.04</v>
      </c>
      <c r="D120">
        <v>0.14000000000000001</v>
      </c>
    </row>
    <row r="121" spans="1:4" hidden="1" x14ac:dyDescent="0.3">
      <c r="A121">
        <v>312</v>
      </c>
      <c r="B121">
        <v>110</v>
      </c>
      <c r="C121">
        <v>168.89</v>
      </c>
      <c r="D121">
        <v>0.12</v>
      </c>
    </row>
    <row r="122" spans="1:4" hidden="1" x14ac:dyDescent="0.3">
      <c r="A122">
        <v>313</v>
      </c>
      <c r="B122">
        <v>101</v>
      </c>
      <c r="C122">
        <v>123.73</v>
      </c>
      <c r="D122">
        <v>0.25</v>
      </c>
    </row>
    <row r="123" spans="1:4" hidden="1" x14ac:dyDescent="0.3">
      <c r="A123">
        <v>313</v>
      </c>
      <c r="B123">
        <v>102</v>
      </c>
      <c r="C123">
        <v>188.7</v>
      </c>
      <c r="D123">
        <v>0.22</v>
      </c>
    </row>
    <row r="124" spans="1:4" hidden="1" x14ac:dyDescent="0.3">
      <c r="A124">
        <v>313</v>
      </c>
      <c r="B124">
        <v>103</v>
      </c>
      <c r="C124">
        <v>132.77000000000001</v>
      </c>
      <c r="D124">
        <v>0.06</v>
      </c>
    </row>
    <row r="125" spans="1:4" hidden="1" x14ac:dyDescent="0.3">
      <c r="A125">
        <v>313</v>
      </c>
      <c r="B125">
        <v>104</v>
      </c>
      <c r="C125">
        <v>137.81</v>
      </c>
      <c r="D125">
        <v>0.16</v>
      </c>
    </row>
    <row r="126" spans="1:4" hidden="1" x14ac:dyDescent="0.3">
      <c r="A126">
        <v>313</v>
      </c>
      <c r="B126">
        <v>105</v>
      </c>
      <c r="C126">
        <v>140.03</v>
      </c>
      <c r="D126">
        <v>0.22</v>
      </c>
    </row>
    <row r="127" spans="1:4" hidden="1" x14ac:dyDescent="0.3">
      <c r="A127">
        <v>313</v>
      </c>
      <c r="B127">
        <v>106</v>
      </c>
      <c r="C127">
        <v>134.80000000000001</v>
      </c>
      <c r="D127">
        <v>0.24</v>
      </c>
    </row>
    <row r="128" spans="1:4" hidden="1" x14ac:dyDescent="0.3">
      <c r="A128">
        <v>313</v>
      </c>
      <c r="B128">
        <v>107</v>
      </c>
      <c r="C128">
        <v>152.44</v>
      </c>
      <c r="D128">
        <v>0.22</v>
      </c>
    </row>
    <row r="129" spans="1:4" hidden="1" x14ac:dyDescent="0.3">
      <c r="A129">
        <v>313</v>
      </c>
      <c r="B129">
        <v>108</v>
      </c>
      <c r="C129">
        <v>127.47</v>
      </c>
      <c r="D129">
        <v>0.13</v>
      </c>
    </row>
    <row r="130" spans="1:4" hidden="1" x14ac:dyDescent="0.3">
      <c r="A130">
        <v>313</v>
      </c>
      <c r="B130">
        <v>109</v>
      </c>
      <c r="C130">
        <v>175.45</v>
      </c>
      <c r="D130">
        <v>0.08</v>
      </c>
    </row>
    <row r="131" spans="1:4" hidden="1" x14ac:dyDescent="0.3">
      <c r="A131">
        <v>313</v>
      </c>
      <c r="B131">
        <v>110</v>
      </c>
      <c r="C131">
        <v>121.61</v>
      </c>
      <c r="D131">
        <v>0.24</v>
      </c>
    </row>
    <row r="132" spans="1:4" hidden="1" x14ac:dyDescent="0.3">
      <c r="A132">
        <v>314</v>
      </c>
      <c r="B132">
        <v>101</v>
      </c>
      <c r="C132">
        <v>349.36</v>
      </c>
      <c r="D132">
        <v>0.06</v>
      </c>
    </row>
    <row r="133" spans="1:4" hidden="1" x14ac:dyDescent="0.3">
      <c r="A133">
        <v>314</v>
      </c>
      <c r="B133">
        <v>102</v>
      </c>
      <c r="C133">
        <v>319.36</v>
      </c>
      <c r="D133">
        <v>0.14000000000000001</v>
      </c>
    </row>
    <row r="134" spans="1:4" hidden="1" x14ac:dyDescent="0.3">
      <c r="A134">
        <v>314</v>
      </c>
      <c r="B134">
        <v>103</v>
      </c>
      <c r="C134">
        <v>352.15</v>
      </c>
      <c r="D134">
        <v>0.1</v>
      </c>
    </row>
    <row r="135" spans="1:4" hidden="1" x14ac:dyDescent="0.3">
      <c r="A135">
        <v>314</v>
      </c>
      <c r="B135">
        <v>104</v>
      </c>
      <c r="C135">
        <v>298.98</v>
      </c>
      <c r="D135">
        <v>7.0000000000000007E-2</v>
      </c>
    </row>
    <row r="136" spans="1:4" hidden="1" x14ac:dyDescent="0.3">
      <c r="A136">
        <v>314</v>
      </c>
      <c r="B136">
        <v>105</v>
      </c>
      <c r="C136">
        <v>322.16000000000003</v>
      </c>
      <c r="D136">
        <v>0.19</v>
      </c>
    </row>
    <row r="137" spans="1:4" hidden="1" x14ac:dyDescent="0.3">
      <c r="A137">
        <v>314</v>
      </c>
      <c r="B137">
        <v>106</v>
      </c>
      <c r="C137">
        <v>287</v>
      </c>
      <c r="D137">
        <v>0.23</v>
      </c>
    </row>
    <row r="138" spans="1:4" hidden="1" x14ac:dyDescent="0.3">
      <c r="A138">
        <v>314</v>
      </c>
      <c r="B138">
        <v>107</v>
      </c>
      <c r="C138">
        <v>323.49</v>
      </c>
      <c r="D138">
        <v>0.1</v>
      </c>
    </row>
    <row r="139" spans="1:4" hidden="1" x14ac:dyDescent="0.3">
      <c r="A139">
        <v>314</v>
      </c>
      <c r="B139">
        <v>108</v>
      </c>
      <c r="C139">
        <v>290.39</v>
      </c>
      <c r="D139">
        <v>0.09</v>
      </c>
    </row>
    <row r="140" spans="1:4" hidden="1" x14ac:dyDescent="0.3">
      <c r="A140">
        <v>314</v>
      </c>
      <c r="B140">
        <v>109</v>
      </c>
      <c r="C140">
        <v>370.26</v>
      </c>
      <c r="D140">
        <v>0.18</v>
      </c>
    </row>
    <row r="141" spans="1:4" hidden="1" x14ac:dyDescent="0.3">
      <c r="A141">
        <v>314</v>
      </c>
      <c r="B141">
        <v>110</v>
      </c>
      <c r="C141">
        <v>330.56</v>
      </c>
      <c r="D141">
        <v>0.18</v>
      </c>
    </row>
    <row r="142" spans="1:4" hidden="1" x14ac:dyDescent="0.3">
      <c r="A142">
        <v>315</v>
      </c>
      <c r="B142">
        <v>101</v>
      </c>
      <c r="C142">
        <v>294.29000000000002</v>
      </c>
      <c r="D142">
        <v>0.2</v>
      </c>
    </row>
    <row r="143" spans="1:4" hidden="1" x14ac:dyDescent="0.3">
      <c r="A143">
        <v>315</v>
      </c>
      <c r="B143">
        <v>102</v>
      </c>
      <c r="C143">
        <v>257.43</v>
      </c>
      <c r="D143">
        <v>0.16</v>
      </c>
    </row>
    <row r="144" spans="1:4" hidden="1" x14ac:dyDescent="0.3">
      <c r="A144">
        <v>315</v>
      </c>
      <c r="B144">
        <v>103</v>
      </c>
      <c r="C144">
        <v>267.97000000000003</v>
      </c>
      <c r="D144">
        <v>7.0000000000000007E-2</v>
      </c>
    </row>
    <row r="145" spans="1:4" hidden="1" x14ac:dyDescent="0.3">
      <c r="A145">
        <v>315</v>
      </c>
      <c r="B145">
        <v>104</v>
      </c>
      <c r="C145">
        <v>285.38</v>
      </c>
      <c r="D145">
        <v>7.0000000000000007E-2</v>
      </c>
    </row>
    <row r="146" spans="1:4" hidden="1" x14ac:dyDescent="0.3">
      <c r="A146">
        <v>315</v>
      </c>
      <c r="B146">
        <v>105</v>
      </c>
      <c r="C146">
        <v>261.83999999999997</v>
      </c>
      <c r="D146">
        <v>0.11</v>
      </c>
    </row>
    <row r="147" spans="1:4" hidden="1" x14ac:dyDescent="0.3">
      <c r="A147">
        <v>315</v>
      </c>
      <c r="B147">
        <v>106</v>
      </c>
      <c r="C147">
        <v>345.95</v>
      </c>
      <c r="D147">
        <v>0.09</v>
      </c>
    </row>
    <row r="148" spans="1:4" hidden="1" x14ac:dyDescent="0.3">
      <c r="A148">
        <v>315</v>
      </c>
      <c r="B148">
        <v>107</v>
      </c>
      <c r="C148">
        <v>254.53</v>
      </c>
      <c r="D148">
        <v>0.2</v>
      </c>
    </row>
    <row r="149" spans="1:4" hidden="1" x14ac:dyDescent="0.3">
      <c r="A149">
        <v>315</v>
      </c>
      <c r="B149">
        <v>108</v>
      </c>
      <c r="C149">
        <v>329.56</v>
      </c>
      <c r="D149">
        <v>0.12</v>
      </c>
    </row>
    <row r="150" spans="1:4" hidden="1" x14ac:dyDescent="0.3">
      <c r="A150">
        <v>315</v>
      </c>
      <c r="B150">
        <v>109</v>
      </c>
      <c r="C150">
        <v>297.04000000000002</v>
      </c>
      <c r="D150">
        <v>0.18</v>
      </c>
    </row>
    <row r="151" spans="1:4" hidden="1" x14ac:dyDescent="0.3">
      <c r="A151">
        <v>315</v>
      </c>
      <c r="B151">
        <v>110</v>
      </c>
      <c r="C151">
        <v>257.47000000000003</v>
      </c>
      <c r="D151">
        <v>0.24</v>
      </c>
    </row>
    <row r="152" spans="1:4" hidden="1" x14ac:dyDescent="0.3">
      <c r="A152">
        <v>316</v>
      </c>
      <c r="B152">
        <v>101</v>
      </c>
      <c r="C152">
        <v>424.18</v>
      </c>
      <c r="D152">
        <v>0.1</v>
      </c>
    </row>
    <row r="153" spans="1:4" hidden="1" x14ac:dyDescent="0.3">
      <c r="A153">
        <v>316</v>
      </c>
      <c r="B153">
        <v>102</v>
      </c>
      <c r="C153">
        <v>341.4</v>
      </c>
      <c r="D153">
        <v>0.24</v>
      </c>
    </row>
    <row r="154" spans="1:4" hidden="1" x14ac:dyDescent="0.3">
      <c r="A154">
        <v>316</v>
      </c>
      <c r="B154">
        <v>103</v>
      </c>
      <c r="C154">
        <v>387.55</v>
      </c>
      <c r="D154">
        <v>0.16</v>
      </c>
    </row>
    <row r="155" spans="1:4" hidden="1" x14ac:dyDescent="0.3">
      <c r="A155">
        <v>316</v>
      </c>
      <c r="B155">
        <v>104</v>
      </c>
      <c r="C155">
        <v>404.93</v>
      </c>
      <c r="D155">
        <v>0.17</v>
      </c>
    </row>
    <row r="156" spans="1:4" hidden="1" x14ac:dyDescent="0.3">
      <c r="A156">
        <v>316</v>
      </c>
      <c r="B156">
        <v>105</v>
      </c>
      <c r="C156">
        <v>429.62</v>
      </c>
      <c r="D156">
        <v>0.24</v>
      </c>
    </row>
    <row r="157" spans="1:4" hidden="1" x14ac:dyDescent="0.3">
      <c r="A157">
        <v>316</v>
      </c>
      <c r="B157">
        <v>106</v>
      </c>
      <c r="C157">
        <v>422.33</v>
      </c>
      <c r="D157">
        <v>0.18</v>
      </c>
    </row>
    <row r="158" spans="1:4" hidden="1" x14ac:dyDescent="0.3">
      <c r="A158">
        <v>316</v>
      </c>
      <c r="B158">
        <v>107</v>
      </c>
      <c r="C158">
        <v>416.04</v>
      </c>
      <c r="D158">
        <v>0.19</v>
      </c>
    </row>
    <row r="159" spans="1:4" hidden="1" x14ac:dyDescent="0.3">
      <c r="A159">
        <v>316</v>
      </c>
      <c r="B159">
        <v>108</v>
      </c>
      <c r="C159">
        <v>394.42</v>
      </c>
      <c r="D159">
        <v>0.08</v>
      </c>
    </row>
    <row r="160" spans="1:4" hidden="1" x14ac:dyDescent="0.3">
      <c r="A160">
        <v>316</v>
      </c>
      <c r="B160">
        <v>109</v>
      </c>
      <c r="C160">
        <v>417.01</v>
      </c>
      <c r="D160">
        <v>0.21</v>
      </c>
    </row>
    <row r="161" spans="1:4" hidden="1" x14ac:dyDescent="0.3">
      <c r="A161">
        <v>316</v>
      </c>
      <c r="B161">
        <v>110</v>
      </c>
      <c r="C161">
        <v>399.41</v>
      </c>
      <c r="D161">
        <v>0.21</v>
      </c>
    </row>
    <row r="162" spans="1:4" hidden="1" x14ac:dyDescent="0.3">
      <c r="A162">
        <v>317</v>
      </c>
      <c r="B162">
        <v>101</v>
      </c>
      <c r="C162">
        <v>144.5</v>
      </c>
      <c r="D162">
        <v>0.09</v>
      </c>
    </row>
    <row r="163" spans="1:4" hidden="1" x14ac:dyDescent="0.3">
      <c r="A163">
        <v>317</v>
      </c>
      <c r="B163">
        <v>102</v>
      </c>
      <c r="C163">
        <v>108.64</v>
      </c>
      <c r="D163">
        <v>0.09</v>
      </c>
    </row>
    <row r="164" spans="1:4" hidden="1" x14ac:dyDescent="0.3">
      <c r="A164">
        <v>317</v>
      </c>
      <c r="B164">
        <v>103</v>
      </c>
      <c r="C164">
        <v>118.45</v>
      </c>
      <c r="D164">
        <v>0.06</v>
      </c>
    </row>
    <row r="165" spans="1:4" hidden="1" x14ac:dyDescent="0.3">
      <c r="A165">
        <v>317</v>
      </c>
      <c r="B165">
        <v>104</v>
      </c>
      <c r="C165">
        <v>141.34</v>
      </c>
      <c r="D165">
        <v>0.12</v>
      </c>
    </row>
    <row r="166" spans="1:4" hidden="1" x14ac:dyDescent="0.3">
      <c r="A166">
        <v>317</v>
      </c>
      <c r="B166">
        <v>105</v>
      </c>
      <c r="C166">
        <v>144.9</v>
      </c>
      <c r="D166">
        <v>0.13</v>
      </c>
    </row>
    <row r="167" spans="1:4" hidden="1" x14ac:dyDescent="0.3">
      <c r="A167">
        <v>317</v>
      </c>
      <c r="B167">
        <v>106</v>
      </c>
      <c r="C167">
        <v>147.36000000000001</v>
      </c>
      <c r="D167">
        <v>0.12</v>
      </c>
    </row>
    <row r="168" spans="1:4" hidden="1" x14ac:dyDescent="0.3">
      <c r="A168">
        <v>317</v>
      </c>
      <c r="B168">
        <v>107</v>
      </c>
      <c r="C168">
        <v>107.38</v>
      </c>
      <c r="D168">
        <v>0.15</v>
      </c>
    </row>
    <row r="169" spans="1:4" hidden="1" x14ac:dyDescent="0.3">
      <c r="A169">
        <v>317</v>
      </c>
      <c r="B169">
        <v>108</v>
      </c>
      <c r="C169">
        <v>148.43</v>
      </c>
      <c r="D169">
        <v>0.12</v>
      </c>
    </row>
    <row r="170" spans="1:4" hidden="1" x14ac:dyDescent="0.3">
      <c r="A170">
        <v>317</v>
      </c>
      <c r="B170">
        <v>109</v>
      </c>
      <c r="C170">
        <v>171.59</v>
      </c>
      <c r="D170">
        <v>0.06</v>
      </c>
    </row>
    <row r="171" spans="1:4" hidden="1" x14ac:dyDescent="0.3">
      <c r="A171">
        <v>317</v>
      </c>
      <c r="B171">
        <v>110</v>
      </c>
      <c r="C171">
        <v>122.31</v>
      </c>
      <c r="D171">
        <v>0.24</v>
      </c>
    </row>
    <row r="172" spans="1:4" hidden="1" x14ac:dyDescent="0.3">
      <c r="A172">
        <v>318</v>
      </c>
      <c r="B172">
        <v>101</v>
      </c>
      <c r="C172">
        <v>219.57</v>
      </c>
      <c r="D172">
        <v>0.13</v>
      </c>
    </row>
    <row r="173" spans="1:4" hidden="1" x14ac:dyDescent="0.3">
      <c r="A173">
        <v>318</v>
      </c>
      <c r="B173">
        <v>102</v>
      </c>
      <c r="C173">
        <v>221.52</v>
      </c>
      <c r="D173">
        <v>0.17</v>
      </c>
    </row>
    <row r="174" spans="1:4" hidden="1" x14ac:dyDescent="0.3">
      <c r="A174">
        <v>318</v>
      </c>
      <c r="B174">
        <v>103</v>
      </c>
      <c r="C174">
        <v>237.02</v>
      </c>
      <c r="D174">
        <v>0.08</v>
      </c>
    </row>
    <row r="175" spans="1:4" hidden="1" x14ac:dyDescent="0.3">
      <c r="A175">
        <v>318</v>
      </c>
      <c r="B175">
        <v>104</v>
      </c>
      <c r="C175">
        <v>191.26</v>
      </c>
      <c r="D175">
        <v>0.17</v>
      </c>
    </row>
    <row r="176" spans="1:4" hidden="1" x14ac:dyDescent="0.3">
      <c r="A176">
        <v>318</v>
      </c>
      <c r="B176">
        <v>105</v>
      </c>
      <c r="C176">
        <v>249.89</v>
      </c>
      <c r="D176">
        <v>0.16</v>
      </c>
    </row>
    <row r="177" spans="1:4" hidden="1" x14ac:dyDescent="0.3">
      <c r="A177">
        <v>318</v>
      </c>
      <c r="B177">
        <v>106</v>
      </c>
      <c r="C177">
        <v>190.18</v>
      </c>
      <c r="D177">
        <v>0.19</v>
      </c>
    </row>
    <row r="178" spans="1:4" hidden="1" x14ac:dyDescent="0.3">
      <c r="A178">
        <v>318</v>
      </c>
      <c r="B178">
        <v>107</v>
      </c>
      <c r="C178">
        <v>237.8</v>
      </c>
      <c r="D178">
        <v>0.1</v>
      </c>
    </row>
    <row r="179" spans="1:4" hidden="1" x14ac:dyDescent="0.3">
      <c r="A179">
        <v>318</v>
      </c>
      <c r="B179">
        <v>108</v>
      </c>
      <c r="C179">
        <v>203.39</v>
      </c>
      <c r="D179">
        <v>0.16</v>
      </c>
    </row>
    <row r="180" spans="1:4" hidden="1" x14ac:dyDescent="0.3">
      <c r="A180">
        <v>318</v>
      </c>
      <c r="B180">
        <v>109</v>
      </c>
      <c r="C180">
        <v>214.68</v>
      </c>
      <c r="D180">
        <v>0.13</v>
      </c>
    </row>
    <row r="181" spans="1:4" hidden="1" x14ac:dyDescent="0.3">
      <c r="A181">
        <v>318</v>
      </c>
      <c r="B181">
        <v>110</v>
      </c>
      <c r="C181">
        <v>195.79</v>
      </c>
      <c r="D181">
        <v>7.0000000000000007E-2</v>
      </c>
    </row>
    <row r="182" spans="1:4" hidden="1" x14ac:dyDescent="0.3">
      <c r="A182">
        <v>319</v>
      </c>
      <c r="B182">
        <v>101</v>
      </c>
      <c r="C182">
        <v>91.15</v>
      </c>
      <c r="D182">
        <v>0.24</v>
      </c>
    </row>
    <row r="183" spans="1:4" hidden="1" x14ac:dyDescent="0.3">
      <c r="A183">
        <v>319</v>
      </c>
      <c r="B183">
        <v>102</v>
      </c>
      <c r="C183">
        <v>166.55</v>
      </c>
      <c r="D183">
        <v>0.12</v>
      </c>
    </row>
    <row r="184" spans="1:4" hidden="1" x14ac:dyDescent="0.3">
      <c r="A184">
        <v>319</v>
      </c>
      <c r="B184">
        <v>103</v>
      </c>
      <c r="C184">
        <v>176.97</v>
      </c>
      <c r="D184">
        <v>0.19</v>
      </c>
    </row>
    <row r="185" spans="1:4" hidden="1" x14ac:dyDescent="0.3">
      <c r="A185">
        <v>319</v>
      </c>
      <c r="B185">
        <v>104</v>
      </c>
      <c r="C185">
        <v>131.91</v>
      </c>
      <c r="D185">
        <v>0.15</v>
      </c>
    </row>
    <row r="186" spans="1:4" hidden="1" x14ac:dyDescent="0.3">
      <c r="A186">
        <v>319</v>
      </c>
      <c r="B186">
        <v>105</v>
      </c>
      <c r="C186">
        <v>93.98</v>
      </c>
      <c r="D186">
        <v>7.0000000000000007E-2</v>
      </c>
    </row>
    <row r="187" spans="1:4" hidden="1" x14ac:dyDescent="0.3">
      <c r="A187">
        <v>319</v>
      </c>
      <c r="B187">
        <v>106</v>
      </c>
      <c r="C187">
        <v>143.30000000000001</v>
      </c>
      <c r="D187">
        <v>0.16</v>
      </c>
    </row>
    <row r="188" spans="1:4" hidden="1" x14ac:dyDescent="0.3">
      <c r="A188">
        <v>319</v>
      </c>
      <c r="B188">
        <v>107</v>
      </c>
      <c r="C188">
        <v>106.28</v>
      </c>
      <c r="D188">
        <v>0.24</v>
      </c>
    </row>
    <row r="189" spans="1:4" hidden="1" x14ac:dyDescent="0.3">
      <c r="A189">
        <v>319</v>
      </c>
      <c r="B189">
        <v>108</v>
      </c>
      <c r="C189">
        <v>160.29</v>
      </c>
      <c r="D189">
        <v>7.0000000000000007E-2</v>
      </c>
    </row>
    <row r="190" spans="1:4" hidden="1" x14ac:dyDescent="0.3">
      <c r="A190">
        <v>319</v>
      </c>
      <c r="B190">
        <v>109</v>
      </c>
      <c r="C190">
        <v>174.51</v>
      </c>
      <c r="D190">
        <v>0.24</v>
      </c>
    </row>
    <row r="191" spans="1:4" hidden="1" x14ac:dyDescent="0.3">
      <c r="A191">
        <v>319</v>
      </c>
      <c r="B191">
        <v>110</v>
      </c>
      <c r="C191">
        <v>180.68</v>
      </c>
      <c r="D191">
        <v>0.06</v>
      </c>
    </row>
    <row r="192" spans="1:4" hidden="1" x14ac:dyDescent="0.3">
      <c r="A192">
        <v>320</v>
      </c>
      <c r="B192">
        <v>101</v>
      </c>
      <c r="C192">
        <v>379.61</v>
      </c>
      <c r="D192">
        <v>0.16</v>
      </c>
    </row>
    <row r="193" spans="1:4" hidden="1" x14ac:dyDescent="0.3">
      <c r="A193">
        <v>320</v>
      </c>
      <c r="B193">
        <v>102</v>
      </c>
      <c r="C193">
        <v>376.64</v>
      </c>
      <c r="D193">
        <v>0.24</v>
      </c>
    </row>
    <row r="194" spans="1:4" hidden="1" x14ac:dyDescent="0.3">
      <c r="A194">
        <v>320</v>
      </c>
      <c r="B194">
        <v>103</v>
      </c>
      <c r="C194">
        <v>374.95</v>
      </c>
      <c r="D194">
        <v>0.22</v>
      </c>
    </row>
    <row r="195" spans="1:4" hidden="1" x14ac:dyDescent="0.3">
      <c r="A195">
        <v>320</v>
      </c>
      <c r="B195">
        <v>104</v>
      </c>
      <c r="C195">
        <v>391.94</v>
      </c>
      <c r="D195">
        <v>0.22</v>
      </c>
    </row>
    <row r="196" spans="1:4" hidden="1" x14ac:dyDescent="0.3">
      <c r="A196">
        <v>320</v>
      </c>
      <c r="B196">
        <v>105</v>
      </c>
      <c r="C196">
        <v>350.07</v>
      </c>
      <c r="D196">
        <v>0.09</v>
      </c>
    </row>
    <row r="197" spans="1:4" hidden="1" x14ac:dyDescent="0.3">
      <c r="A197">
        <v>320</v>
      </c>
      <c r="B197">
        <v>106</v>
      </c>
      <c r="C197">
        <v>347.27</v>
      </c>
      <c r="D197">
        <v>0.23</v>
      </c>
    </row>
    <row r="198" spans="1:4" hidden="1" x14ac:dyDescent="0.3">
      <c r="A198">
        <v>320</v>
      </c>
      <c r="B198">
        <v>107</v>
      </c>
      <c r="C198">
        <v>323.52</v>
      </c>
      <c r="D198">
        <v>0.15</v>
      </c>
    </row>
    <row r="199" spans="1:4" hidden="1" x14ac:dyDescent="0.3">
      <c r="A199">
        <v>320</v>
      </c>
      <c r="B199">
        <v>108</v>
      </c>
      <c r="C199">
        <v>331.75</v>
      </c>
      <c r="D199">
        <v>0.17</v>
      </c>
    </row>
    <row r="200" spans="1:4" hidden="1" x14ac:dyDescent="0.3">
      <c r="A200">
        <v>320</v>
      </c>
      <c r="B200">
        <v>109</v>
      </c>
      <c r="C200">
        <v>391.59</v>
      </c>
      <c r="D200">
        <v>0.23</v>
      </c>
    </row>
    <row r="201" spans="1:4" hidden="1" x14ac:dyDescent="0.3">
      <c r="A201">
        <v>320</v>
      </c>
      <c r="B201">
        <v>110</v>
      </c>
      <c r="C201">
        <v>332.08</v>
      </c>
      <c r="D201">
        <v>0.23</v>
      </c>
    </row>
  </sheetData>
  <autoFilter ref="A1:D201" xr:uid="{00000000-0001-0000-0400-000000000000}">
    <filterColumn colId="0">
      <filters>
        <filter val="301"/>
      </filters>
    </filterColumn>
    <sortState xmlns:xlrd2="http://schemas.microsoft.com/office/spreadsheetml/2017/richdata2" ref="A2:D11">
      <sortCondition ref="B1:B20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757D150-D01C-48E0-8CE6-4E413F46BCED}">
  <ds:schemaRefs/>
</ds:datastoreItem>
</file>

<file path=customXml/itemProps2.xml><?xml version="1.0" encoding="utf-8"?>
<ds:datastoreItem xmlns:ds="http://schemas.openxmlformats.org/officeDocument/2006/customXml" ds:itemID="{2D1BB0D9-E5A9-4D3C-BA78-DAB8838AFABD}">
  <ds:schemaRefs/>
</ds:datastoreItem>
</file>

<file path=customXml/itemProps3.xml><?xml version="1.0" encoding="utf-8"?>
<ds:datastoreItem xmlns:ds="http://schemas.openxmlformats.org/officeDocument/2006/customXml" ds:itemID="{E2DA9DE9-27B0-4465-BB57-492C1252B3E4}">
  <ds:schemaRefs/>
</ds:datastoreItem>
</file>

<file path=customXml/itemProps4.xml><?xml version="1.0" encoding="utf-8"?>
<ds:datastoreItem xmlns:ds="http://schemas.openxmlformats.org/officeDocument/2006/customXml" ds:itemID="{619BC804-9BA4-4415-BDCA-6A4165B75326}">
  <ds:schemaRefs/>
</ds:datastoreItem>
</file>

<file path=customXml/itemProps5.xml><?xml version="1.0" encoding="utf-8"?>
<ds:datastoreItem xmlns:ds="http://schemas.openxmlformats.org/officeDocument/2006/customXml" ds:itemID="{2CD0247A-7DC0-40AB-9823-51710AD2635C}">
  <ds:schemaRefs/>
</ds:datastoreItem>
</file>

<file path=customXml/itemProps6.xml><?xml version="1.0" encoding="utf-8"?>
<ds:datastoreItem xmlns:ds="http://schemas.openxmlformats.org/officeDocument/2006/customXml" ds:itemID="{8F0F5A81-3A7F-4D5B-9E2A-9C6EF7D496B8}">
  <ds:schemaRefs/>
</ds:datastoreItem>
</file>

<file path=customXml/itemProps7.xml><?xml version="1.0" encoding="utf-8"?>
<ds:datastoreItem xmlns:ds="http://schemas.openxmlformats.org/officeDocument/2006/customXml" ds:itemID="{1D2E1C60-3766-43F4-940C-BCC995AE8BAE}">
  <ds:schemaRefs/>
</ds:datastoreItem>
</file>

<file path=customXml/itemProps8.xml><?xml version="1.0" encoding="utf-8"?>
<ds:datastoreItem xmlns:ds="http://schemas.openxmlformats.org/officeDocument/2006/customXml" ds:itemID="{F0A1DB45-55F8-4BB1-B7D3-B84724AC039D}">
  <ds:schemaRefs/>
</ds:datastoreItem>
</file>

<file path=customXml/itemProps9.xml><?xml version="1.0" encoding="utf-8"?>
<ds:datastoreItem xmlns:ds="http://schemas.openxmlformats.org/officeDocument/2006/customXml" ds:itemID="{7F86D20D-5A38-426C-AD4D-6978B32F12F3}">
  <ds:schemaRefs/>
</ds:datastoreItem>
</file>

<file path=customXml/itemProps10.xml><?xml version="1.0" encoding="utf-8"?>
<ds:datastoreItem xmlns:ds="http://schemas.openxmlformats.org/officeDocument/2006/customXml" ds:itemID="{8989758C-3C81-4D42-93F3-C8116C4A054D}">
  <ds:schemaRefs/>
</ds:datastoreItem>
</file>

<file path=customXml/itemProps11.xml><?xml version="1.0" encoding="utf-8"?>
<ds:datastoreItem xmlns:ds="http://schemas.openxmlformats.org/officeDocument/2006/customXml" ds:itemID="{71A971AB-FDBB-48C9-98B4-B1EAB799D06A}">
  <ds:schemaRefs/>
</ds:datastoreItem>
</file>

<file path=customXml/itemProps12.xml><?xml version="1.0" encoding="utf-8"?>
<ds:datastoreItem xmlns:ds="http://schemas.openxmlformats.org/officeDocument/2006/customXml" ds:itemID="{793A06D3-421D-4B5B-B0EE-F3C762B0D6AA}">
  <ds:schemaRefs/>
</ds:datastoreItem>
</file>

<file path=customXml/itemProps13.xml><?xml version="1.0" encoding="utf-8"?>
<ds:datastoreItem xmlns:ds="http://schemas.openxmlformats.org/officeDocument/2006/customXml" ds:itemID="{DBEB1D4D-5EFE-4A5F-84E6-9E590ED6C27D}">
  <ds:schemaRefs/>
</ds:datastoreItem>
</file>

<file path=customXml/itemProps14.xml><?xml version="1.0" encoding="utf-8"?>
<ds:datastoreItem xmlns:ds="http://schemas.openxmlformats.org/officeDocument/2006/customXml" ds:itemID="{6FA8AC3D-3129-4190-BA62-52BBD7771021}">
  <ds:schemaRefs/>
</ds:datastoreItem>
</file>

<file path=customXml/itemProps15.xml><?xml version="1.0" encoding="utf-8"?>
<ds:datastoreItem xmlns:ds="http://schemas.openxmlformats.org/officeDocument/2006/customXml" ds:itemID="{BE9E10AD-AEB3-4278-908B-824E9B7801C0}">
  <ds:schemaRefs/>
</ds:datastoreItem>
</file>

<file path=customXml/itemProps16.xml><?xml version="1.0" encoding="utf-8"?>
<ds:datastoreItem xmlns:ds="http://schemas.openxmlformats.org/officeDocument/2006/customXml" ds:itemID="{C7F61B2B-7DE0-405C-BB30-CB604A2844F4}">
  <ds:schemaRefs/>
</ds:datastoreItem>
</file>

<file path=customXml/itemProps17.xml><?xml version="1.0" encoding="utf-8"?>
<ds:datastoreItem xmlns:ds="http://schemas.openxmlformats.org/officeDocument/2006/customXml" ds:itemID="{5DBF2997-604E-497E-883B-953F1A3DBC90}">
  <ds:schemaRefs/>
</ds:datastoreItem>
</file>

<file path=customXml/itemProps18.xml><?xml version="1.0" encoding="utf-8"?>
<ds:datastoreItem xmlns:ds="http://schemas.openxmlformats.org/officeDocument/2006/customXml" ds:itemID="{B40223C4-374A-4F2F-99F7-3FAEDCB76353}">
  <ds:schemaRefs/>
</ds:datastoreItem>
</file>

<file path=customXml/itemProps19.xml><?xml version="1.0" encoding="utf-8"?>
<ds:datastoreItem xmlns:ds="http://schemas.openxmlformats.org/officeDocument/2006/customXml" ds:itemID="{385E2541-9371-45A7-91C1-E943B0E6EED0}">
  <ds:schemaRefs/>
</ds:datastoreItem>
</file>

<file path=customXml/itemProps20.xml><?xml version="1.0" encoding="utf-8"?>
<ds:datastoreItem xmlns:ds="http://schemas.openxmlformats.org/officeDocument/2006/customXml" ds:itemID="{F87302E7-2649-45AF-94C4-C54D70506F0C}">
  <ds:schemaRefs/>
</ds:datastoreItem>
</file>

<file path=customXml/itemProps21.xml><?xml version="1.0" encoding="utf-8"?>
<ds:datastoreItem xmlns:ds="http://schemas.openxmlformats.org/officeDocument/2006/customXml" ds:itemID="{4201BB8B-2786-4374-8C83-93A3AEC4613D}">
  <ds:schemaRefs/>
</ds:datastoreItem>
</file>

<file path=customXml/itemProps22.xml><?xml version="1.0" encoding="utf-8"?>
<ds:datastoreItem xmlns:ds="http://schemas.openxmlformats.org/officeDocument/2006/customXml" ds:itemID="{12D4A213-2655-47FE-A6F2-0DDC5EE529E6}">
  <ds:schemaRefs/>
</ds:datastoreItem>
</file>

<file path=customXml/itemProps23.xml><?xml version="1.0" encoding="utf-8"?>
<ds:datastoreItem xmlns:ds="http://schemas.openxmlformats.org/officeDocument/2006/customXml" ds:itemID="{DECE68D6-AB3E-4943-ACDB-9F7A87018382}">
  <ds:schemaRefs/>
</ds:datastoreItem>
</file>

<file path=customXml/itemProps24.xml><?xml version="1.0" encoding="utf-8"?>
<ds:datastoreItem xmlns:ds="http://schemas.openxmlformats.org/officeDocument/2006/customXml" ds:itemID="{E1C4AAB0-2FC9-4611-8FB2-253EE3EFB11A}">
  <ds:schemaRefs/>
</ds:datastoreItem>
</file>

<file path=customXml/itemProps25.xml><?xml version="1.0" encoding="utf-8"?>
<ds:datastoreItem xmlns:ds="http://schemas.openxmlformats.org/officeDocument/2006/customXml" ds:itemID="{59892E58-DDD2-4887-BFEF-21FA23C8D0CE}">
  <ds:schemaRefs/>
</ds:datastoreItem>
</file>

<file path=customXml/itemProps26.xml><?xml version="1.0" encoding="utf-8"?>
<ds:datastoreItem xmlns:ds="http://schemas.openxmlformats.org/officeDocument/2006/customXml" ds:itemID="{9BFABA76-9285-40A6-ABCF-01E31258E10C}">
  <ds:schemaRefs/>
</ds:datastoreItem>
</file>

<file path=customXml/itemProps27.xml><?xml version="1.0" encoding="utf-8"?>
<ds:datastoreItem xmlns:ds="http://schemas.openxmlformats.org/officeDocument/2006/customXml" ds:itemID="{1E5B0446-820C-45EF-B074-2BB4B5C135FB}">
  <ds:schemaRefs/>
</ds:datastoreItem>
</file>

<file path=customXml/itemProps28.xml><?xml version="1.0" encoding="utf-8"?>
<ds:datastoreItem xmlns:ds="http://schemas.openxmlformats.org/officeDocument/2006/customXml" ds:itemID="{657D7CA5-05AB-4484-9943-9774ACB6AC6C}">
  <ds:schemaRefs/>
</ds:datastoreItem>
</file>

<file path=customXml/itemProps29.xml><?xml version="1.0" encoding="utf-8"?>
<ds:datastoreItem xmlns:ds="http://schemas.openxmlformats.org/officeDocument/2006/customXml" ds:itemID="{C245458F-707F-41C0-911A-41E3A708C0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 tables</vt:lpstr>
      <vt:lpstr>SalesData</vt:lpstr>
      <vt:lpstr>Products</vt:lpstr>
      <vt:lpstr>Stores</vt:lpstr>
      <vt:lpstr>SalesReps</vt:lpstr>
      <vt:lpstr>ProductStorePricing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 Gupta</dc:creator>
  <cp:lastModifiedBy>Yog Gupta</cp:lastModifiedBy>
  <dcterms:created xsi:type="dcterms:W3CDTF">2025-04-30T06:34:40Z</dcterms:created>
  <dcterms:modified xsi:type="dcterms:W3CDTF">2025-04-30T21:52:13Z</dcterms:modified>
</cp:coreProperties>
</file>